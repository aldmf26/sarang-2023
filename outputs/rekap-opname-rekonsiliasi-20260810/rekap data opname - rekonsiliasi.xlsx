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pivotCache/pivotCacheDefinition1.xml" ContentType="application/vnd.openxmlformats-officedocument.spreadsheetml.pivotCacheDefinition+xml"/>
  <Override PartName="/pivotCache/pivotCacheRecords1.xml" ContentType="application/vnd.openxmlformats-officedocument.spreadsheetml.pivotCacheRecord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Tables/pivotTable.xml" ContentType="application/vnd.openxmlformats-officedocument.spreadsheetml.pivot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cd92c66c4044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umus" sheetId="11" r:id="R6a14f0c0275b4757"/>
    <x:sheet xmlns:r="http://schemas.openxmlformats.org/officeDocument/2006/relationships" name="cabut" sheetId="1" r:id="R2fd63f576da14640"/>
    <x:sheet xmlns:r="http://schemas.openxmlformats.org/officeDocument/2006/relationships" name="cetak di gudang" sheetId="6" r:id="R3fa9710136db4869"/>
    <x:sheet xmlns:r="http://schemas.openxmlformats.org/officeDocument/2006/relationships" name="cetak ditangan anak" sheetId="3" r:id="R95d314da85f94ce2"/>
    <x:sheet xmlns:r="http://schemas.openxmlformats.org/officeDocument/2006/relationships" name="sortir" sheetId="10" r:id="Re9bc57a86fc04c92"/>
    <x:sheet xmlns:r="http://schemas.openxmlformats.org/officeDocument/2006/relationships" name="belum grading" sheetId="8" r:id="Rb3b963d37f364b14"/>
    <x:sheet xmlns:r="http://schemas.openxmlformats.org/officeDocument/2006/relationships" name="wip" sheetId="4" r:id="Rfafd6342c92845ee"/>
    <x:sheet xmlns:r="http://schemas.openxmlformats.org/officeDocument/2006/relationships" name="packing" sheetId="5" r:id="R6c36626b8fe347e3"/>
    <x:sheet xmlns:r="http://schemas.openxmlformats.org/officeDocument/2006/relationships" name="Pengiriman" sheetId="7" r:id="R0b337c48193f47ac"/>
    <x:sheet xmlns:r="http://schemas.openxmlformats.org/officeDocument/2006/relationships" name="Rekap" sheetId="9" r:id="Rb0b3d17239534da4"/>
    <x:sheet xmlns:r="http://schemas.openxmlformats.org/officeDocument/2006/relationships" name="Balancesheet" sheetId="14" r:id="R4b718c1a2da54634"/>
    <x:sheet xmlns:r="http://schemas.openxmlformats.org/officeDocument/2006/relationships" name="Sheet3" sheetId="17" r:id="R81ae26d2f1214c24"/>
    <x:sheet xmlns:r="http://schemas.openxmlformats.org/officeDocument/2006/relationships" name="Sheet4" sheetId="18" r:id="R680da957092d4aa9"/>
  </x:sheets>
  <x:pivotCaches>
    <x:pivotCache xmlns:r="http://schemas.openxmlformats.org/officeDocument/2006/relationships" cacheId="0" r:id="R85a151fbc9de463e"/>
  </x:pivotCaches>
</x:workbook>
</file>

<file path=xl/sharedStrings.xml><?xml version="1.0" encoding="utf-8"?>
<x:sst xmlns:x="http://schemas.openxmlformats.org/spreadsheetml/2006/main">
  <x:si>
    <x:t xml:space="preserve">d</x:t>
  </x:si>
  <x:si>
    <x:t xml:space="preserve">v</x:t>
  </x:si>
  <x:si>
    <x:t xml:space="preserve">vmns</x:t>
  </x:si>
  <x:si>
    <x:t xml:space="preserve">serabut</x:t>
  </x:si>
  <x:si>
    <x:t xml:space="preserve">rtk</x:t>
  </x:si>
  <x:si>
    <x:t xml:space="preserve">hcr</x:t>
  </x:si>
  <x:si>
    <x:t xml:space="preserve">pth</x:t>
  </x:si>
  <x:si>
    <x:t xml:space="preserve">bpo</x:t>
  </x:si>
  <x:si>
    <x:t xml:space="preserve">renda</x:t>
  </x:si>
  <x:si>
    <x:t xml:space="preserve">gepeng</x:t>
  </x:si>
  <x:si>
    <x:t xml:space="preserve">kaki</x:t>
  </x:si>
  <x:si>
    <x:t xml:space="preserve">Pemilik</x:t>
  </x:si>
  <x:si>
    <x:t xml:space="preserve">Box lama</x:t>
  </x:si>
  <x:si>
    <x:t xml:space="preserve">Box baru</x:t>
  </x:si>
  <x:si>
    <x:t xml:space="preserve">Grade</x:t>
  </x:si>
  <x:si>
    <x:t xml:space="preserve">Pcs</x:t>
  </x:si>
  <x:si>
    <x:t xml:space="preserve">Gr</x:t>
  </x:si>
  <x:si>
    <x:t xml:space="preserve">Hrga satuan</x:t>
  </x:si>
  <x:si>
    <x:t xml:space="preserve">Total Rp</x:t>
  </x:si>
  <x:si>
    <x:t xml:space="preserve">Norjanah</x:t>
  </x:si>
  <x:si>
    <x:t xml:space="preserve">pth3/4putih</x:t>
  </x:si>
  <x:si>
    <x:t xml:space="preserve">Grand Total</x:t>
  </x:si>
  <x:si>
    <x:t xml:space="preserve">dovalbelangsamar</x:t>
  </x:si>
  <x:si>
    <x:t xml:space="preserve">dsuper</x:t>
  </x:si>
  <x:si>
    <x:t xml:space="preserve">dbesar</x:t>
  </x:si>
  <x:si>
    <x:t xml:space="preserve">pth34</x:t>
  </x:si>
  <x:si>
    <x:t xml:space="preserve">pthtg</x:t>
  </x:si>
  <x:si>
    <x:t xml:space="preserve">plb</x:t>
  </x:si>
  <x:si>
    <x:t xml:space="preserve">Erna</x:t>
  </x:si>
  <x:si>
    <x:t xml:space="preserve">LN</x:t>
  </x:si>
  <x:si>
    <x:t xml:space="preserve">dovalkuning</x:t>
  </x:si>
  <x:si>
    <x:t xml:space="preserve">Eka Pebriana Putri</x:t>
  </x:si>
  <x:si>
    <x:t xml:space="preserve">dbesarkuning</x:t>
  </x:si>
  <x:si>
    <x:t xml:space="preserve">plbputih</x:t>
  </x:si>
  <x:si>
    <x:t xml:space="preserve">plbkuning</x:t>
  </x:si>
  <x:si>
    <x:t xml:space="preserve">vbrsputih</x:t>
  </x:si>
  <x:si>
    <x:t xml:space="preserve">vbelangsamar</x:t>
  </x:si>
  <x:si>
    <x:t xml:space="preserve">dkclovalputih</x:t>
  </x:si>
  <x:si>
    <x:t xml:space="preserve">Nur Lailatul Fitria</x:t>
  </x:si>
  <x:si>
    <x:t xml:space="preserve">vbrsbelangsamar</x:t>
  </x:si>
  <x:si>
    <x:t xml:space="preserve">vmnsputih</x:t>
  </x:si>
  <x:si>
    <x:t xml:space="preserve">dberas</x:t>
  </x:si>
  <x:si>
    <x:t xml:space="preserve">dkcloval</x:t>
  </x:si>
  <x:si>
    <x:t xml:space="preserve">VMNS</x:t>
  </x:si>
  <x:si>
    <x:t xml:space="preserve">VBRS</x:t>
  </x:si>
  <x:si>
    <x:t xml:space="preserve">PLB</x:t>
  </x:si>
  <x:si>
    <x:t xml:space="preserve">VSUPER</x:t>
  </x:si>
  <x:si>
    <x:t xml:space="preserve">PTH3/4</x:t>
  </x:si>
  <x:si>
    <x:t xml:space="preserve">vmnsputihcrem</x:t>
  </x:si>
  <x:si>
    <x:t xml:space="preserve">vbrs</x:t>
  </x:si>
  <x:si>
    <x:t xml:space="preserve">Sufatmi</x:t>
  </x:si>
  <x:si>
    <x:t xml:space="preserve">Vbrs</x:t>
  </x:si>
  <x:si>
    <x:t xml:space="preserve">yuli sby</x:t>
  </x:si>
  <x:si>
    <x:t xml:space="preserve">pth bb</x:t>
  </x:si>
  <x:si>
    <x:t xml:space="preserve">pth3/4</x:t>
  </x:si>
  <x:si>
    <x:t xml:space="preserve">Martadah</x:t>
  </x:si>
  <x:si>
    <x:t xml:space="preserve">hcr1200</x:t>
  </x:si>
  <x:si>
    <x:t xml:space="preserve">Tipe</x:t>
  </x:si>
  <x:si>
    <x:t xml:space="preserve">kelompok</x:t>
  </x:si>
  <x:si>
    <x:t xml:space="preserve">urutan</x:t>
  </x:si>
  <x:si>
    <x:t xml:space="preserve">Aminah</x:t>
  </x:si>
  <x:si>
    <x:t xml:space="preserve">pthtgputih</x:t>
  </x:si>
  <x:si>
    <x:t xml:space="preserve">dbesartk</x:t>
  </x:si>
  <x:si>
    <x:t xml:space="preserve">dbesarputihcrem</x:t>
  </x:si>
  <x:si>
    <x:t xml:space="preserve">dsedang</x:t>
  </x:si>
  <x:si>
    <x:t xml:space="preserve">dasuper</x:t>
  </x:si>
  <x:si>
    <x:t xml:space="preserve">vmnssuper</x:t>
  </x:si>
  <x:si>
    <x:t xml:space="preserve">dsedangkuning</x:t>
  </x:si>
  <x:si>
    <x:t xml:space="preserve">dovalputih</x:t>
  </x:si>
  <x:si>
    <x:t xml:space="preserve">vmnskuning</x:t>
  </x:si>
  <x:si>
    <x:t xml:space="preserve">hcr1400</x:t>
  </x:si>
  <x:si>
    <x:t xml:space="preserve">ctk</x:t>
  </x:si>
  <x:si>
    <x:t xml:space="preserve">ctk2</x:t>
  </x:si>
  <x:si>
    <x:t xml:space="preserve">ctk3</x:t>
  </x:si>
  <x:si>
    <x:t xml:space="preserve">Nurul B</x:t>
  </x:si>
  <x:si>
    <x:t xml:space="preserve">Ratna</x:t>
  </x:si>
  <x:si>
    <x:t xml:space="preserve">D</x:t>
  </x:si>
  <x:si>
    <x:t xml:space="preserve">V</x:t>
  </x:si>
  <x:si>
    <x:t xml:space="preserve">pth 3/4</x:t>
  </x:si>
  <x:si>
    <x:t xml:space="preserve">hcrpolesan</x:t>
  </x:si>
  <x:si>
    <x:t xml:space="preserve">SBT</x:t>
  </x:si>
  <x:si>
    <x:t xml:space="preserve">PTHLEMPENGBESAR(PLB)T?3CM,P?12CMPUTIH</x:t>
  </x:si>
  <x:si>
    <x:t xml:space="preserve">PTHLEMPENGBESAR(PLB)T?3CM,P?12CMBERAS</x:t>
  </x:si>
  <x:si>
    <x:t xml:space="preserve">PTHLEMPENGKECILSUDUT(PLKS)T=2-2,6CM,P=6-7.9CMPUTIH</x:t>
  </x:si>
  <x:si>
    <x:t xml:space="preserve">PTHLEMPENGKECIL(PLK)T=2-2,6CM,P=6-7.9CMPUTIH</x:t>
  </x:si>
  <x:si>
    <x:t xml:space="preserve">PTHLEMPENGKECIL(PLK)T=2-2,6CM,P=6-7.9CMBERAS</x:t>
  </x:si>
  <x:si>
    <x:t xml:space="preserve">PTHLEMPENGSEDANGSUDUT(PLSS)T=2,7-2,9CM,P=8-10.9CMPUTIH</x:t>
  </x:si>
  <x:si>
    <x:t xml:space="preserve">PTHLEMPENGBESARSUDUT(PLBS)T?3CM,P?12CMPUTIH</x:t>
  </x:si>
  <x:si>
    <x:t xml:space="preserve">MANGKOKBESAR(C1)5.9GRUPBERAS</x:t>
  </x:si>
  <x:si>
    <x:t xml:space="preserve">PTHLEMPENGKECIL(PLK)T=2-2,6CM,P=6-7.9CMBENDERA</x:t>
  </x:si>
  <x:si>
    <x:t xml:space="preserve">PTHLEMPENGKECILSUDUT(PLKS)T=2-2,6CM,P=6-7.9CMBENDERA</x:t>
  </x:si>
  <x:si>
    <x:t xml:space="preserve">PTHLEMPENGMINI(PLM)BENDERA</x:t>
  </x:si>
  <x:si>
    <x:t xml:space="preserve">SUDUTKECIL3.0-3.9GRSAMAR</x:t>
  </x:si>
  <x:si>
    <x:t xml:space="preserve">PTHLEMPENGSEDANGSUDUT(PLSS)T=2,7-2,9CM,P=8-10.9CMBENDERA</x:t>
  </x:si>
  <x:si>
    <x:t xml:space="preserve">PTHLEMPENGKECILSUDUT(PLKS)T=2-2,6CM,P=6-7.9CMBERAS</x:t>
  </x:si>
  <x:si>
    <x:t xml:space="preserve">MANGKOKKECIL(C3)3.8-4.3GRPUTIH</x:t>
  </x:si>
  <x:si>
    <x:t xml:space="preserve">MANGKOKSEDANG(C2)4.4-5.8GRSAMAR</x:t>
  </x:si>
  <x:si>
    <x:t xml:space="preserve">MANGKOKKECIL(C3)3.8-4.3GRSAMAR</x:t>
  </x:si>
  <x:si>
    <x:t xml:space="preserve">MANGKOKBESAR(C1)5.9GRUPSAMAR</x:t>
  </x:si>
  <x:si>
    <x:t xml:space="preserve">MANGKOKSEDANG(C2)4.4-5.8GRBERAS</x:t>
  </x:si>
  <x:si>
    <x:t xml:space="preserve">PTHLEMPENGSEDANG(PLS)T=2,7-2,9CM,P=8-11.9CMBENDERA</x:t>
  </x:si>
  <x:si>
    <x:t xml:space="preserve">MANGKOKBESAR(C1)5.9GRUPPUTIH</x:t>
  </x:si>
  <x:si>
    <x:t xml:space="preserve">MANGKOKKECIL(C3)3.8-4.3GRBERAS</x:t>
  </x:si>
  <x:si>
    <x:t xml:space="preserve">PTHLEMPENGSEDANG(PLS)T=2,7-2,9CM,P=8-11.9CMPUTIH</x:t>
  </x:si>
  <x:si>
    <x:t xml:space="preserve">TUSUKGIGI</x:t>
  </x:si>
  <x:si>
    <x:t xml:space="preserve">SUDUTKECIL3.0-3.9GRPUTIH</x:t>
  </x:si>
  <x:si>
    <x:t xml:space="preserve">SUDUTKECIL3.0-3.9GRBERAS</x:t>
  </x:si>
  <x:si>
    <x:t xml:space="preserve">PTHLEMPENGSEDANG(PLS)T=2,7-2,9CM,P=8-11.9CMBERAS</x:t>
  </x:si>
  <x:si>
    <x:t xml:space="preserve">PTHLEMPENGSEDANG(PLS)T=2,7-2,9CM,P=8-11.9CMSAMAR</x:t>
  </x:si>
  <x:si>
    <x:t xml:space="preserve">SUDUTBESAR4.0-6.9GRSAMAR</x:t>
  </x:si>
  <x:si>
    <x:t xml:space="preserve">OVAL24.5-5.5GRSAMAR</x:t>
  </x:si>
  <x:si>
    <x:t xml:space="preserve">SUDUTBESAR4.0-6.9GRPUTIH</x:t>
  </x:si>
  <x:si>
    <x:t xml:space="preserve">MANGKOKSEDANG(C2)4.4-5.8GRPUTIH</x:t>
  </x:si>
  <x:si>
    <x:t xml:space="preserve">OVAL15.6GR-UPSAMAR</x:t>
  </x:si>
  <x:si>
    <x:t xml:space="preserve">SUDUTBESAR4.0-6.9GRBERAS</x:t>
  </x:si>
  <x:si>
    <x:t xml:space="preserve">PTHLEMPENGSEDANGSUDUT(PLSS)T=2,7-2,9CM,P=8-10.9CMBERAS</x:t>
  </x:si>
  <x:si>
    <x:t xml:space="preserve">OVAL24.5-5.5GRBERAS</x:t>
  </x:si>
  <x:si>
    <x:t xml:space="preserve">PTHLEMPENGMINI(PLM)BERAS</x:t>
  </x:si>
  <x:si>
    <x:t xml:space="preserve">OVAL15.6GR-UPBERAS</x:t>
  </x:si>
  <x:si>
    <x:t xml:space="preserve">KAKI</x:t>
  </x:si>
  <x:si>
    <x:t xml:space="preserve">OVAL15.6GR-UPPUTIH</x:t>
  </x:si>
  <x:si>
    <x:t xml:space="preserve">OVAL24.5-5.5GRPUTIH</x:t>
  </x:si>
  <x:si>
    <x:t xml:space="preserve">vk</x:t>
  </x:si>
  <x:si>
    <x:t xml:space="preserve">vg</x:t>
  </x:si>
  <x:si>
    <x:t xml:space="preserve">vmnsk</x:t>
  </x:si>
  <x:si>
    <x:t xml:space="preserve">vmnsg</x:t>
  </x:si>
  <x:si>
    <x:t xml:space="preserve">dg</x:t>
  </x:si>
  <x:si>
    <x:t xml:space="preserve">dk</x:t>
  </x:si>
  <x:si>
    <x:t xml:space="preserve">PTHLEMPENGMINI(PLM)PUTIH</x:t>
  </x:si>
  <x:si>
    <x:t xml:space="preserve">PTHLEMPENGBESAR(PLB)T?3CM,P?12CMBENDERA</x:t>
  </x:si>
  <x:si>
    <x:t xml:space="preserve">OVAL15.6GR-UPBENDERA</x:t>
  </x:si>
  <x:si>
    <x:t xml:space="preserve">PTHLEMPENGKECIL(PLK)T=2-2,6CM,P=6-7.9CMSAMAR</x:t>
  </x:si>
  <x:si>
    <x:t xml:space="preserve">PTHLEMPENGSEDANGSUDUT(PLSS)T=2,7-2,9CM,P=8-10.9CMSAMAR</x:t>
  </x:si>
  <x:si>
    <x:t xml:space="preserve">PTHLEMPENGBESAR(PLB)T?3CM,P?12CMSAMAR</x:t>
  </x:si>
  <x:si>
    <x:t xml:space="preserve">SUDUTBESAR4.0-6.9GRBENDERA</x:t>
  </x:si>
  <x:si>
    <x:t xml:space="preserve">PTHLEMPENGMINI(PLM)SAMAR</x:t>
  </x:si>
  <x:si>
    <x:t xml:space="preserve">PTHLEMPENGKECILSUDUT(PLKS)T=2-2,6CM,P=6-7.9CMSAMAR</x:t>
  </x:si>
  <x:si>
    <x:t xml:space="preserve">OVAL24.5-5.5GRBENDERA</x:t>
  </x:si>
  <x:si>
    <x:t xml:space="preserve">dvirus</x:t>
  </x:si>
  <x:si>
    <x:t xml:space="preserve">PTHLEMPENGSEDANGSUDUT(PLSS)T=2,7-2,9CM,P=8-10.9CMK</x:t>
  </x:si>
  <x:si>
    <x:t xml:space="preserve">pthxs</x:t>
  </x:si>
  <x:si>
    <x:t xml:space="preserve">PLB PUTIH</x:t>
  </x:si>
  <x:si>
    <x:t xml:space="preserve">PTHXS</x:t>
  </x:si>
  <x:si>
    <x:t xml:space="preserve">s</x:t>
  </x:si>
  <x:si>
    <x:t xml:space="preserve">Imay</x:t>
  </x:si>
  <x:si>
    <x:t xml:space="preserve">PTH</x:t>
  </x:si>
  <x:si>
    <x:t xml:space="preserve">HCR</x:t>
  </x:si>
  <x:si>
    <x:t xml:space="preserve">C3PUTIH</x:t>
  </x:si>
  <x:si>
    <x:t xml:space="preserve">OVAL1BERAS</x:t>
  </x:si>
  <x:si>
    <x:t xml:space="preserve">C2PUTIH</x:t>
  </x:si>
  <x:si>
    <x:t xml:space="preserve">C3BERAS</x:t>
  </x:si>
  <x:si>
    <x:t xml:space="preserve">OVAL2PUTIH</x:t>
  </x:si>
  <x:si>
    <x:t xml:space="preserve">OVAL2BERAS</x:t>
  </x:si>
  <x:si>
    <x:t xml:space="preserve">SKPUTIH</x:t>
  </x:si>
  <x:si>
    <x:t xml:space="preserve">VK</x:t>
  </x:si>
  <x:si>
    <x:t xml:space="preserve">S6</x:t>
  </x:si>
  <x:si>
    <x:t xml:space="preserve">PTHK</x:t>
  </x:si>
  <x:si>
    <x:t xml:space="preserve">C1PUTIH</x:t>
  </x:si>
  <x:si>
    <x:t xml:space="preserve">NO</x:t>
  </x:si>
  <x:si>
    <x:t xml:space="preserve">Tanggal Kirim</x:t>
  </x:si>
  <x:si>
    <x:t xml:space="preserve">No Packing list</x:t>
  </x:si>
  <x:si>
    <x:t xml:space="preserve">Nama Packing list</x:t>
  </x:si>
  <x:si>
    <x:t xml:space="preserve">Tujuan</x:t>
  </x:si>
  <x:si>
    <x:t xml:space="preserve">Box</x:t>
  </x:si>
  <x:si>
    <x:t xml:space="preserve">Gr+kadar</x:t>
  </x:si>
  <x:si>
    <x:t xml:space="preserve">Rata2</x:t>
  </x:si>
  <x:si>
    <x:t xml:space="preserve">11 Juli 2026</x:t>
  </x:si>
  <x:si>
    <x:t xml:space="preserve">PI 1016</x:t>
  </x:si>
  <x:si>
    <x:t xml:space="preserve">Herry</x:t>
  </x:si>
  <x:si>
    <x:t xml:space="preserve">X12</x:t>
  </x:si>
  <x:si>
    <x:t xml:space="preserve">21 Juli 2026</x:t>
  </x:si>
  <x:si>
    <x:t xml:space="preserve">PI 1017</x:t>
  </x:si>
  <x:si>
    <x:t xml:space="preserve">N18</x:t>
  </x:si>
  <x:si>
    <x:t xml:space="preserve">PI 1018</x:t>
  </x:si>
  <x:si>
    <x:t xml:space="preserve">LINDA</x:t>
  </x:si>
  <x:si>
    <x:t xml:space="preserve">PI 1019</x:t>
  </x:si>
  <x:si>
    <x:t xml:space="preserve">PI 1020</x:t>
  </x:si>
  <x:si>
    <x:t xml:space="preserve">OMA LILY</x:t>
  </x:si>
  <x:si>
    <x:t xml:space="preserve">22 Juli 2026</x:t>
  </x:si>
  <x:si>
    <x:t xml:space="preserve">PI 1021</x:t>
  </x:si>
  <x:si>
    <x:t xml:space="preserve">EVELINE</x:t>
  </x:si>
  <x:si>
    <x:t xml:space="preserve">04 Agustus 2026</x:t>
  </x:si>
  <x:si>
    <x:t xml:space="preserve">PI 1022</x:t>
  </x:si>
  <x:si>
    <x:t xml:space="preserve">X13</x:t>
  </x:si>
  <x:si>
    <x:t xml:space="preserve">Divisi</x:t>
  </x:si>
  <x:si>
    <x:t xml:space="preserve">Cabut</x:t>
  </x:si>
  <x:si>
    <x:t xml:space="preserve">Cetak di gudang</x:t>
  </x:si>
  <x:si>
    <x:t xml:space="preserve">Minah</x:t>
  </x:si>
  <x:si>
    <x:t xml:space="preserve">cetak ditangan anak</x:t>
  </x:si>
  <x:si>
    <x:t xml:space="preserve">Sortir</x:t>
  </x:si>
  <x:si>
    <x:t xml:space="preserve">Belum grading</x:t>
  </x:si>
  <x:si>
    <x:t xml:space="preserve">Wip</x:t>
  </x:si>
  <x:si>
    <x:t xml:space="preserve">Packing</x:t>
  </x:si>
  <x:si>
    <x:t xml:space="preserve">Pengiriman</x:t>
  </x:si>
  <x:si>
    <x:t xml:space="preserve">BK Awal</x:t>
  </x:si>
  <x:si>
    <x:t xml:space="preserve">Bjm 1004</x:t>
  </x:si>
  <x:si>
    <x:t xml:space="preserve">rata2</x:t>
  </x:si>
  <x:si>
    <x:t xml:space="preserve">Bjm 1005</x:t>
  </x:si>
  <x:si>
    <x:t xml:space="preserve">Bjm 1006</x:t>
  </x:si>
  <x:si>
    <x:t xml:space="preserve">Bjm 1007</x:t>
  </x:si>
  <x:si>
    <x:t xml:space="preserve">Total</x:t>
  </x:si>
  <x:si>
    <x:t xml:space="preserve">cost June</x:t>
  </x:si>
  <x:si>
    <x:t xml:space="preserve">cost july</x:t>
  </x:si>
  <x:si>
    <x:t xml:space="preserve">selisih</x:t>
  </x:si>
  <x:si>
    <x:t xml:space="preserve">susut</x:t>
  </x:si>
  <x:si>
    <x:t xml:space="preserve">No nota</x:t>
  </x:si>
  <x:si>
    <x:t xml:space="preserve">Gr pengiriman</x:t>
  </x:si>
  <x:si>
    <x:t xml:space="preserve">Cost operasional Juni</x:t>
  </x:si>
  <x:si>
    <x:t xml:space="preserve">14.134.855</x:t>
  </x:si>
  <x:si>
    <x:t xml:space="preserve">15.953.415</x:t>
  </x:si>
  <x:si>
    <x:t xml:space="preserve">28.110.459</x:t>
  </x:si>
  <x:si>
    <x:t xml:space="preserve">40.120.008</x:t>
  </x:si>
  <x:si>
    <x:t xml:space="preserve">36.153.164</x:t>
  </x:si>
  <x:si>
    <x:t xml:space="preserve">35.450.429</x:t>
  </x:si>
  <x:si>
    <x:t xml:space="preserve">44.248.241</x:t>
  </x:si>
  <x:si>
    <x:t xml:space="preserve">9.877.832</x:t>
  </x:si>
  <x:si>
    <x:t xml:space="preserve">2.885.755</x:t>
  </x:si>
  <x:si>
    <x:t xml:space="preserve">2.404.796</x:t>
  </x:si>
  <x:si>
    <x:t xml:space="preserve">22.725.319</x:t>
  </x:si>
  <x:si>
    <x:t xml:space="preserve">12.023.978</x:t>
  </x:si>
  <x:si>
    <x:t xml:space="preserve">267.374.805</x:t>
  </x:si>
  <x:si>
    <x:t xml:space="preserve">No Nota</x:t>
  </x:si>
  <x:si>
    <x:t xml:space="preserve">Cost Operasional Juni</x:t>
  </x:si>
</x:sst>
</file>

<file path=xl/styles.xml><?xml version="1.0" encoding="utf-8"?>
<x:styleSheet xmlns:x="http://schemas.openxmlformats.org/spreadsheetml/2006/main">
  <x:numFmts count="5">
    <x:numFmt numFmtId="8" formatCode="&quot;Rp&quot;#,##0.00;[Red]\-&quot;Rp&quot;#,##0.00"/>
    <x:numFmt numFmtId="41" formatCode="_-* #,##0_-;\-* #,##0_-;_-* &quot;-&quot;_-;_-@_-"/>
    <x:numFmt numFmtId="43" formatCode="_-* #,##0.00_-;\-* #,##0.00_-;_-* &quot;-&quot;??_-;_-@_-"/>
    <x:numFmt numFmtId="164" formatCode="_-* #,##0_-;\-* #,##0_-;_-* &quot;-&quot;_-;_-@"/>
    <x:numFmt numFmtId="200" formatCode="#,##0"/>
  </x:numFmts>
  <x:fonts count="9">
    <x:font>
      <x:sz val="11"/>
      <x:color theme="1"/>
      <x:name val="Calibri"/>
    </x:font>
    <x:font>
      <x:sz val="11"/>
      <x:color theme="1"/>
      <x:name val="Calibri"/>
    </x:font>
    <x:font>
      <x:b/>
      <x:sz val="11"/>
      <x:color theme="1"/>
      <x:name val="Calibri"/>
    </x:font>
    <x:font>
      <x:b/>
      <x:sz val="11"/>
      <x:color theme="2" tint="-0.89999"/>
      <x:name val="Calibri"/>
    </x:font>
    <x:font>
      <x:sz val="12"/>
      <x:color theme="1"/>
      <x:name val="Aptos Narrow"/>
    </x:font>
    <x:font>
      <x:b/>
      <x:sz val="12"/>
      <x:color theme="1"/>
      <x:name val="Calibri"/>
    </x:font>
    <x:font>
      <x:sz val="11"/>
      <x:color rgb="FFFF0000"/>
      <x:name val="Calibri"/>
    </x:font>
    <x:font>
      <x:b/>
      <x:sz val="11"/>
      <x:color rgb="FF7F6000"/>
      <x:name val="Calibri"/>
    </x:font>
    <x:font>
      <x:b/>
      <x:sz val="11"/>
      <x:color rgb="FFC6591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FF0000"/>
      </x:patternFill>
    </x:fill>
    <x:fill>
      <x:patternFill patternType="solid">
        <x:fgColor rgb="FFFFF2CC"/>
      </x:patternFill>
    </x:fill>
  </x:fills>
  <x:borders count="5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3">
    <x:xf numFmtId="0" fontId="0" fillId="0" borderId="0"/>
    <x:xf numFmtId="41" fontId="1" fillId="0" borderId="0" applyFont="0" applyFill="0" applyBorder="0" applyAlignment="0" applyProtection="0"/>
    <x:xf numFmtId="9" fontId="1" fillId="0" borderId="0" applyFont="0" applyFill="0" applyBorder="0" applyAlignment="0" applyProtection="0"/>
  </x:cellStyleXfs>
  <x:cellXfs count="53">
    <x:xf numFmtId="0" fontId="0" fillId="0" borderId="0" xfId="0"/>
    <x:xf numFmtId="0" fontId="2" fillId="0" borderId="1" xfId="0" applyFont="1" applyBorder="1" applyAlignment="1">
      <x:alignment horizontal="center"/>
    </x:xf>
    <x:xf numFmtId="0" fontId="0" fillId="0" borderId="1" xfId="0" applyBorder="1"/>
    <x:xf numFmtId="41" fontId="0" fillId="0" borderId="1" xfId="1" applyFont="1" applyBorder="1"/>
    <x:xf numFmtId="43" fontId="0" fillId="0" borderId="1" xfId="0" applyNumberFormat="1" applyBorder="1"/>
    <x:xf numFmtId="41" fontId="2" fillId="0" borderId="1" xfId="1" applyFont="1" applyBorder="1" applyAlignment="1">
      <x:alignment horizontal="center"/>
    </x:xf>
    <x:xf numFmtId="41" fontId="0" fillId="0" borderId="0" xfId="1" applyFont="1"/>
    <x:xf numFmtId="41" fontId="0" fillId="0" borderId="0" xfId="1" applyFont="1"/>
    <x:xf numFmtId="41" fontId="0" fillId="0" borderId="0" xfId="1" applyFont="1" applyAlignment="1">
      <x:alignment horizontal="left"/>
    </x:xf>
    <x:xf numFmtId="0" fontId="2" fillId="0" borderId="1" xfId="0" applyFont="1" applyBorder="1"/>
    <x:xf numFmtId="0" fontId="0" fillId="0" borderId="1" xfId="0" applyBorder="1" applyAlignment="1">
      <x:alignment horizontal="center"/>
    </x:xf>
    <x:xf numFmtId="0" fontId="0" fillId="0" borderId="0" xfId="0" applyAlignment="1">
      <x:alignment horizontal="center"/>
    </x:xf>
    <x:xf numFmtId="0" fontId="0" fillId="2" borderId="1" xfId="0" applyFill="1" applyBorder="1" applyAlignment="1">
      <x:alignment horizontal="center"/>
    </x:xf>
    <x:xf numFmtId="0" fontId="0" fillId="0" borderId="3" xfId="0" applyBorder="1"/>
    <x:xf numFmtId="0" fontId="0" fillId="0" borderId="4" xfId="0" applyBorder="1"/>
    <x:xf numFmtId="3" fontId="0" fillId="0" borderId="0" xfId="0" applyNumberFormat="1"/>
    <x:xf numFmtId="3" fontId="0" fillId="0" borderId="1" xfId="0" applyNumberFormat="1" applyBorder="1"/>
    <x:xf numFmtId="41" fontId="2" fillId="0" borderId="1" xfId="1" applyFont="1" applyBorder="1"/>
    <x:xf numFmtId="41" fontId="2" fillId="0" borderId="0" xfId="1" applyFont="1"/>
    <x:xf numFmtId="0" fontId="2" fillId="0" borderId="2" xfId="0" applyFont="1" applyBorder="1" applyAlignment="1">
      <x:alignment horizontal="center"/>
    </x:xf>
    <x:xf numFmtId="0" fontId="4" fillId="0" borderId="0" xfId="0" applyFont="1"/>
    <x:xf numFmtId="164" fontId="4" fillId="0" borderId="0" xfId="0" applyNumberFormat="1" applyFont="1"/>
    <x:xf numFmtId="41" fontId="0" fillId="0" borderId="1" xfId="1" applyFont="1" applyBorder="1" applyAlignment="1">
      <x:alignment horizontal="center"/>
    </x:xf>
    <x:xf numFmtId="41" fontId="0" fillId="0" borderId="0" xfId="1" applyFont="1" applyAlignment="1">
      <x:alignment horizontal="center"/>
    </x:xf>
    <x:xf numFmtId="0" fontId="2" fillId="0" borderId="0" xfId="0" applyFont="1"/>
    <x:xf numFmtId="0" fontId="0" fillId="3" borderId="1" xfId="0" applyFill="1" applyBorder="1"/>
    <x:xf numFmtId="41" fontId="2" fillId="0" borderId="1" xfId="1" applyFont="1" applyBorder="1" applyAlignment="1">
      <x:alignment horizontal="right"/>
    </x:xf>
    <x:xf numFmtId="41" fontId="1" fillId="0" borderId="1" xfId="1" applyFont="1" applyBorder="1" applyAlignment="1">
      <x:alignment horizontal="right"/>
    </x:xf>
    <x:xf numFmtId="41" fontId="1" fillId="0" borderId="0" xfId="1" applyFont="1" applyAlignment="1">
      <x:alignment horizontal="right"/>
    </x:xf>
    <x:xf numFmtId="41" fontId="0" fillId="0" borderId="0" xfId="1" applyFont="1" applyAlignment="1">
      <x:alignment horizontal="right"/>
    </x:xf>
    <x:xf numFmtId="41" fontId="0" fillId="2" borderId="1" xfId="1" applyFont="1" applyFill="1" applyBorder="1" applyAlignment="1">
      <x:alignment horizontal="left"/>
    </x:xf>
    <x:xf numFmtId="41" fontId="0" fillId="2" borderId="1" xfId="1" applyFont="1" applyFill="1" applyBorder="1"/>
    <x:xf numFmtId="41" fontId="0" fillId="0" borderId="0" xfId="0" applyNumberFormat="1"/>
    <x:xf numFmtId="41" fontId="5" fillId="0" borderId="1" xfId="1" applyFont="1" applyBorder="1"/>
    <x:xf numFmtId="9" fontId="2" fillId="0" borderId="0" xfId="2" applyFont="1"/>
    <x:xf numFmtId="17" fontId="0" fillId="0" borderId="0" xfId="0" applyNumberFormat="1"/>
    <x:xf numFmtId="41" fontId="3" fillId="0" borderId="1" xfId="1" applyFont="1" applyBorder="1"/>
    <x:xf numFmtId="41" fontId="1" fillId="0" borderId="1" xfId="1" applyFont="1" applyFill="1" applyBorder="1"/>
    <x:xf numFmtId="41" fontId="0" fillId="0" borderId="1" xfId="0" applyNumberFormat="1" applyBorder="1"/>
    <x:xf numFmtId="41" fontId="1" fillId="2" borderId="1" xfId="1" applyFont="1" applyFill="1" applyBorder="1"/>
    <x:xf numFmtId="41" fontId="0" fillId="0" borderId="0" xfId="1" applyFont="1" applyFill="1" applyBorder="1"/>
    <x:xf numFmtId="41" fontId="6" fillId="0" borderId="0" xfId="1" applyFont="1"/>
    <x:xf numFmtId="41" fontId="2" fillId="0" borderId="2" xfId="1" applyFont="1" applyFill="1" applyBorder="1" applyAlignment="1">
      <x:alignment horizontal="center"/>
    </x:xf>
    <x:xf numFmtId="8" fontId="0" fillId="0" borderId="0" xfId="0" applyNumberFormat="1"/>
    <x:xf numFmtId="0" fontId="0" fillId="0" borderId="0" xfId="0" applyNumberFormat="1"/>
    <x:xf numFmtId="41" fontId="0" fillId="4" borderId="1" xfId="0" applyNumberFormat="1" applyFont="1" applyFill="1" applyBorder="1"/>
    <x:xf numFmtId="41" fontId="7" fillId="4" borderId="1" xfId="0" applyNumberFormat="1" applyFont="1" applyFill="1" applyBorder="1"/>
    <x:xf numFmtId="41" fontId="8" fillId="4" borderId="1" xfId="0" applyNumberFormat="1" applyFont="1" applyFill="1" applyBorder="1"/>
    <x:xf numFmtId="200" fontId="0" fillId="0" borderId="1" xfId="0" applyNumberFormat="1" applyFont="1" applyFill="1" applyBorder="1"/>
    <x:xf numFmtId="200" fontId="8" fillId="4" borderId="1" xfId="0" applyNumberFormat="1" applyFont="1" applyFill="1" applyBorder="1"/>
    <x:xf numFmtId="200" fontId="2" fillId="0" borderId="1" xfId="0" applyNumberFormat="1" applyFont="1" applyFill="1" applyBorder="1"/>
    <x:xf numFmtId="200" fontId="0" fillId="0" borderId="0" xfId="0" applyNumberFormat="1" applyFont="1" applyFill="1" applyBorder="1"/>
    <x:xf numFmtId="200" fontId="2" fillId="0" borderId="0" xfId="0" applyNumberFormat="1" applyFont="1" applyFill="1" applyBorder="1"/>
  </x:cellXfs>
  <x:cellStyles count="3">
    <x:cellStyle name="Comma [0]" xfId="1"/>
    <x:cellStyle name="Normal" xfId="0"/>
    <x:cellStyle name="Percent" xfId="2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7eecf38f9c468a" /><Relationship Type="http://schemas.openxmlformats.org/officeDocument/2006/relationships/theme" Target="/xl/theme/theme1.xml" Id="R731091c71edb494b" /><Relationship Type="http://schemas.openxmlformats.org/officeDocument/2006/relationships/sharedStrings" Target="/xl/sharedStrings.xml" Id="Rf70eebbcbd834d5b" /><Relationship Type="http://schemas.openxmlformats.org/officeDocument/2006/relationships/pivotCacheDefinition" Target="/pivotCache/pivotCacheDefinition1.xml" Id="R85a151fbc9de463e" /><Relationship Type="http://schemas.openxmlformats.org/officeDocument/2006/relationships/worksheet" Target="/xl/worksheets/sheet1.xml" Id="R6a14f0c0275b4757" /><Relationship Type="http://schemas.openxmlformats.org/officeDocument/2006/relationships/worksheet" Target="/xl/worksheets/sheet2.xml" Id="R2fd63f576da14640" /><Relationship Type="http://schemas.openxmlformats.org/officeDocument/2006/relationships/worksheet" Target="/xl/worksheets/sheet3.xml" Id="R3fa9710136db4869" /><Relationship Type="http://schemas.openxmlformats.org/officeDocument/2006/relationships/worksheet" Target="/xl/worksheets/sheet4.xml" Id="R95d314da85f94ce2" /><Relationship Type="http://schemas.openxmlformats.org/officeDocument/2006/relationships/worksheet" Target="/xl/worksheets/sheet5.xml" Id="Re9bc57a86fc04c92" /><Relationship Type="http://schemas.openxmlformats.org/officeDocument/2006/relationships/worksheet" Target="/xl/worksheets/sheet6.xml" Id="Rb3b963d37f364b14" /><Relationship Type="http://schemas.openxmlformats.org/officeDocument/2006/relationships/worksheet" Target="/xl/worksheets/sheet7.xml" Id="Rfafd6342c92845ee" /><Relationship Type="http://schemas.openxmlformats.org/officeDocument/2006/relationships/worksheet" Target="/xl/worksheets/sheet8.xml" Id="R6c36626b8fe347e3" /><Relationship Type="http://schemas.openxmlformats.org/officeDocument/2006/relationships/worksheet" Target="/xl/worksheets/sheet9.xml" Id="R0b337c48193f47ac" /><Relationship Type="http://schemas.openxmlformats.org/officeDocument/2006/relationships/worksheet" Target="/xl/worksheets/sheet10.xml" Id="Rb0b3d17239534da4" /><Relationship Type="http://schemas.openxmlformats.org/officeDocument/2006/relationships/worksheet" Target="/xl/worksheets/sheet11.xml" Id="R4b718c1a2da54634" /><Relationship Type="http://schemas.openxmlformats.org/officeDocument/2006/relationships/worksheet" Target="/xl/worksheets/sheet12.xml" Id="R81ae26d2f1214c24" /><Relationship Type="http://schemas.openxmlformats.org/officeDocument/2006/relationships/worksheet" Target="/xl/worksheets/sheet13.xml" Id="R680da957092d4aa9" /></Relationships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e57246ff44374ccc" /></Relationships>
</file>

<file path=xl/pivotTables/pivotTable.xml><?xml version="1.0" encoding="utf-8"?>
<x:pivotTableDefinition xmlns:x="http://schemas.openxmlformats.org/spreadsheetml/2006/main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x:location ref="J1:M9" firstHeaderRow="0" firstDataRow="1" firstDataCol="1"/>
  <x:pivotFields count="8">
    <x:pivotField axis="axisRow" dataField="0" showAll="0">
      <x:items count="9">
        <x:item x="2"/>
        <x:item x="1"/>
        <x:item x="6"/>
        <x:item x="0"/>
        <x:item x="3"/>
        <x:item x="4"/>
        <x:item x="5"/>
        <x:item x="7"/>
        <x:item t="default"/>
      </x:items>
    </x:pivotField>
    <x:pivotField dataField="0" showAll="0"/>
    <x:pivotField dataField="0" showAll="0"/>
    <x:pivotField dataField="0" showAll="0"/>
    <x:pivotField axis="axisValues" dataField="1" showAll="0"/>
    <x:pivotField axis="axisValues" dataField="1" showAll="0"/>
    <x:pivotField dataField="0" showAll="0"/>
    <x:pivotField axis="axisValues" dataField="1" showAll="0"/>
  </x:pivotFields>
  <x:rowFields count="1">
    <x:field x="0"/>
  </x:rowFields>
  <x:rowItems count="8">
    <x:i>
      <x:x v="0"/>
    </x:i>
    <x:i>
      <x:x v="1"/>
    </x:i>
    <x:i>
      <x:x v="2"/>
    </x:i>
    <x:i>
      <x:x v="3"/>
    </x:i>
    <x:i>
      <x:x v="4"/>
    </x:i>
    <x:i>
      <x:x v="5"/>
    </x:i>
    <x:i>
      <x:x v="6"/>
    </x:i>
    <x:i/>
  </x:rowItems>
  <x:colFields count="1">
    <x:field x="-2"/>
  </x:colFields>
  <x:colItems count="3">
    <x:i>
      <x:x v="0"/>
    </x:i>
    <x:i>
      <x:x v="1"/>
    </x:i>
    <x:i>
      <x:x v="2"/>
    </x:i>
  </x:colItems>
  <x:dataFields count="3">
    <x:dataField name="Sum of Pcs" fld="4" baseField="0" baseItem="0"/>
    <x:dataField name="Sum of Gr" fld="5" baseField="0" baseItem="0"/>
    <x:dataField name="Sum of Total Rp" fld="7" baseField="0" baseItem="0"/>
  </x:dataFields>
  <x:pivotTableStyleInfo name="PivotStyleLight16" showRowHeaders="1" showColHeaders="1" showRowStripes="0" showColStripes="0" showLastColumn="1"/>
  <x:extLst xmlns:x="http://schemas.openxmlformats.org/spreadsheetml/2006/main">
    <x:ext xmlns:x14="http://schemas.microsoft.com/office/spreadsheetml/2009/9/main" uri="{962EF5D1-5CA2-4c93-8EF4-DBF5C05439D2}">
      <x14:pivotTableDefinition xmlns:xm="http://schemas.microsoft.com/office/excel/2006/main" hideValuesRow="1"/>
    </x:ext>
    <x:ext xmlns:xpdl="http://schemas.microsoft.com/office/spreadsheetml/2016/pivotdefaultlayout" uri="{747A6164-185A-40DC-8AA5-F01512510D54}">
      <xpdl:pivotTableDefinition16/>
    </x:ext>
  </x:extLst>
</x: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pivotTable" Target="/xl/pivotTables/pivotTable.xml" Id="Re53a5557751c43b6" /></Relationships>
</file>

<file path=xl/worksheets/sheet1.xml><?xml version="1.0" encoding="utf-8"?>
<x:worksheet xmlns:x="http://schemas.openxmlformats.org/spreadsheetml/2006/main">
  <x:sheetFormatPr defaultRowHeight="14.5"/>
  <x:sheetData>
    <x:row r="1" ht="16">
      <x:c r="A1" s="20" t="s">
        <x:v>0</x:v>
      </x:c>
      <x:c r="B1" s="21">
        <x:v>13000</x:v>
      </x:c>
    </x:row>
    <x:row r="2" ht="16">
      <x:c r="A2" s="20" t="s">
        <x:v>1</x:v>
      </x:c>
      <x:c r="B2" s="21">
        <x:v>10000</x:v>
      </x:c>
    </x:row>
    <x:row r="3" ht="16">
      <x:c r="A3" s="20" t="s">
        <x:v>2</x:v>
      </x:c>
      <x:c r="B3" s="21">
        <x:v>11500</x:v>
      </x:c>
    </x:row>
    <x:row r="4" ht="16">
      <x:c r="A4" s="20" t="s">
        <x:v>3</x:v>
      </x:c>
      <x:c r="B4" s="21">
        <x:v>4000</x:v>
      </x:c>
    </x:row>
    <x:row r="5" ht="16">
      <x:c r="A5" s="20" t="s">
        <x:v>4</x:v>
      </x:c>
      <x:c r="B5" s="21">
        <x:v>1</x:v>
      </x:c>
    </x:row>
    <x:row r="6" ht="16">
      <x:c r="A6" s="20" t="s">
        <x:v>5</x:v>
      </x:c>
      <x:c r="B6" s="21">
        <x:v>4000</x:v>
      </x:c>
    </x:row>
    <x:row r="7" ht="16">
      <x:c r="A7" s="20" t="s">
        <x:v>6</x:v>
      </x:c>
      <x:c r="B7" s="21">
        <x:v>7500</x:v>
      </x:c>
    </x:row>
    <x:row r="8" ht="16">
      <x:c r="A8" s="20" t="s">
        <x:v>7</x:v>
      </x:c>
      <x:c r="B8" s="21">
        <x:v>0</x:v>
      </x:c>
    </x:row>
    <x:row r="9" ht="16">
      <x:c r="A9" s="20" t="s">
        <x:v>8</x:v>
      </x:c>
      <x:c r="B9" s="21">
        <x:v>4000</x:v>
      </x:c>
    </x:row>
    <x:row r="10" ht="16">
      <x:c r="A10" s="20" t="s">
        <x:v>9</x:v>
      </x:c>
      <x:c r="B10" s="21">
        <x:v>9000</x:v>
      </x:c>
    </x:row>
    <x:row r="11" ht="16">
      <x:c r="A11" s="20" t="s">
        <x:v>10</x:v>
      </x:c>
      <x:c r="B11" s="21">
        <x:v>4000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5"/>
  <x:cols>
    <x:col min="1" max="1" width="16" customWidth="1"/>
    <x:col min="2" max="2" width="8.453125" customWidth="1"/>
    <x:col min="3" max="3" width="8.26953125" customWidth="1"/>
    <x:col min="4" max="4" width="16.1796875" customWidth="1"/>
    <x:col min="5" max="6" width="13.08984375" customWidth="1"/>
    <x:col min="7" max="7" width="13.08984375" style="6" customWidth="1"/>
    <x:col min="8" max="8" width="10" style="6" customWidth="1"/>
    <x:col min="10" max="10" width="16" style="6" customWidth="1"/>
    <x:col min="11" max="11" width="9.81640625" style="6" customWidth="1"/>
    <x:col min="12" max="12" width="9.08984375" style="6" customWidth="1"/>
    <x:col min="13" max="13" width="14.08984375" style="6" customWidth="1"/>
  </x:cols>
  <x:sheetData>
    <x:row r="1">
      <x:c r="A1" s="1" t="s">
        <x:v>11</x:v>
      </x:c>
      <x:c r="B1" s="1" t="s">
        <x:v>12</x:v>
      </x:c>
      <x:c r="C1" s="1" t="s">
        <x:v>13</x:v>
      </x:c>
      <x:c r="D1" s="1" t="s">
        <x:v>14</x:v>
      </x:c>
      <x:c r="E1" s="1" t="s">
        <x:v>15</x:v>
      </x:c>
      <x:c r="F1" s="1" t="s">
        <x:v>16</x:v>
      </x:c>
      <x:c r="G1" s="5" t="s">
        <x:v>17</x:v>
      </x:c>
      <x:c r="H1" s="5" t="s">
        <x:v>18</x:v>
      </x:c>
      <x:c r="J1" s="7" t="str">
        <x:v>Row Labels</x:v>
      </x:c>
      <x:c r="K1" s="6" t="str">
        <x:v>Sum of Pcs</x:v>
      </x:c>
      <x:c r="L1" s="6" t="str">
        <x:v>Sum of Gr</x:v>
      </x:c>
      <x:c r="M1" s="6" t="str">
        <x:v>Sum of Total Rp</x:v>
      </x:c>
    </x:row>
    <x:row r="2">
      <x:c r="A2" s="2" t="s">
        <x:v>19</x:v>
      </x:c>
      <x:c r="B2" s="2">
        <x:v>10561</x:v>
      </x:c>
      <x:c r="C2" s="2">
        <x:v>12087</x:v>
      </x:c>
      <x:c r="D2" s="2" t="s">
        <x:v>1</x:v>
      </x:c>
      <x:c r="E2" s="2">
        <x:v>37</x:v>
      </x:c>
      <x:c r="F2" s="2">
        <x:v>207</x:v>
      </x:c>
      <x:c r="G2" s="3">
        <x:v>5691.0353520252002</x:v>
      </x:c>
      <x:c r="H2" s="3">
        <x:v>1178044.3178692164</x:v>
      </x:c>
      <x:c r="J2" s="8" t="str">
        <x:v>Eka Pebriana Putri</x:v>
      </x:c>
      <x:c r="K2" s="6" t="n">
        <x:v>6422</x:v>
      </x:c>
      <x:c r="L2" s="6" t="n">
        <x:v>41263</x:v>
      </x:c>
      <x:c r="M2" s="6" t="n">
        <x:v>251377626.43742314</x:v>
      </x:c>
    </x:row>
    <x:row r="3">
      <x:c r="A3" s="2" t="s">
        <x:v>19</x:v>
      </x:c>
      <x:c r="B3" s="2">
        <x:v>10562</x:v>
      </x:c>
      <x:c r="C3" s="2">
        <x:v>12088</x:v>
      </x:c>
      <x:c r="D3" s="2" t="s">
        <x:v>1</x:v>
      </x:c>
      <x:c r="E3" s="2">
        <x:v>41</x:v>
      </x:c>
      <x:c r="F3" s="2">
        <x:v>240</x:v>
      </x:c>
      <x:c r="G3" s="3">
        <x:v>5691.0353520252002</x:v>
      </x:c>
      <x:c r="H3" s="3">
        <x:v>1365848.4844860481</x:v>
      </x:c>
      <x:c r="J3" s="8" t="str">
        <x:v>Erna</x:v>
      </x:c>
      <x:c r="K3" s="6" t="n">
        <x:v>6382</x:v>
      </x:c>
      <x:c r="L3" s="6" t="n">
        <x:v>37791</x:v>
      </x:c>
      <x:c r="M3" s="6" t="n">
        <x:v>231185705.3532371</x:v>
      </x:c>
    </x:row>
    <x:row r="4">
      <x:c r="A4" s="2" t="s">
        <x:v>19</x:v>
      </x:c>
      <x:c r="B4" s="2">
        <x:v>10563</x:v>
      </x:c>
      <x:c r="C4" s="2">
        <x:v>12089</x:v>
      </x:c>
      <x:c r="D4" s="2" t="s">
        <x:v>1</x:v>
      </x:c>
      <x:c r="E4" s="2">
        <x:v>40</x:v>
      </x:c>
      <x:c r="F4" s="2">
        <x:v>240</x:v>
      </x:c>
      <x:c r="G4" s="3">
        <x:v>5691.0353520252002</x:v>
      </x:c>
      <x:c r="H4" s="3">
        <x:v>1365848.4844860481</x:v>
      </x:c>
      <x:c r="J4" s="8" t="str">
        <x:v>Martadah</x:v>
      </x:c>
      <x:c r="K4" s="6" t="n">
        <x:v>0</x:v>
      </x:c>
      <x:c r="L4" s="6" t="n">
        <x:v>22750</x:v>
      </x:c>
      <x:c r="M4" s="6" t="n">
        <x:v>141422411.7268497</x:v>
      </x:c>
    </x:row>
    <x:row r="5">
      <x:c r="A5" s="2" t="s">
        <x:v>19</x:v>
      </x:c>
      <x:c r="B5" s="2">
        <x:v>10564</x:v>
      </x:c>
      <x:c r="C5" s="2">
        <x:v>12090</x:v>
      </x:c>
      <x:c r="D5" s="2" t="s">
        <x:v>1</x:v>
      </x:c>
      <x:c r="E5" s="2">
        <x:v>41</x:v>
      </x:c>
      <x:c r="F5" s="2">
        <x:v>240</x:v>
      </x:c>
      <x:c r="G5" s="3">
        <x:v>5691.0353520252002</x:v>
      </x:c>
      <x:c r="H5" s="3">
        <x:v>1365848.4844860481</x:v>
      </x:c>
      <x:c r="J5" s="8" t="str">
        <x:v>Norjanah</x:v>
      </x:c>
      <x:c r="K5" s="6" t="n">
        <x:v>5775</x:v>
      </x:c>
      <x:c r="L5" s="6" t="n">
        <x:v>34569</x:v>
      </x:c>
      <x:c r="M5" s="6" t="n">
        <x:v>212856815.43697128</x:v>
      </x:c>
    </x:row>
    <x:row r="6">
      <x:c r="A6" s="2" t="s">
        <x:v>19</x:v>
      </x:c>
      <x:c r="B6" s="2">
        <x:v>10571</x:v>
      </x:c>
      <x:c r="C6" s="2">
        <x:v>12091</x:v>
      </x:c>
      <x:c r="D6" s="2" t="s">
        <x:v>6</x:v>
      </x:c>
      <x:c r="E6" s="2">
        <x:v>31</x:v>
      </x:c>
      <x:c r="F6" s="2">
        <x:v>240</x:v>
      </x:c>
      <x:c r="G6" s="3">
        <x:v>5691.0353520252002</x:v>
      </x:c>
      <x:c r="H6" s="3">
        <x:v>1365848.4844860481</x:v>
      </x:c>
      <x:c r="J6" s="8" t="str">
        <x:v>Nur Lailatul Fitria</x:v>
      </x:c>
      <x:c r="K6" s="6" t="n">
        <x:v>9146</x:v>
      </x:c>
      <x:c r="L6" s="6" t="n">
        <x:v>60388</x:v>
      </x:c>
      <x:c r="M6" s="6" t="n">
        <x:v>423247449.50999534</x:v>
      </x:c>
    </x:row>
    <x:row r="7">
      <x:c r="A7" s="2" t="s">
        <x:v>19</x:v>
      </x:c>
      <x:c r="B7" s="2">
        <x:v>10574</x:v>
      </x:c>
      <x:c r="C7" s="2">
        <x:v>12092</x:v>
      </x:c>
      <x:c r="D7" s="2" t="s">
        <x:v>20</x:v>
      </x:c>
      <x:c r="E7" s="2">
        <x:v>51</x:v>
      </x:c>
      <x:c r="F7" s="2">
        <x:v>240</x:v>
      </x:c>
      <x:c r="G7" s="3">
        <x:v>5691.0353520252002</x:v>
      </x:c>
      <x:c r="H7" s="3">
        <x:v>1365848.4844860481</x:v>
      </x:c>
      <x:c r="J7" s="8" t="str">
        <x:v>Sufatmi</x:v>
      </x:c>
      <x:c r="K7" s="6" t="n">
        <x:v>7286</x:v>
      </x:c>
      <x:c r="L7" s="6" t="n">
        <x:v>46753</x:v>
      </x:c>
      <x:c r="M7" s="6" t="n">
        <x:v>313054163.86774427</x:v>
      </x:c>
    </x:row>
    <x:row r="8">
      <x:c r="A8" s="2" t="s">
        <x:v>19</x:v>
      </x:c>
      <x:c r="B8" s="2">
        <x:v>10577</x:v>
      </x:c>
      <x:c r="C8" s="2">
        <x:v>12093</x:v>
      </x:c>
      <x:c r="D8" s="2" t="s">
        <x:v>20</x:v>
      </x:c>
      <x:c r="E8" s="2">
        <x:v>51</x:v>
      </x:c>
      <x:c r="F8" s="2">
        <x:v>240</x:v>
      </x:c>
      <x:c r="G8" s="3">
        <x:v>5691.0353520252002</x:v>
      </x:c>
      <x:c r="H8" s="3">
        <x:v>1365848.4844860481</x:v>
      </x:c>
      <x:c r="J8" s="8" t="str">
        <x:v>yuli sby</x:v>
      </x:c>
      <x:c r="K8" s="6" t="n">
        <x:v>5176</x:v>
      </x:c>
      <x:c r="L8" s="6" t="n">
        <x:v>39506</x:v>
      </x:c>
      <x:c r="M8" s="6" t="n">
        <x:v>254975710.18963137</x:v>
      </x:c>
    </x:row>
    <x:row r="9">
      <x:c r="A9" s="2" t="s">
        <x:v>19</x:v>
      </x:c>
      <x:c r="B9" s="2">
        <x:v>10578</x:v>
      </x:c>
      <x:c r="C9" s="2">
        <x:v>12094</x:v>
      </x:c>
      <x:c r="D9" s="2" t="s">
        <x:v>20</x:v>
      </x:c>
      <x:c r="E9" s="2">
        <x:v>51</x:v>
      </x:c>
      <x:c r="F9" s="2">
        <x:v>240</x:v>
      </x:c>
      <x:c r="G9" s="3">
        <x:v>5691.0353520252002</x:v>
      </x:c>
      <x:c r="H9" s="3">
        <x:v>1365848.4844860481</x:v>
      </x:c>
      <x:c r="J9" s="8" t="str">
        <x:v>Grand Total</x:v>
      </x:c>
      <x:c r="K9" t="n">
        <x:v>40187</x:v>
      </x:c>
      <x:c r="L9" t="n">
        <x:v>283020</x:v>
      </x:c>
      <x:c r="M9" t="n">
        <x:v>1828119882.521829</x:v>
      </x:c>
    </x:row>
    <x:row r="10">
      <x:c r="A10" s="2" t="s">
        <x:v>19</x:v>
      </x:c>
      <x:c r="B10" s="2">
        <x:v>10579</x:v>
      </x:c>
      <x:c r="C10" s="2">
        <x:v>12095</x:v>
      </x:c>
      <x:c r="D10" s="2" t="s">
        <x:v>20</x:v>
      </x:c>
      <x:c r="E10" s="2">
        <x:v>51</x:v>
      </x:c>
      <x:c r="F10" s="2">
        <x:v>240</x:v>
      </x:c>
      <x:c r="G10" s="3">
        <x:v>5691.0353520252002</x:v>
      </x:c>
      <x:c r="H10" s="3">
        <x:v>1365848.4844860481</x:v>
      </x:c>
      <x:c r="J10" s="8" t="s">
        <x:v>21</x:v>
      </x:c>
      <x:c r="K10" s="6">
        <x:v>40187</x:v>
      </x:c>
      <x:c r="L10" s="6">
        <x:v>283020</x:v>
      </x:c>
      <x:c r="M10" s="6">
        <x:v>1828119882.5218523</x:v>
      </x:c>
    </x:row>
    <x:row r="11">
      <x:c r="A11" s="2" t="s">
        <x:v>19</x:v>
      </x:c>
      <x:c r="B11" s="2">
        <x:v>10580</x:v>
      </x:c>
      <x:c r="C11" s="2">
        <x:v>12096</x:v>
      </x:c>
      <x:c r="D11" s="2" t="s">
        <x:v>20</x:v>
      </x:c>
      <x:c r="E11" s="2">
        <x:v>51</x:v>
      </x:c>
      <x:c r="F11" s="2">
        <x:v>240</x:v>
      </x:c>
      <x:c r="G11" s="3">
        <x:v>5691.0353520252002</x:v>
      </x:c>
      <x:c r="H11" s="3">
        <x:v>1365848.4844860481</x:v>
      </x:c>
    </x:row>
    <x:row r="12">
      <x:c r="A12" s="2" t="s">
        <x:v>19</x:v>
      </x:c>
      <x:c r="B12" s="2">
        <x:v>10584</x:v>
      </x:c>
      <x:c r="C12" s="2">
        <x:v>12097</x:v>
      </x:c>
      <x:c r="D12" s="2" t="s">
        <x:v>20</x:v>
      </x:c>
      <x:c r="E12" s="2">
        <x:v>52</x:v>
      </x:c>
      <x:c r="F12" s="2">
        <x:v>240</x:v>
      </x:c>
      <x:c r="G12" s="3">
        <x:v>5691.0353520252002</x:v>
      </x:c>
      <x:c r="H12" s="3">
        <x:v>1365848.4844860481</x:v>
      </x:c>
    </x:row>
    <x:row r="13">
      <x:c r="A13" s="2" t="s">
        <x:v>19</x:v>
      </x:c>
      <x:c r="B13" s="2">
        <x:v>10585</x:v>
      </x:c>
      <x:c r="C13" s="2">
        <x:v>12098</x:v>
      </x:c>
      <x:c r="D13" s="2" t="s">
        <x:v>20</x:v>
      </x:c>
      <x:c r="E13" s="2">
        <x:v>52</x:v>
      </x:c>
      <x:c r="F13" s="2">
        <x:v>240</x:v>
      </x:c>
      <x:c r="G13" s="3">
        <x:v>5691.0353520252002</x:v>
      </x:c>
      <x:c r="H13" s="3">
        <x:v>1365848.4844860481</x:v>
      </x:c>
    </x:row>
    <x:row r="14">
      <x:c r="A14" s="2" t="s">
        <x:v>19</x:v>
      </x:c>
      <x:c r="B14" s="2">
        <x:v>10586</x:v>
      </x:c>
      <x:c r="C14" s="2">
        <x:v>12099</x:v>
      </x:c>
      <x:c r="D14" s="2" t="s">
        <x:v>20</x:v>
      </x:c>
      <x:c r="E14" s="2">
        <x:v>52</x:v>
      </x:c>
      <x:c r="F14" s="2">
        <x:v>240</x:v>
      </x:c>
      <x:c r="G14" s="3">
        <x:v>5691.0353520252002</x:v>
      </x:c>
      <x:c r="H14" s="3">
        <x:v>1365848.4844860481</x:v>
      </x:c>
    </x:row>
    <x:row r="15">
      <x:c r="A15" s="2" t="s">
        <x:v>19</x:v>
      </x:c>
      <x:c r="B15" s="2">
        <x:v>10587</x:v>
      </x:c>
      <x:c r="C15" s="2">
        <x:v>12100</x:v>
      </x:c>
      <x:c r="D15" s="2" t="s">
        <x:v>20</x:v>
      </x:c>
      <x:c r="E15" s="2">
        <x:v>52</x:v>
      </x:c>
      <x:c r="F15" s="2">
        <x:v>240</x:v>
      </x:c>
      <x:c r="G15" s="3">
        <x:v>5691.0353520252002</x:v>
      </x:c>
      <x:c r="H15" s="3">
        <x:v>1365848.4844860481</x:v>
      </x:c>
    </x:row>
    <x:row r="16">
      <x:c r="A16" s="2" t="s">
        <x:v>19</x:v>
      </x:c>
      <x:c r="B16" s="2">
        <x:v>10588</x:v>
      </x:c>
      <x:c r="C16" s="2">
        <x:v>12101</x:v>
      </x:c>
      <x:c r="D16" s="2" t="s">
        <x:v>20</x:v>
      </x:c>
      <x:c r="E16" s="2">
        <x:v>52</x:v>
      </x:c>
      <x:c r="F16" s="2">
        <x:v>240</x:v>
      </x:c>
      <x:c r="G16" s="3">
        <x:v>5691.0353520252002</x:v>
      </x:c>
      <x:c r="H16" s="3">
        <x:v>1365848.4844860481</x:v>
      </x:c>
    </x:row>
    <x:row r="17">
      <x:c r="A17" s="2" t="s">
        <x:v>19</x:v>
      </x:c>
      <x:c r="B17" s="2">
        <x:v>10589</x:v>
      </x:c>
      <x:c r="C17" s="2">
        <x:v>12102</x:v>
      </x:c>
      <x:c r="D17" s="2" t="s">
        <x:v>20</x:v>
      </x:c>
      <x:c r="E17" s="2">
        <x:v>52</x:v>
      </x:c>
      <x:c r="F17" s="2">
        <x:v>240</x:v>
      </x:c>
      <x:c r="G17" s="3">
        <x:v>5691.0353520252002</x:v>
      </x:c>
      <x:c r="H17" s="3">
        <x:v>1365848.4844860481</x:v>
      </x:c>
    </x:row>
    <x:row r="18">
      <x:c r="A18" s="2" t="s">
        <x:v>19</x:v>
      </x:c>
      <x:c r="B18" s="2">
        <x:v>10591</x:v>
      </x:c>
      <x:c r="C18" s="2">
        <x:v>12103</x:v>
      </x:c>
      <x:c r="D18" s="2" t="s">
        <x:v>20</x:v>
      </x:c>
      <x:c r="E18" s="2">
        <x:v>49</x:v>
      </x:c>
      <x:c r="F18" s="2">
        <x:v>240</x:v>
      </x:c>
      <x:c r="G18" s="3">
        <x:v>5691.0353520252002</x:v>
      </x:c>
      <x:c r="H18" s="3">
        <x:v>1365848.4844860481</x:v>
      </x:c>
    </x:row>
    <x:row r="19">
      <x:c r="A19" s="2" t="s">
        <x:v>19</x:v>
      </x:c>
      <x:c r="B19" s="2">
        <x:v>10594</x:v>
      </x:c>
      <x:c r="C19" s="2">
        <x:v>12104</x:v>
      </x:c>
      <x:c r="D19" s="2" t="s">
        <x:v>20</x:v>
      </x:c>
      <x:c r="E19" s="2">
        <x:v>49</x:v>
      </x:c>
      <x:c r="F19" s="2">
        <x:v>240</x:v>
      </x:c>
      <x:c r="G19" s="3">
        <x:v>5691.0353520252002</x:v>
      </x:c>
      <x:c r="H19" s="3">
        <x:v>1365848.4844860481</x:v>
      </x:c>
    </x:row>
    <x:row r="20">
      <x:c r="A20" s="2" t="s">
        <x:v>19</x:v>
      </x:c>
      <x:c r="B20" s="2">
        <x:v>10595</x:v>
      </x:c>
      <x:c r="C20" s="2">
        <x:v>12105</x:v>
      </x:c>
      <x:c r="D20" s="2" t="s">
        <x:v>20</x:v>
      </x:c>
      <x:c r="E20" s="2">
        <x:v>49</x:v>
      </x:c>
      <x:c r="F20" s="2">
        <x:v>240</x:v>
      </x:c>
      <x:c r="G20" s="3">
        <x:v>5691.0353520252002</x:v>
      </x:c>
      <x:c r="H20" s="3">
        <x:v>1365848.4844860481</x:v>
      </x:c>
    </x:row>
    <x:row r="21">
      <x:c r="A21" s="2" t="s">
        <x:v>19</x:v>
      </x:c>
      <x:c r="B21" s="2">
        <x:v>10596</x:v>
      </x:c>
      <x:c r="C21" s="2">
        <x:v>12106</x:v>
      </x:c>
      <x:c r="D21" s="2" t="s">
        <x:v>20</x:v>
      </x:c>
      <x:c r="E21" s="2">
        <x:v>49</x:v>
      </x:c>
      <x:c r="F21" s="2">
        <x:v>240</x:v>
      </x:c>
      <x:c r="G21" s="3">
        <x:v>5691.0353520252002</x:v>
      </x:c>
      <x:c r="H21" s="3">
        <x:v>1365848.4844860481</x:v>
      </x:c>
    </x:row>
    <x:row r="22">
      <x:c r="A22" s="2" t="s">
        <x:v>19</x:v>
      </x:c>
      <x:c r="B22" s="2">
        <x:v>10597</x:v>
      </x:c>
      <x:c r="C22" s="2">
        <x:v>12107</x:v>
      </x:c>
      <x:c r="D22" s="2" t="s">
        <x:v>20</x:v>
      </x:c>
      <x:c r="E22" s="2">
        <x:v>48</x:v>
      </x:c>
      <x:c r="F22" s="2">
        <x:v>240</x:v>
      </x:c>
      <x:c r="G22" s="3">
        <x:v>5691.0353520252002</x:v>
      </x:c>
      <x:c r="H22" s="3">
        <x:v>1365848.4844860481</x:v>
      </x:c>
    </x:row>
    <x:row r="23">
      <x:c r="A23" s="2" t="s">
        <x:v>19</x:v>
      </x:c>
      <x:c r="B23" s="2">
        <x:v>10598</x:v>
      </x:c>
      <x:c r="C23" s="2">
        <x:v>12108</x:v>
      </x:c>
      <x:c r="D23" s="2" t="s">
        <x:v>20</x:v>
      </x:c>
      <x:c r="E23" s="2">
        <x:v>52</x:v>
      </x:c>
      <x:c r="F23" s="2">
        <x:v>240</x:v>
      </x:c>
      <x:c r="G23" s="3">
        <x:v>5691.0353520252002</x:v>
      </x:c>
      <x:c r="H23" s="3">
        <x:v>1365848.4844860481</x:v>
      </x:c>
    </x:row>
    <x:row r="24">
      <x:c r="A24" s="2" t="s">
        <x:v>19</x:v>
      </x:c>
      <x:c r="B24" s="2">
        <x:v>10599</x:v>
      </x:c>
      <x:c r="C24" s="2">
        <x:v>12109</x:v>
      </x:c>
      <x:c r="D24" s="2" t="s">
        <x:v>20</x:v>
      </x:c>
      <x:c r="E24" s="2">
        <x:v>51</x:v>
      </x:c>
      <x:c r="F24" s="2">
        <x:v>240</x:v>
      </x:c>
      <x:c r="G24" s="3">
        <x:v>5691.0353520252002</x:v>
      </x:c>
      <x:c r="H24" s="3">
        <x:v>1365848.4844860481</x:v>
      </x:c>
    </x:row>
    <x:row r="25">
      <x:c r="A25" s="2" t="s">
        <x:v>19</x:v>
      </x:c>
      <x:c r="B25" s="2">
        <x:v>10600</x:v>
      </x:c>
      <x:c r="C25" s="2">
        <x:v>12110</x:v>
      </x:c>
      <x:c r="D25" s="2" t="s">
        <x:v>20</x:v>
      </x:c>
      <x:c r="E25" s="2">
        <x:v>51</x:v>
      </x:c>
      <x:c r="F25" s="2">
        <x:v>240</x:v>
      </x:c>
      <x:c r="G25" s="3">
        <x:v>5691.0353520252002</x:v>
      </x:c>
      <x:c r="H25" s="3">
        <x:v>1365848.4844860481</x:v>
      </x:c>
    </x:row>
    <x:row r="26">
      <x:c r="A26" s="2" t="s">
        <x:v>19</x:v>
      </x:c>
      <x:c r="B26" s="2">
        <x:v>10601</x:v>
      </x:c>
      <x:c r="C26" s="2">
        <x:v>12111</x:v>
      </x:c>
      <x:c r="D26" s="2" t="s">
        <x:v>20</x:v>
      </x:c>
      <x:c r="E26" s="2">
        <x:v>51</x:v>
      </x:c>
      <x:c r="F26" s="2">
        <x:v>240</x:v>
      </x:c>
      <x:c r="G26" s="3">
        <x:v>5691.0353520252002</x:v>
      </x:c>
      <x:c r="H26" s="3">
        <x:v>1365848.4844860481</x:v>
      </x:c>
    </x:row>
    <x:row r="27">
      <x:c r="A27" s="2" t="s">
        <x:v>19</x:v>
      </x:c>
      <x:c r="B27" s="2">
        <x:v>10602</x:v>
      </x:c>
      <x:c r="C27" s="2">
        <x:v>12112</x:v>
      </x:c>
      <x:c r="D27" s="2" t="s">
        <x:v>20</x:v>
      </x:c>
      <x:c r="E27" s="2">
        <x:v>51</x:v>
      </x:c>
      <x:c r="F27" s="2">
        <x:v>240</x:v>
      </x:c>
      <x:c r="G27" s="3">
        <x:v>5691.0353520252002</x:v>
      </x:c>
      <x:c r="H27" s="3">
        <x:v>1365848.4844860481</x:v>
      </x:c>
    </x:row>
    <x:row r="28">
      <x:c r="A28" s="2" t="s">
        <x:v>19</x:v>
      </x:c>
      <x:c r="B28" s="2">
        <x:v>10604</x:v>
      </x:c>
      <x:c r="C28" s="2">
        <x:v>12113</x:v>
      </x:c>
      <x:c r="D28" s="2" t="s">
        <x:v>20</x:v>
      </x:c>
      <x:c r="E28" s="2">
        <x:v>49</x:v>
      </x:c>
      <x:c r="F28" s="2">
        <x:v>240</x:v>
      </x:c>
      <x:c r="G28" s="3">
        <x:v>5691.0353520252002</x:v>
      </x:c>
      <x:c r="H28" s="3">
        <x:v>1365848.4844860481</x:v>
      </x:c>
    </x:row>
    <x:row r="29">
      <x:c r="A29" s="2" t="s">
        <x:v>19</x:v>
      </x:c>
      <x:c r="B29" s="2">
        <x:v>10605</x:v>
      </x:c>
      <x:c r="C29" s="2">
        <x:v>12114</x:v>
      </x:c>
      <x:c r="D29" s="2" t="s">
        <x:v>20</x:v>
      </x:c>
      <x:c r="E29" s="2">
        <x:v>49</x:v>
      </x:c>
      <x:c r="F29" s="2">
        <x:v>240</x:v>
      </x:c>
      <x:c r="G29" s="3">
        <x:v>5691.0353520252002</x:v>
      </x:c>
      <x:c r="H29" s="3">
        <x:v>1365848.4844860481</x:v>
      </x:c>
    </x:row>
    <x:row r="30">
      <x:c r="A30" s="2" t="s">
        <x:v>19</x:v>
      </x:c>
      <x:c r="B30" s="2">
        <x:v>10623</x:v>
      </x:c>
      <x:c r="C30" s="2">
        <x:v>12115</x:v>
      </x:c>
      <x:c r="D30" s="2" t="s">
        <x:v>22</x:v>
      </x:c>
      <x:c r="E30" s="2">
        <x:v>37</x:v>
      </x:c>
      <x:c r="F30" s="2">
        <x:v>240</x:v>
      </x:c>
      <x:c r="G30" s="3">
        <x:v>5691.0353520252002</x:v>
      </x:c>
      <x:c r="H30" s="3">
        <x:v>1365848.4844860481</x:v>
      </x:c>
    </x:row>
    <x:row r="31">
      <x:c r="A31" s="2" t="s">
        <x:v>19</x:v>
      </x:c>
      <x:c r="B31" s="2">
        <x:v>10942</x:v>
      </x:c>
      <x:c r="C31" s="2">
        <x:v>12116</x:v>
      </x:c>
      <x:c r="D31" s="2" t="s">
        <x:v>5</x:v>
      </x:c>
      <x:c r="E31" s="2">
        <x:v>0</x:v>
      </x:c>
      <x:c r="F31" s="2">
        <x:v>250</x:v>
      </x:c>
      <x:c r="G31" s="3">
        <x:v>6274.3294100822004</x:v>
      </x:c>
      <x:c r="H31" s="3">
        <x:v>1568582.3525205501</x:v>
      </x:c>
    </x:row>
    <x:row r="32">
      <x:c r="A32" s="2" t="s">
        <x:v>19</x:v>
      </x:c>
      <x:c r="B32" s="2">
        <x:v>10943</x:v>
      </x:c>
      <x:c r="C32" s="2">
        <x:v>12117</x:v>
      </x:c>
      <x:c r="D32" s="2" t="s">
        <x:v>5</x:v>
      </x:c>
      <x:c r="E32" s="2">
        <x:v>0</x:v>
      </x:c>
      <x:c r="F32" s="2">
        <x:v>250</x:v>
      </x:c>
      <x:c r="G32" s="3">
        <x:v>6274.3294100822004</x:v>
      </x:c>
      <x:c r="H32" s="3">
        <x:v>1568582.3525205501</x:v>
      </x:c>
    </x:row>
    <x:row r="33">
      <x:c r="A33" s="2" t="s">
        <x:v>19</x:v>
      </x:c>
      <x:c r="B33" s="2">
        <x:v>11144</x:v>
      </x:c>
      <x:c r="C33" s="2">
        <x:v>12118</x:v>
      </x:c>
      <x:c r="D33" s="2" t="s">
        <x:v>23</x:v>
      </x:c>
      <x:c r="E33" s="2">
        <x:v>23</x:v>
      </x:c>
      <x:c r="F33" s="2">
        <x:v>150</x:v>
      </x:c>
      <x:c r="G33" s="3">
        <x:v>6274.3294100822004</x:v>
      </x:c>
      <x:c r="H33" s="3">
        <x:v>941149.41151233006</x:v>
      </x:c>
    </x:row>
    <x:row r="34">
      <x:c r="A34" s="2" t="s">
        <x:v>19</x:v>
      </x:c>
      <x:c r="B34" s="2">
        <x:v>11145</x:v>
      </x:c>
      <x:c r="C34" s="2">
        <x:v>12119</x:v>
      </x:c>
      <x:c r="D34" s="2" t="s">
        <x:v>23</x:v>
      </x:c>
      <x:c r="E34" s="2">
        <x:v>23</x:v>
      </x:c>
      <x:c r="F34" s="2">
        <x:v>150</x:v>
      </x:c>
      <x:c r="G34" s="3">
        <x:v>6274.3294100822004</x:v>
      </x:c>
      <x:c r="H34" s="3">
        <x:v>941149.41151233006</x:v>
      </x:c>
    </x:row>
    <x:row r="35">
      <x:c r="A35" s="2" t="s">
        <x:v>19</x:v>
      </x:c>
      <x:c r="B35" s="2">
        <x:v>11146</x:v>
      </x:c>
      <x:c r="C35" s="2">
        <x:v>12120</x:v>
      </x:c>
      <x:c r="D35" s="2" t="s">
        <x:v>23</x:v>
      </x:c>
      <x:c r="E35" s="2">
        <x:v>23</x:v>
      </x:c>
      <x:c r="F35" s="2">
        <x:v>150</x:v>
      </x:c>
      <x:c r="G35" s="3">
        <x:v>6274.3294100822004</x:v>
      </x:c>
      <x:c r="H35" s="3">
        <x:v>941149.41151233006</x:v>
      </x:c>
    </x:row>
    <x:row r="36">
      <x:c r="A36" s="2" t="s">
        <x:v>19</x:v>
      </x:c>
      <x:c r="B36" s="2">
        <x:v>11147</x:v>
      </x:c>
      <x:c r="C36" s="2">
        <x:v>12121</x:v>
      </x:c>
      <x:c r="D36" s="2" t="s">
        <x:v>23</x:v>
      </x:c>
      <x:c r="E36" s="2">
        <x:v>23</x:v>
      </x:c>
      <x:c r="F36" s="2">
        <x:v>150</x:v>
      </x:c>
      <x:c r="G36" s="3">
        <x:v>6274.3294100822004</x:v>
      </x:c>
      <x:c r="H36" s="3">
        <x:v>941149.41151233006</x:v>
      </x:c>
    </x:row>
    <x:row r="37">
      <x:c r="A37" s="2" t="s">
        <x:v>19</x:v>
      </x:c>
      <x:c r="B37" s="2">
        <x:v>11148</x:v>
      </x:c>
      <x:c r="C37" s="2">
        <x:v>12122</x:v>
      </x:c>
      <x:c r="D37" s="2" t="s">
        <x:v>23</x:v>
      </x:c>
      <x:c r="E37" s="2">
        <x:v>23</x:v>
      </x:c>
      <x:c r="F37" s="2">
        <x:v>150</x:v>
      </x:c>
      <x:c r="G37" s="3">
        <x:v>6274.3294100822004</x:v>
      </x:c>
      <x:c r="H37" s="3">
        <x:v>941149.41151233006</x:v>
      </x:c>
    </x:row>
    <x:row r="38">
      <x:c r="A38" s="2" t="s">
        <x:v>19</x:v>
      </x:c>
      <x:c r="B38" s="2">
        <x:v>11149</x:v>
      </x:c>
      <x:c r="C38" s="2">
        <x:v>12123</x:v>
      </x:c>
      <x:c r="D38" s="2" t="s">
        <x:v>23</x:v>
      </x:c>
      <x:c r="E38" s="2">
        <x:v>22</x:v>
      </x:c>
      <x:c r="F38" s="2">
        <x:v>150</x:v>
      </x:c>
      <x:c r="G38" s="3">
        <x:v>6274.3294100822004</x:v>
      </x:c>
      <x:c r="H38" s="3">
        <x:v>941149.41151233006</x:v>
      </x:c>
    </x:row>
    <x:row r="39">
      <x:c r="A39" s="2" t="s">
        <x:v>19</x:v>
      </x:c>
      <x:c r="B39" s="2">
        <x:v>11150</x:v>
      </x:c>
      <x:c r="C39" s="2">
        <x:v>12124</x:v>
      </x:c>
      <x:c r="D39" s="2" t="s">
        <x:v>24</x:v>
      </x:c>
      <x:c r="E39" s="2">
        <x:v>39</x:v>
      </x:c>
      <x:c r="F39" s="2">
        <x:v>240</x:v>
      </x:c>
      <x:c r="G39" s="3">
        <x:v>6274.3294100822004</x:v>
      </x:c>
      <x:c r="H39" s="3">
        <x:v>1505839.0584197282</x:v>
      </x:c>
    </x:row>
    <x:row r="40">
      <x:c r="A40" s="2" t="s">
        <x:v>19</x:v>
      </x:c>
      <x:c r="B40" s="2">
        <x:v>11151</x:v>
      </x:c>
      <x:c r="C40" s="2">
        <x:v>12125</x:v>
      </x:c>
      <x:c r="D40" s="2" t="s">
        <x:v>24</x:v>
      </x:c>
      <x:c r="E40" s="2">
        <x:v>38</x:v>
      </x:c>
      <x:c r="F40" s="2">
        <x:v>240</x:v>
      </x:c>
      <x:c r="G40" s="3">
        <x:v>6274.3294100822004</x:v>
      </x:c>
      <x:c r="H40" s="3">
        <x:v>1505839.0584197282</x:v>
      </x:c>
    </x:row>
    <x:row r="41">
      <x:c r="A41" s="2" t="s">
        <x:v>19</x:v>
      </x:c>
      <x:c r="B41" s="2">
        <x:v>11152</x:v>
      </x:c>
      <x:c r="C41" s="2">
        <x:v>12126</x:v>
      </x:c>
      <x:c r="D41" s="2" t="s">
        <x:v>24</x:v>
      </x:c>
      <x:c r="E41" s="2">
        <x:v>38</x:v>
      </x:c>
      <x:c r="F41" s="2">
        <x:v>240</x:v>
      </x:c>
      <x:c r="G41" s="3">
        <x:v>6274.3294100822004</x:v>
      </x:c>
      <x:c r="H41" s="3">
        <x:v>1505839.0584197282</x:v>
      </x:c>
    </x:row>
    <x:row r="42">
      <x:c r="A42" s="2" t="s">
        <x:v>19</x:v>
      </x:c>
      <x:c r="B42" s="2">
        <x:v>11153</x:v>
      </x:c>
      <x:c r="C42" s="2">
        <x:v>12127</x:v>
      </x:c>
      <x:c r="D42" s="2" t="s">
        <x:v>24</x:v>
      </x:c>
      <x:c r="E42" s="2">
        <x:v>37</x:v>
      </x:c>
      <x:c r="F42" s="2">
        <x:v>240</x:v>
      </x:c>
      <x:c r="G42" s="3">
        <x:v>6274.3294100822004</x:v>
      </x:c>
      <x:c r="H42" s="3">
        <x:v>1505839.0584197282</x:v>
      </x:c>
    </x:row>
    <x:row r="43">
      <x:c r="A43" s="2" t="s">
        <x:v>19</x:v>
      </x:c>
      <x:c r="B43" s="2">
        <x:v>11154</x:v>
      </x:c>
      <x:c r="C43" s="2">
        <x:v>12128</x:v>
      </x:c>
      <x:c r="D43" s="2" t="s">
        <x:v>24</x:v>
      </x:c>
      <x:c r="E43" s="2">
        <x:v>36</x:v>
      </x:c>
      <x:c r="F43" s="2">
        <x:v>240</x:v>
      </x:c>
      <x:c r="G43" s="3">
        <x:v>6274.3294100822004</x:v>
      </x:c>
      <x:c r="H43" s="3">
        <x:v>1505839.0584197282</x:v>
      </x:c>
    </x:row>
    <x:row r="44">
      <x:c r="A44" s="2" t="s">
        <x:v>19</x:v>
      </x:c>
      <x:c r="B44" s="2">
        <x:v>11155</x:v>
      </x:c>
      <x:c r="C44" s="2">
        <x:v>12129</x:v>
      </x:c>
      <x:c r="D44" s="2" t="s">
        <x:v>24</x:v>
      </x:c>
      <x:c r="E44" s="2">
        <x:v>38</x:v>
      </x:c>
      <x:c r="F44" s="2">
        <x:v>240</x:v>
      </x:c>
      <x:c r="G44" s="3">
        <x:v>6274.3294100822004</x:v>
      </x:c>
      <x:c r="H44" s="3">
        <x:v>1505839.0584197282</x:v>
      </x:c>
    </x:row>
    <x:row r="45">
      <x:c r="A45" s="2" t="s">
        <x:v>19</x:v>
      </x:c>
      <x:c r="B45" s="2">
        <x:v>11156</x:v>
      </x:c>
      <x:c r="C45" s="2">
        <x:v>12130</x:v>
      </x:c>
      <x:c r="D45" s="2" t="s">
        <x:v>24</x:v>
      </x:c>
      <x:c r="E45" s="2">
        <x:v>38</x:v>
      </x:c>
      <x:c r="F45" s="2">
        <x:v>240</x:v>
      </x:c>
      <x:c r="G45" s="3">
        <x:v>6274.3294100822004</x:v>
      </x:c>
      <x:c r="H45" s="3">
        <x:v>1505839.0584197282</x:v>
      </x:c>
    </x:row>
    <x:row r="46">
      <x:c r="A46" s="2" t="s">
        <x:v>19</x:v>
      </x:c>
      <x:c r="B46" s="2">
        <x:v>11157</x:v>
      </x:c>
      <x:c r="C46" s="2">
        <x:v>12131</x:v>
      </x:c>
      <x:c r="D46" s="2" t="s">
        <x:v>24</x:v>
      </x:c>
      <x:c r="E46" s="2">
        <x:v>37</x:v>
      </x:c>
      <x:c r="F46" s="2">
        <x:v>240</x:v>
      </x:c>
      <x:c r="G46" s="3">
        <x:v>6274.3294100822004</x:v>
      </x:c>
      <x:c r="H46" s="3">
        <x:v>1505839.0584197282</x:v>
      </x:c>
    </x:row>
    <x:row r="47">
      <x:c r="A47" s="2" t="s">
        <x:v>19</x:v>
      </x:c>
      <x:c r="B47" s="2">
        <x:v>11158</x:v>
      </x:c>
      <x:c r="C47" s="2">
        <x:v>12132</x:v>
      </x:c>
      <x:c r="D47" s="2" t="s">
        <x:v>24</x:v>
      </x:c>
      <x:c r="E47" s="2">
        <x:v>35</x:v>
      </x:c>
      <x:c r="F47" s="2">
        <x:v>240</x:v>
      </x:c>
      <x:c r="G47" s="3">
        <x:v>6274.3294100822004</x:v>
      </x:c>
      <x:c r="H47" s="3">
        <x:v>1505839.0584197282</x:v>
      </x:c>
    </x:row>
    <x:row r="48">
      <x:c r="A48" s="2" t="s">
        <x:v>19</x:v>
      </x:c>
      <x:c r="B48" s="2">
        <x:v>11159</x:v>
      </x:c>
      <x:c r="C48" s="2">
        <x:v>12133</x:v>
      </x:c>
      <x:c r="D48" s="2" t="s">
        <x:v>24</x:v>
      </x:c>
      <x:c r="E48" s="2">
        <x:v>36</x:v>
      </x:c>
      <x:c r="F48" s="2">
        <x:v>240</x:v>
      </x:c>
      <x:c r="G48" s="3">
        <x:v>6274.3294100822004</x:v>
      </x:c>
      <x:c r="H48" s="3">
        <x:v>1505839.0584197282</x:v>
      </x:c>
    </x:row>
    <x:row r="49">
      <x:c r="A49" s="2" t="s">
        <x:v>19</x:v>
      </x:c>
      <x:c r="B49" s="2">
        <x:v>11160</x:v>
      </x:c>
      <x:c r="C49" s="2">
        <x:v>12134</x:v>
      </x:c>
      <x:c r="D49" s="2" t="s">
        <x:v>24</x:v>
      </x:c>
      <x:c r="E49" s="2">
        <x:v>36</x:v>
      </x:c>
      <x:c r="F49" s="2">
        <x:v>240</x:v>
      </x:c>
      <x:c r="G49" s="3">
        <x:v>6274.3294100822004</x:v>
      </x:c>
      <x:c r="H49" s="3">
        <x:v>1505839.0584197282</x:v>
      </x:c>
    </x:row>
    <x:row r="50">
      <x:c r="A50" s="2" t="s">
        <x:v>19</x:v>
      </x:c>
      <x:c r="B50" s="2">
        <x:v>11161</x:v>
      </x:c>
      <x:c r="C50" s="2">
        <x:v>12135</x:v>
      </x:c>
      <x:c r="D50" s="2" t="s">
        <x:v>24</x:v>
      </x:c>
      <x:c r="E50" s="2">
        <x:v>39</x:v>
      </x:c>
      <x:c r="F50" s="2">
        <x:v>240</x:v>
      </x:c>
      <x:c r="G50" s="3">
        <x:v>6274.3294100822004</x:v>
      </x:c>
      <x:c r="H50" s="3">
        <x:v>1505839.0584197282</x:v>
      </x:c>
    </x:row>
    <x:row r="51">
      <x:c r="A51" s="2" t="s">
        <x:v>19</x:v>
      </x:c>
      <x:c r="B51" s="2">
        <x:v>11162</x:v>
      </x:c>
      <x:c r="C51" s="2">
        <x:v>12136</x:v>
      </x:c>
      <x:c r="D51" s="2" t="s">
        <x:v>24</x:v>
      </x:c>
      <x:c r="E51" s="2">
        <x:v>37</x:v>
      </x:c>
      <x:c r="F51" s="2">
        <x:v>240</x:v>
      </x:c>
      <x:c r="G51" s="3">
        <x:v>6274.3294100822004</x:v>
      </x:c>
      <x:c r="H51" s="3">
        <x:v>1505839.0584197282</x:v>
      </x:c>
    </x:row>
    <x:row r="52">
      <x:c r="A52" s="2" t="s">
        <x:v>19</x:v>
      </x:c>
      <x:c r="B52" s="2">
        <x:v>11163</x:v>
      </x:c>
      <x:c r="C52" s="2">
        <x:v>12137</x:v>
      </x:c>
      <x:c r="D52" s="2" t="s">
        <x:v>24</x:v>
      </x:c>
      <x:c r="E52" s="2">
        <x:v>37</x:v>
      </x:c>
      <x:c r="F52" s="2">
        <x:v>240</x:v>
      </x:c>
      <x:c r="G52" s="3">
        <x:v>6274.3294100822004</x:v>
      </x:c>
      <x:c r="H52" s="3">
        <x:v>1505839.0584197282</x:v>
      </x:c>
    </x:row>
    <x:row r="53">
      <x:c r="A53" s="2" t="s">
        <x:v>19</x:v>
      </x:c>
      <x:c r="B53" s="2">
        <x:v>11164</x:v>
      </x:c>
      <x:c r="C53" s="2">
        <x:v>12138</x:v>
      </x:c>
      <x:c r="D53" s="2" t="s">
        <x:v>24</x:v>
      </x:c>
      <x:c r="E53" s="2">
        <x:v>38</x:v>
      </x:c>
      <x:c r="F53" s="2">
        <x:v>240</x:v>
      </x:c>
      <x:c r="G53" s="3">
        <x:v>6274.3294100822004</x:v>
      </x:c>
      <x:c r="H53" s="3">
        <x:v>1505839.0584197282</x:v>
      </x:c>
    </x:row>
    <x:row r="54">
      <x:c r="A54" s="2" t="s">
        <x:v>19</x:v>
      </x:c>
      <x:c r="B54" s="2">
        <x:v>11165</x:v>
      </x:c>
      <x:c r="C54" s="2">
        <x:v>12139</x:v>
      </x:c>
      <x:c r="D54" s="2" t="s">
        <x:v>24</x:v>
      </x:c>
      <x:c r="E54" s="2">
        <x:v>36</x:v>
      </x:c>
      <x:c r="F54" s="2">
        <x:v>240</x:v>
      </x:c>
      <x:c r="G54" s="3">
        <x:v>6274.3294100822004</x:v>
      </x:c>
      <x:c r="H54" s="3">
        <x:v>1505839.0584197282</x:v>
      </x:c>
    </x:row>
    <x:row r="55">
      <x:c r="A55" s="2" t="s">
        <x:v>19</x:v>
      </x:c>
      <x:c r="B55" s="2">
        <x:v>11166</x:v>
      </x:c>
      <x:c r="C55" s="2">
        <x:v>12140</x:v>
      </x:c>
      <x:c r="D55" s="2" t="s">
        <x:v>24</x:v>
      </x:c>
      <x:c r="E55" s="2">
        <x:v>39</x:v>
      </x:c>
      <x:c r="F55" s="2">
        <x:v>240</x:v>
      </x:c>
      <x:c r="G55" s="3">
        <x:v>6274.3294100822004</x:v>
      </x:c>
      <x:c r="H55" s="3">
        <x:v>1505839.0584197282</x:v>
      </x:c>
    </x:row>
    <x:row r="56">
      <x:c r="A56" s="2" t="s">
        <x:v>19</x:v>
      </x:c>
      <x:c r="B56" s="2">
        <x:v>11167</x:v>
      </x:c>
      <x:c r="C56" s="2">
        <x:v>12141</x:v>
      </x:c>
      <x:c r="D56" s="2" t="s">
        <x:v>24</x:v>
      </x:c>
      <x:c r="E56" s="2">
        <x:v>39</x:v>
      </x:c>
      <x:c r="F56" s="2">
        <x:v>240</x:v>
      </x:c>
      <x:c r="G56" s="3">
        <x:v>6274.3294100822004</x:v>
      </x:c>
      <x:c r="H56" s="3">
        <x:v>1505839.0584197282</x:v>
      </x:c>
    </x:row>
    <x:row r="57">
      <x:c r="A57" s="2" t="s">
        <x:v>19</x:v>
      </x:c>
      <x:c r="B57" s="2">
        <x:v>11168</x:v>
      </x:c>
      <x:c r="C57" s="2">
        <x:v>12142</x:v>
      </x:c>
      <x:c r="D57" s="2" t="s">
        <x:v>24</x:v>
      </x:c>
      <x:c r="E57" s="2">
        <x:v>37</x:v>
      </x:c>
      <x:c r="F57" s="2">
        <x:v>240</x:v>
      </x:c>
      <x:c r="G57" s="3">
        <x:v>6274.3294100822004</x:v>
      </x:c>
      <x:c r="H57" s="3">
        <x:v>1505839.0584197282</x:v>
      </x:c>
    </x:row>
    <x:row r="58">
      <x:c r="A58" s="2" t="s">
        <x:v>19</x:v>
      </x:c>
      <x:c r="B58" s="2">
        <x:v>11169</x:v>
      </x:c>
      <x:c r="C58" s="2">
        <x:v>12143</x:v>
      </x:c>
      <x:c r="D58" s="2" t="s">
        <x:v>24</x:v>
      </x:c>
      <x:c r="E58" s="2">
        <x:v>37</x:v>
      </x:c>
      <x:c r="F58" s="2">
        <x:v>240</x:v>
      </x:c>
      <x:c r="G58" s="3">
        <x:v>6274.3294100822004</x:v>
      </x:c>
      <x:c r="H58" s="3">
        <x:v>1505839.0584197282</x:v>
      </x:c>
    </x:row>
    <x:row r="59">
      <x:c r="A59" s="2" t="s">
        <x:v>19</x:v>
      </x:c>
      <x:c r="B59" s="2">
        <x:v>11170</x:v>
      </x:c>
      <x:c r="C59" s="2">
        <x:v>12144</x:v>
      </x:c>
      <x:c r="D59" s="2" t="s">
        <x:v>24</x:v>
      </x:c>
      <x:c r="E59" s="2">
        <x:v>38</x:v>
      </x:c>
      <x:c r="F59" s="2">
        <x:v>240</x:v>
      </x:c>
      <x:c r="G59" s="3">
        <x:v>6274.3294100822004</x:v>
      </x:c>
      <x:c r="H59" s="3">
        <x:v>1505839.0584197282</x:v>
      </x:c>
    </x:row>
    <x:row r="60">
      <x:c r="A60" s="2" t="s">
        <x:v>19</x:v>
      </x:c>
      <x:c r="B60" s="2">
        <x:v>11171</x:v>
      </x:c>
      <x:c r="C60" s="2">
        <x:v>12145</x:v>
      </x:c>
      <x:c r="D60" s="2" t="s">
        <x:v>24</x:v>
      </x:c>
      <x:c r="E60" s="2">
        <x:v>38</x:v>
      </x:c>
      <x:c r="F60" s="2">
        <x:v>240</x:v>
      </x:c>
      <x:c r="G60" s="3">
        <x:v>6274.3294100822004</x:v>
      </x:c>
      <x:c r="H60" s="3">
        <x:v>1505839.0584197282</x:v>
      </x:c>
    </x:row>
    <x:row r="61">
      <x:c r="A61" s="2" t="s">
        <x:v>19</x:v>
      </x:c>
      <x:c r="B61" s="2">
        <x:v>11172</x:v>
      </x:c>
      <x:c r="C61" s="2">
        <x:v>12146</x:v>
      </x:c>
      <x:c r="D61" s="2" t="s">
        <x:v>24</x:v>
      </x:c>
      <x:c r="E61" s="2">
        <x:v>35</x:v>
      </x:c>
      <x:c r="F61" s="2">
        <x:v>240</x:v>
      </x:c>
      <x:c r="G61" s="3">
        <x:v>6274.3294100822004</x:v>
      </x:c>
      <x:c r="H61" s="3">
        <x:v>1505839.0584197282</x:v>
      </x:c>
    </x:row>
    <x:row r="62">
      <x:c r="A62" s="2" t="s">
        <x:v>19</x:v>
      </x:c>
      <x:c r="B62" s="2">
        <x:v>11173</x:v>
      </x:c>
      <x:c r="C62" s="2">
        <x:v>12147</x:v>
      </x:c>
      <x:c r="D62" s="2" t="s">
        <x:v>24</x:v>
      </x:c>
      <x:c r="E62" s="2">
        <x:v>37</x:v>
      </x:c>
      <x:c r="F62" s="2">
        <x:v>240</x:v>
      </x:c>
      <x:c r="G62" s="3">
        <x:v>6274.3294100822004</x:v>
      </x:c>
      <x:c r="H62" s="3">
        <x:v>1505839.0584197282</x:v>
      </x:c>
    </x:row>
    <x:row r="63">
      <x:c r="A63" s="2" t="s">
        <x:v>19</x:v>
      </x:c>
      <x:c r="B63" s="2">
        <x:v>11174</x:v>
      </x:c>
      <x:c r="C63" s="2">
        <x:v>12148</x:v>
      </x:c>
      <x:c r="D63" s="2" t="s">
        <x:v>24</x:v>
      </x:c>
      <x:c r="E63" s="2">
        <x:v>37</x:v>
      </x:c>
      <x:c r="F63" s="2">
        <x:v>240</x:v>
      </x:c>
      <x:c r="G63" s="3">
        <x:v>6274.3294100822004</x:v>
      </x:c>
      <x:c r="H63" s="3">
        <x:v>1505839.0584197282</x:v>
      </x:c>
    </x:row>
    <x:row r="64">
      <x:c r="A64" s="2" t="s">
        <x:v>19</x:v>
      </x:c>
      <x:c r="B64" s="2">
        <x:v>11175</x:v>
      </x:c>
      <x:c r="C64" s="2">
        <x:v>12149</x:v>
      </x:c>
      <x:c r="D64" s="2" t="s">
        <x:v>24</x:v>
      </x:c>
      <x:c r="E64" s="2">
        <x:v>36</x:v>
      </x:c>
      <x:c r="F64" s="2">
        <x:v>240</x:v>
      </x:c>
      <x:c r="G64" s="3">
        <x:v>6274.3294100822004</x:v>
      </x:c>
      <x:c r="H64" s="3">
        <x:v>1505839.0584197282</x:v>
      </x:c>
    </x:row>
    <x:row r="65">
      <x:c r="A65" s="2" t="s">
        <x:v>19</x:v>
      </x:c>
      <x:c r="B65" s="2">
        <x:v>11176</x:v>
      </x:c>
      <x:c r="C65" s="2">
        <x:v>12150</x:v>
      </x:c>
      <x:c r="D65" s="2" t="s">
        <x:v>24</x:v>
      </x:c>
      <x:c r="E65" s="2">
        <x:v>37</x:v>
      </x:c>
      <x:c r="F65" s="2">
        <x:v>240</x:v>
      </x:c>
      <x:c r="G65" s="3">
        <x:v>6274.3294100822004</x:v>
      </x:c>
      <x:c r="H65" s="3">
        <x:v>1505839.0584197282</x:v>
      </x:c>
    </x:row>
    <x:row r="66">
      <x:c r="A66" s="2" t="s">
        <x:v>19</x:v>
      </x:c>
      <x:c r="B66" s="2">
        <x:v>11177</x:v>
      </x:c>
      <x:c r="C66" s="2">
        <x:v>12151</x:v>
      </x:c>
      <x:c r="D66" s="2" t="s">
        <x:v>24</x:v>
      </x:c>
      <x:c r="E66" s="2">
        <x:v>37</x:v>
      </x:c>
      <x:c r="F66" s="2">
        <x:v>240</x:v>
      </x:c>
      <x:c r="G66" s="3">
        <x:v>6274.3294100822004</x:v>
      </x:c>
      <x:c r="H66" s="3">
        <x:v>1505839.0584197282</x:v>
      </x:c>
    </x:row>
    <x:row r="67">
      <x:c r="A67" s="2" t="s">
        <x:v>19</x:v>
      </x:c>
      <x:c r="B67" s="2">
        <x:v>11178</x:v>
      </x:c>
      <x:c r="C67" s="2">
        <x:v>12152</x:v>
      </x:c>
      <x:c r="D67" s="2" t="s">
        <x:v>24</x:v>
      </x:c>
      <x:c r="E67" s="2">
        <x:v>36</x:v>
      </x:c>
      <x:c r="F67" s="2">
        <x:v>240</x:v>
      </x:c>
      <x:c r="G67" s="3">
        <x:v>6274.3294100822004</x:v>
      </x:c>
      <x:c r="H67" s="3">
        <x:v>1505839.0584197282</x:v>
      </x:c>
    </x:row>
    <x:row r="68">
      <x:c r="A68" s="2" t="s">
        <x:v>19</x:v>
      </x:c>
      <x:c r="B68" s="2">
        <x:v>11179</x:v>
      </x:c>
      <x:c r="C68" s="2">
        <x:v>12153</x:v>
      </x:c>
      <x:c r="D68" s="2" t="s">
        <x:v>24</x:v>
      </x:c>
      <x:c r="E68" s="2">
        <x:v>36</x:v>
      </x:c>
      <x:c r="F68" s="2">
        <x:v>240</x:v>
      </x:c>
      <x:c r="G68" s="3">
        <x:v>6274.3294100822004</x:v>
      </x:c>
      <x:c r="H68" s="3">
        <x:v>1505839.0584197282</x:v>
      </x:c>
    </x:row>
    <x:row r="69">
      <x:c r="A69" s="2" t="s">
        <x:v>19</x:v>
      </x:c>
      <x:c r="B69" s="2">
        <x:v>11180</x:v>
      </x:c>
      <x:c r="C69" s="2">
        <x:v>12154</x:v>
      </x:c>
      <x:c r="D69" s="2" t="s">
        <x:v>24</x:v>
      </x:c>
      <x:c r="E69" s="2">
        <x:v>39</x:v>
      </x:c>
      <x:c r="F69" s="2">
        <x:v>240</x:v>
      </x:c>
      <x:c r="G69" s="3">
        <x:v>6274.3294100822004</x:v>
      </x:c>
      <x:c r="H69" s="3">
        <x:v>1505839.0584197282</x:v>
      </x:c>
    </x:row>
    <x:row r="70">
      <x:c r="A70" s="2" t="s">
        <x:v>19</x:v>
      </x:c>
      <x:c r="B70" s="2">
        <x:v>11181</x:v>
      </x:c>
      <x:c r="C70" s="2">
        <x:v>12155</x:v>
      </x:c>
      <x:c r="D70" s="2" t="s">
        <x:v>24</x:v>
      </x:c>
      <x:c r="E70" s="2">
        <x:v>36</x:v>
      </x:c>
      <x:c r="F70" s="2">
        <x:v>240</x:v>
      </x:c>
      <x:c r="G70" s="3">
        <x:v>6274.3294100822004</x:v>
      </x:c>
      <x:c r="H70" s="3">
        <x:v>1505839.0584197282</x:v>
      </x:c>
    </x:row>
    <x:row r="71">
      <x:c r="A71" s="2" t="s">
        <x:v>19</x:v>
      </x:c>
      <x:c r="B71" s="2">
        <x:v>11182</x:v>
      </x:c>
      <x:c r="C71" s="2">
        <x:v>12156</x:v>
      </x:c>
      <x:c r="D71" s="2" t="s">
        <x:v>24</x:v>
      </x:c>
      <x:c r="E71" s="2">
        <x:v>37</x:v>
      </x:c>
      <x:c r="F71" s="2">
        <x:v>240</x:v>
      </x:c>
      <x:c r="G71" s="3">
        <x:v>6274.3294100822004</x:v>
      </x:c>
      <x:c r="H71" s="3">
        <x:v>1505839.0584197282</x:v>
      </x:c>
    </x:row>
    <x:row r="72">
      <x:c r="A72" s="2" t="s">
        <x:v>19</x:v>
      </x:c>
      <x:c r="B72" s="2">
        <x:v>11183</x:v>
      </x:c>
      <x:c r="C72" s="2">
        <x:v>12157</x:v>
      </x:c>
      <x:c r="D72" s="2" t="s">
        <x:v>24</x:v>
      </x:c>
      <x:c r="E72" s="2">
        <x:v>37</x:v>
      </x:c>
      <x:c r="F72" s="2">
        <x:v>240</x:v>
      </x:c>
      <x:c r="G72" s="3">
        <x:v>6274.3294100822004</x:v>
      </x:c>
      <x:c r="H72" s="3">
        <x:v>1505839.0584197282</x:v>
      </x:c>
    </x:row>
    <x:row r="73">
      <x:c r="A73" s="2" t="s">
        <x:v>19</x:v>
      </x:c>
      <x:c r="B73" s="2">
        <x:v>11184</x:v>
      </x:c>
      <x:c r="C73" s="2">
        <x:v>12158</x:v>
      </x:c>
      <x:c r="D73" s="2" t="s">
        <x:v>24</x:v>
      </x:c>
      <x:c r="E73" s="2">
        <x:v>38</x:v>
      </x:c>
      <x:c r="F73" s="2">
        <x:v>240</x:v>
      </x:c>
      <x:c r="G73" s="3">
        <x:v>6274.3294100822004</x:v>
      </x:c>
      <x:c r="H73" s="3">
        <x:v>1505839.0584197282</x:v>
      </x:c>
    </x:row>
    <x:row r="74">
      <x:c r="A74" s="2" t="s">
        <x:v>19</x:v>
      </x:c>
      <x:c r="B74" s="2">
        <x:v>11185</x:v>
      </x:c>
      <x:c r="C74" s="2">
        <x:v>12159</x:v>
      </x:c>
      <x:c r="D74" s="2" t="s">
        <x:v>24</x:v>
      </x:c>
      <x:c r="E74" s="2">
        <x:v>40</x:v>
      </x:c>
      <x:c r="F74" s="2">
        <x:v>240</x:v>
      </x:c>
      <x:c r="G74" s="3">
        <x:v>6274.3294100822004</x:v>
      </x:c>
      <x:c r="H74" s="3">
        <x:v>1505839.0584197282</x:v>
      </x:c>
    </x:row>
    <x:row r="75">
      <x:c r="A75" s="2" t="s">
        <x:v>19</x:v>
      </x:c>
      <x:c r="B75" s="2">
        <x:v>11186</x:v>
      </x:c>
      <x:c r="C75" s="2">
        <x:v>12160</x:v>
      </x:c>
      <x:c r="D75" s="2" t="s">
        <x:v>24</x:v>
      </x:c>
      <x:c r="E75" s="2">
        <x:v>39</x:v>
      </x:c>
      <x:c r="F75" s="2">
        <x:v>240</x:v>
      </x:c>
      <x:c r="G75" s="3">
        <x:v>6274.3294100822004</x:v>
      </x:c>
      <x:c r="H75" s="3">
        <x:v>1505839.0584197282</x:v>
      </x:c>
    </x:row>
    <x:row r="76">
      <x:c r="A76" s="2" t="s">
        <x:v>19</x:v>
      </x:c>
      <x:c r="B76" s="2">
        <x:v>11187</x:v>
      </x:c>
      <x:c r="C76" s="2">
        <x:v>12161</x:v>
      </x:c>
      <x:c r="D76" s="2" t="s">
        <x:v>24</x:v>
      </x:c>
      <x:c r="E76" s="2">
        <x:v>35</x:v>
      </x:c>
      <x:c r="F76" s="2">
        <x:v>240</x:v>
      </x:c>
      <x:c r="G76" s="3">
        <x:v>6274.3294100822004</x:v>
      </x:c>
      <x:c r="H76" s="3">
        <x:v>1505839.0584197282</x:v>
      </x:c>
    </x:row>
    <x:row r="77">
      <x:c r="A77" s="2" t="s">
        <x:v>19</x:v>
      </x:c>
      <x:c r="B77" s="2">
        <x:v>11188</x:v>
      </x:c>
      <x:c r="C77" s="2">
        <x:v>12162</x:v>
      </x:c>
      <x:c r="D77" s="2" t="s">
        <x:v>24</x:v>
      </x:c>
      <x:c r="E77" s="2">
        <x:v>38</x:v>
      </x:c>
      <x:c r="F77" s="2">
        <x:v>240</x:v>
      </x:c>
      <x:c r="G77" s="3">
        <x:v>6274.3294100822004</x:v>
      </x:c>
      <x:c r="H77" s="3">
        <x:v>1505839.0584197282</x:v>
      </x:c>
    </x:row>
    <x:row r="78">
      <x:c r="A78" s="2" t="s">
        <x:v>19</x:v>
      </x:c>
      <x:c r="B78" s="2">
        <x:v>11189</x:v>
      </x:c>
      <x:c r="C78" s="2">
        <x:v>12163</x:v>
      </x:c>
      <x:c r="D78" s="2" t="s">
        <x:v>24</x:v>
      </x:c>
      <x:c r="E78" s="2">
        <x:v>37</x:v>
      </x:c>
      <x:c r="F78" s="2">
        <x:v>240</x:v>
      </x:c>
      <x:c r="G78" s="3">
        <x:v>6274.3294100822004</x:v>
      </x:c>
      <x:c r="H78" s="3">
        <x:v>1505839.0584197282</x:v>
      </x:c>
    </x:row>
    <x:row r="79">
      <x:c r="A79" s="2" t="s">
        <x:v>19</x:v>
      </x:c>
      <x:c r="B79" s="2">
        <x:v>11190</x:v>
      </x:c>
      <x:c r="C79" s="2">
        <x:v>12164</x:v>
      </x:c>
      <x:c r="D79" s="2" t="s">
        <x:v>24</x:v>
      </x:c>
      <x:c r="E79" s="2">
        <x:v>37</x:v>
      </x:c>
      <x:c r="F79" s="2">
        <x:v>240</x:v>
      </x:c>
      <x:c r="G79" s="3">
        <x:v>6274.3294100822004</x:v>
      </x:c>
      <x:c r="H79" s="3">
        <x:v>1505839.0584197282</x:v>
      </x:c>
    </x:row>
    <x:row r="80">
      <x:c r="A80" s="2" t="s">
        <x:v>19</x:v>
      </x:c>
      <x:c r="B80" s="2">
        <x:v>11191</x:v>
      </x:c>
      <x:c r="C80" s="2">
        <x:v>12165</x:v>
      </x:c>
      <x:c r="D80" s="2" t="s">
        <x:v>24</x:v>
      </x:c>
      <x:c r="E80" s="2">
        <x:v>37</x:v>
      </x:c>
      <x:c r="F80" s="2">
        <x:v>240</x:v>
      </x:c>
      <x:c r="G80" s="3">
        <x:v>6274.3294100822004</x:v>
      </x:c>
      <x:c r="H80" s="3">
        <x:v>1505839.0584197282</x:v>
      </x:c>
    </x:row>
    <x:row r="81">
      <x:c r="A81" s="2" t="s">
        <x:v>19</x:v>
      </x:c>
      <x:c r="B81" s="2">
        <x:v>11192</x:v>
      </x:c>
      <x:c r="C81" s="2">
        <x:v>12166</x:v>
      </x:c>
      <x:c r="D81" s="2" t="s">
        <x:v>24</x:v>
      </x:c>
      <x:c r="E81" s="2">
        <x:v>36</x:v>
      </x:c>
      <x:c r="F81" s="2">
        <x:v>240</x:v>
      </x:c>
      <x:c r="G81" s="3">
        <x:v>6274.3294100822004</x:v>
      </x:c>
      <x:c r="H81" s="3">
        <x:v>1505839.0584197282</x:v>
      </x:c>
    </x:row>
    <x:row r="82">
      <x:c r="A82" s="2" t="s">
        <x:v>19</x:v>
      </x:c>
      <x:c r="B82" s="2">
        <x:v>11193</x:v>
      </x:c>
      <x:c r="C82" s="2">
        <x:v>12167</x:v>
      </x:c>
      <x:c r="D82" s="2" t="s">
        <x:v>24</x:v>
      </x:c>
      <x:c r="E82" s="2">
        <x:v>38</x:v>
      </x:c>
      <x:c r="F82" s="2">
        <x:v>240</x:v>
      </x:c>
      <x:c r="G82" s="3">
        <x:v>6274.3294100822004</x:v>
      </x:c>
      <x:c r="H82" s="3">
        <x:v>1505839.0584197282</x:v>
      </x:c>
    </x:row>
    <x:row r="83">
      <x:c r="A83" s="2" t="s">
        <x:v>19</x:v>
      </x:c>
      <x:c r="B83" s="2">
        <x:v>11194</x:v>
      </x:c>
      <x:c r="C83" s="2">
        <x:v>12168</x:v>
      </x:c>
      <x:c r="D83" s="2" t="s">
        <x:v>24</x:v>
      </x:c>
      <x:c r="E83" s="2">
        <x:v>36</x:v>
      </x:c>
      <x:c r="F83" s="2">
        <x:v>240</x:v>
      </x:c>
      <x:c r="G83" s="3">
        <x:v>6274.3294100822004</x:v>
      </x:c>
      <x:c r="H83" s="3">
        <x:v>1505839.0584197282</x:v>
      </x:c>
    </x:row>
    <x:row r="84">
      <x:c r="A84" s="2" t="s">
        <x:v>19</x:v>
      </x:c>
      <x:c r="B84" s="2">
        <x:v>11195</x:v>
      </x:c>
      <x:c r="C84" s="2">
        <x:v>12169</x:v>
      </x:c>
      <x:c r="D84" s="2" t="s">
        <x:v>24</x:v>
      </x:c>
      <x:c r="E84" s="2">
        <x:v>35</x:v>
      </x:c>
      <x:c r="F84" s="2">
        <x:v>240</x:v>
      </x:c>
      <x:c r="G84" s="3">
        <x:v>6274.3294100822004</x:v>
      </x:c>
      <x:c r="H84" s="3">
        <x:v>1505839.0584197282</x:v>
      </x:c>
    </x:row>
    <x:row r="85">
      <x:c r="A85" s="2" t="s">
        <x:v>19</x:v>
      </x:c>
      <x:c r="B85" s="2">
        <x:v>11196</x:v>
      </x:c>
      <x:c r="C85" s="2">
        <x:v>12170</x:v>
      </x:c>
      <x:c r="D85" s="2" t="s">
        <x:v>24</x:v>
      </x:c>
      <x:c r="E85" s="2">
        <x:v>38</x:v>
      </x:c>
      <x:c r="F85" s="2">
        <x:v>240</x:v>
      </x:c>
      <x:c r="G85" s="3">
        <x:v>6274.3294100822004</x:v>
      </x:c>
      <x:c r="H85" s="3">
        <x:v>1505839.0584197282</x:v>
      </x:c>
    </x:row>
    <x:row r="86">
      <x:c r="A86" s="2" t="s">
        <x:v>19</x:v>
      </x:c>
      <x:c r="B86" s="2">
        <x:v>11197</x:v>
      </x:c>
      <x:c r="C86" s="2">
        <x:v>12171</x:v>
      </x:c>
      <x:c r="D86" s="2" t="s">
        <x:v>24</x:v>
      </x:c>
      <x:c r="E86" s="2">
        <x:v>37</x:v>
      </x:c>
      <x:c r="F86" s="2">
        <x:v>240</x:v>
      </x:c>
      <x:c r="G86" s="3">
        <x:v>6274.3294100822004</x:v>
      </x:c>
      <x:c r="H86" s="3">
        <x:v>1505839.0584197282</x:v>
      </x:c>
    </x:row>
    <x:row r="87">
      <x:c r="A87" s="2" t="s">
        <x:v>19</x:v>
      </x:c>
      <x:c r="B87" s="2">
        <x:v>11198</x:v>
      </x:c>
      <x:c r="C87" s="2">
        <x:v>12172</x:v>
      </x:c>
      <x:c r="D87" s="2" t="s">
        <x:v>25</x:v>
      </x:c>
      <x:c r="E87" s="2">
        <x:v>45</x:v>
      </x:c>
      <x:c r="F87" s="2">
        <x:v>240</x:v>
      </x:c>
      <x:c r="G87" s="3">
        <x:v>6274.3294100822004</x:v>
      </x:c>
      <x:c r="H87" s="3">
        <x:v>1505839.0584197282</x:v>
      </x:c>
    </x:row>
    <x:row r="88">
      <x:c r="A88" s="2" t="s">
        <x:v>19</x:v>
      </x:c>
      <x:c r="B88" s="2">
        <x:v>11199</x:v>
      </x:c>
      <x:c r="C88" s="2">
        <x:v>12173</x:v>
      </x:c>
      <x:c r="D88" s="2" t="s">
        <x:v>25</x:v>
      </x:c>
      <x:c r="E88" s="2">
        <x:v>45</x:v>
      </x:c>
      <x:c r="F88" s="2">
        <x:v>240</x:v>
      </x:c>
      <x:c r="G88" s="3">
        <x:v>6274.3294100822004</x:v>
      </x:c>
      <x:c r="H88" s="3">
        <x:v>1505839.0584197282</x:v>
      </x:c>
    </x:row>
    <x:row r="89">
      <x:c r="A89" s="2" t="s">
        <x:v>19</x:v>
      </x:c>
      <x:c r="B89" s="2">
        <x:v>11200</x:v>
      </x:c>
      <x:c r="C89" s="2">
        <x:v>12174</x:v>
      </x:c>
      <x:c r="D89" s="2" t="s">
        <x:v>25</x:v>
      </x:c>
      <x:c r="E89" s="2">
        <x:v>45</x:v>
      </x:c>
      <x:c r="F89" s="2">
        <x:v>240</x:v>
      </x:c>
      <x:c r="G89" s="3">
        <x:v>6274.3294100822004</x:v>
      </x:c>
      <x:c r="H89" s="3">
        <x:v>1505839.0584197282</x:v>
      </x:c>
    </x:row>
    <x:row r="90">
      <x:c r="A90" s="2" t="s">
        <x:v>19</x:v>
      </x:c>
      <x:c r="B90" s="2">
        <x:v>11201</x:v>
      </x:c>
      <x:c r="C90" s="2">
        <x:v>12175</x:v>
      </x:c>
      <x:c r="D90" s="2" t="s">
        <x:v>25</x:v>
      </x:c>
      <x:c r="E90" s="2">
        <x:v>45</x:v>
      </x:c>
      <x:c r="F90" s="2">
        <x:v>240</x:v>
      </x:c>
      <x:c r="G90" s="3">
        <x:v>6274.3294100822004</x:v>
      </x:c>
      <x:c r="H90" s="3">
        <x:v>1505839.0584197282</x:v>
      </x:c>
    </x:row>
    <x:row r="91">
      <x:c r="A91" s="2" t="s">
        <x:v>19</x:v>
      </x:c>
      <x:c r="B91" s="2">
        <x:v>11202</x:v>
      </x:c>
      <x:c r="C91" s="2">
        <x:v>12176</x:v>
      </x:c>
      <x:c r="D91" s="2" t="s">
        <x:v>25</x:v>
      </x:c>
      <x:c r="E91" s="2">
        <x:v>45</x:v>
      </x:c>
      <x:c r="F91" s="2">
        <x:v>240</x:v>
      </x:c>
      <x:c r="G91" s="3">
        <x:v>6274.3294100822004</x:v>
      </x:c>
      <x:c r="H91" s="3">
        <x:v>1505839.0584197282</x:v>
      </x:c>
    </x:row>
    <x:row r="92">
      <x:c r="A92" s="2" t="s">
        <x:v>19</x:v>
      </x:c>
      <x:c r="B92" s="2">
        <x:v>11203</x:v>
      </x:c>
      <x:c r="C92" s="2">
        <x:v>12177</x:v>
      </x:c>
      <x:c r="D92" s="2" t="s">
        <x:v>25</x:v>
      </x:c>
      <x:c r="E92" s="2">
        <x:v>45</x:v>
      </x:c>
      <x:c r="F92" s="2">
        <x:v>240</x:v>
      </x:c>
      <x:c r="G92" s="3">
        <x:v>6274.3294100822004</x:v>
      </x:c>
      <x:c r="H92" s="3">
        <x:v>1505839.0584197282</x:v>
      </x:c>
    </x:row>
    <x:row r="93">
      <x:c r="A93" s="2" t="s">
        <x:v>19</x:v>
      </x:c>
      <x:c r="B93" s="2">
        <x:v>11204</x:v>
      </x:c>
      <x:c r="C93" s="2">
        <x:v>12178</x:v>
      </x:c>
      <x:c r="D93" s="2" t="s">
        <x:v>25</x:v>
      </x:c>
      <x:c r="E93" s="2">
        <x:v>44</x:v>
      </x:c>
      <x:c r="F93" s="2">
        <x:v>240</x:v>
      </x:c>
      <x:c r="G93" s="3">
        <x:v>6274.3294100822004</x:v>
      </x:c>
      <x:c r="H93" s="3">
        <x:v>1505839.0584197282</x:v>
      </x:c>
    </x:row>
    <x:row r="94">
      <x:c r="A94" s="2" t="s">
        <x:v>19</x:v>
      </x:c>
      <x:c r="B94" s="2">
        <x:v>11205</x:v>
      </x:c>
      <x:c r="C94" s="2">
        <x:v>12179</x:v>
      </x:c>
      <x:c r="D94" s="2" t="s">
        <x:v>25</x:v>
      </x:c>
      <x:c r="E94" s="2">
        <x:v>47</x:v>
      </x:c>
      <x:c r="F94" s="2">
        <x:v>240</x:v>
      </x:c>
      <x:c r="G94" s="3">
        <x:v>6274.3294100822004</x:v>
      </x:c>
      <x:c r="H94" s="3">
        <x:v>1505839.0584197282</x:v>
      </x:c>
    </x:row>
    <x:row r="95">
      <x:c r="A95" s="2" t="s">
        <x:v>19</x:v>
      </x:c>
      <x:c r="B95" s="2">
        <x:v>11206</x:v>
      </x:c>
      <x:c r="C95" s="2">
        <x:v>12180</x:v>
      </x:c>
      <x:c r="D95" s="2" t="s">
        <x:v>25</x:v>
      </x:c>
      <x:c r="E95" s="2">
        <x:v>47</x:v>
      </x:c>
      <x:c r="F95" s="2">
        <x:v>240</x:v>
      </x:c>
      <x:c r="G95" s="3">
        <x:v>6274.3294100822004</x:v>
      </x:c>
      <x:c r="H95" s="3">
        <x:v>1505839.0584197282</x:v>
      </x:c>
    </x:row>
    <x:row r="96">
      <x:c r="A96" s="2" t="s">
        <x:v>19</x:v>
      </x:c>
      <x:c r="B96" s="2">
        <x:v>11207</x:v>
      </x:c>
      <x:c r="C96" s="2">
        <x:v>12181</x:v>
      </x:c>
      <x:c r="D96" s="2" t="s">
        <x:v>25</x:v>
      </x:c>
      <x:c r="E96" s="2">
        <x:v>47</x:v>
      </x:c>
      <x:c r="F96" s="2">
        <x:v>240</x:v>
      </x:c>
      <x:c r="G96" s="3">
        <x:v>6274.3294100822004</x:v>
      </x:c>
      <x:c r="H96" s="3">
        <x:v>1505839.0584197282</x:v>
      </x:c>
    </x:row>
    <x:row r="97">
      <x:c r="A97" s="2" t="s">
        <x:v>19</x:v>
      </x:c>
      <x:c r="B97" s="2">
        <x:v>11208</x:v>
      </x:c>
      <x:c r="C97" s="2">
        <x:v>12182</x:v>
      </x:c>
      <x:c r="D97" s="2" t="s">
        <x:v>25</x:v>
      </x:c>
      <x:c r="E97" s="2">
        <x:v>45</x:v>
      </x:c>
      <x:c r="F97" s="2">
        <x:v>240</x:v>
      </x:c>
      <x:c r="G97" s="3">
        <x:v>6274.3294100822004</x:v>
      </x:c>
      <x:c r="H97" s="3">
        <x:v>1505839.0584197282</x:v>
      </x:c>
    </x:row>
    <x:row r="98">
      <x:c r="A98" s="2" t="s">
        <x:v>19</x:v>
      </x:c>
      <x:c r="B98" s="2">
        <x:v>11209</x:v>
      </x:c>
      <x:c r="C98" s="2">
        <x:v>12183</x:v>
      </x:c>
      <x:c r="D98" s="2" t="s">
        <x:v>25</x:v>
      </x:c>
      <x:c r="E98" s="2">
        <x:v>45</x:v>
      </x:c>
      <x:c r="F98" s="2">
        <x:v>240</x:v>
      </x:c>
      <x:c r="G98" s="3">
        <x:v>6274.3294100822004</x:v>
      </x:c>
      <x:c r="H98" s="3">
        <x:v>1505839.0584197282</x:v>
      </x:c>
    </x:row>
    <x:row r="99">
      <x:c r="A99" s="2" t="s">
        <x:v>19</x:v>
      </x:c>
      <x:c r="B99" s="2">
        <x:v>11210</x:v>
      </x:c>
      <x:c r="C99" s="2">
        <x:v>12184</x:v>
      </x:c>
      <x:c r="D99" s="2" t="s">
        <x:v>25</x:v>
      </x:c>
      <x:c r="E99" s="2">
        <x:v>48</x:v>
      </x:c>
      <x:c r="F99" s="2">
        <x:v>240</x:v>
      </x:c>
      <x:c r="G99" s="3">
        <x:v>6274.3294100822004</x:v>
      </x:c>
      <x:c r="H99" s="3">
        <x:v>1505839.0584197282</x:v>
      </x:c>
    </x:row>
    <x:row r="100">
      <x:c r="A100" s="2" t="s">
        <x:v>19</x:v>
      </x:c>
      <x:c r="B100" s="2">
        <x:v>11211</x:v>
      </x:c>
      <x:c r="C100" s="2">
        <x:v>12185</x:v>
      </x:c>
      <x:c r="D100" s="2" t="s">
        <x:v>25</x:v>
      </x:c>
      <x:c r="E100" s="2">
        <x:v>50</x:v>
      </x:c>
      <x:c r="F100" s="2">
        <x:v>240</x:v>
      </x:c>
      <x:c r="G100" s="3">
        <x:v>6274.3294100822004</x:v>
      </x:c>
      <x:c r="H100" s="3">
        <x:v>1505839.0584197282</x:v>
      </x:c>
    </x:row>
    <x:row r="101">
      <x:c r="A101" s="2" t="s">
        <x:v>19</x:v>
      </x:c>
      <x:c r="B101" s="2">
        <x:v>11212</x:v>
      </x:c>
      <x:c r="C101" s="2">
        <x:v>12186</x:v>
      </x:c>
      <x:c r="D101" s="2" t="s">
        <x:v>25</x:v>
      </x:c>
      <x:c r="E101" s="2">
        <x:v>50</x:v>
      </x:c>
      <x:c r="F101" s="2">
        <x:v>240</x:v>
      </x:c>
      <x:c r="G101" s="3">
        <x:v>6274.3294100822004</x:v>
      </x:c>
      <x:c r="H101" s="3">
        <x:v>1505839.0584197282</x:v>
      </x:c>
    </x:row>
    <x:row r="102">
      <x:c r="A102" s="2" t="s">
        <x:v>19</x:v>
      </x:c>
      <x:c r="B102" s="2">
        <x:v>11213</x:v>
      </x:c>
      <x:c r="C102" s="2">
        <x:v>12187</x:v>
      </x:c>
      <x:c r="D102" s="2" t="s">
        <x:v>25</x:v>
      </x:c>
      <x:c r="E102" s="2">
        <x:v>46</x:v>
      </x:c>
      <x:c r="F102" s="2">
        <x:v>240</x:v>
      </x:c>
      <x:c r="G102" s="3">
        <x:v>6274.3294100822004</x:v>
      </x:c>
      <x:c r="H102" s="3">
        <x:v>1505839.0584197282</x:v>
      </x:c>
    </x:row>
    <x:row r="103">
      <x:c r="A103" s="2" t="s">
        <x:v>19</x:v>
      </x:c>
      <x:c r="B103" s="2">
        <x:v>11214</x:v>
      </x:c>
      <x:c r="C103" s="2">
        <x:v>12188</x:v>
      </x:c>
      <x:c r="D103" s="2" t="s">
        <x:v>25</x:v>
      </x:c>
      <x:c r="E103" s="2">
        <x:v>50</x:v>
      </x:c>
      <x:c r="F103" s="2">
        <x:v>240</x:v>
      </x:c>
      <x:c r="G103" s="3">
        <x:v>6274.3294100822004</x:v>
      </x:c>
      <x:c r="H103" s="3">
        <x:v>1505839.0584197282</x:v>
      </x:c>
    </x:row>
    <x:row r="104">
      <x:c r="A104" s="2" t="s">
        <x:v>19</x:v>
      </x:c>
      <x:c r="B104" s="2">
        <x:v>11215</x:v>
      </x:c>
      <x:c r="C104" s="2">
        <x:v>12189</x:v>
      </x:c>
      <x:c r="D104" s="2" t="s">
        <x:v>25</x:v>
      </x:c>
      <x:c r="E104" s="2">
        <x:v>43</x:v>
      </x:c>
      <x:c r="F104" s="2">
        <x:v>240</x:v>
      </x:c>
      <x:c r="G104" s="3">
        <x:v>6274.3294100822004</x:v>
      </x:c>
      <x:c r="H104" s="3">
        <x:v>1505839.0584197282</x:v>
      </x:c>
    </x:row>
    <x:row r="105">
      <x:c r="A105" s="2" t="s">
        <x:v>19</x:v>
      </x:c>
      <x:c r="B105" s="2">
        <x:v>11216</x:v>
      </x:c>
      <x:c r="C105" s="2">
        <x:v>12190</x:v>
      </x:c>
      <x:c r="D105" s="2" t="s">
        <x:v>25</x:v>
      </x:c>
      <x:c r="E105" s="2">
        <x:v>50</x:v>
      </x:c>
      <x:c r="F105" s="2">
        <x:v>240</x:v>
      </x:c>
      <x:c r="G105" s="3">
        <x:v>6274.3294100822004</x:v>
      </x:c>
      <x:c r="H105" s="3">
        <x:v>1505839.0584197282</x:v>
      </x:c>
    </x:row>
    <x:row r="106">
      <x:c r="A106" s="2" t="s">
        <x:v>19</x:v>
      </x:c>
      <x:c r="B106" s="2">
        <x:v>11217</x:v>
      </x:c>
      <x:c r="C106" s="2">
        <x:v>12191</x:v>
      </x:c>
      <x:c r="D106" s="2" t="s">
        <x:v>25</x:v>
      </x:c>
      <x:c r="E106" s="2">
        <x:v>50</x:v>
      </x:c>
      <x:c r="F106" s="2">
        <x:v>240</x:v>
      </x:c>
      <x:c r="G106" s="3">
        <x:v>6274.3294100822004</x:v>
      </x:c>
      <x:c r="H106" s="3">
        <x:v>1505839.0584197282</x:v>
      </x:c>
    </x:row>
    <x:row r="107">
      <x:c r="A107" s="2" t="s">
        <x:v>19</x:v>
      </x:c>
      <x:c r="B107" s="2">
        <x:v>11218</x:v>
      </x:c>
      <x:c r="C107" s="2">
        <x:v>12192</x:v>
      </x:c>
      <x:c r="D107" s="2" t="s">
        <x:v>25</x:v>
      </x:c>
      <x:c r="E107" s="2">
        <x:v>50</x:v>
      </x:c>
      <x:c r="F107" s="2">
        <x:v>240</x:v>
      </x:c>
      <x:c r="G107" s="3">
        <x:v>6274.3294100822004</x:v>
      </x:c>
      <x:c r="H107" s="3">
        <x:v>1505839.0584197282</x:v>
      </x:c>
    </x:row>
    <x:row r="108">
      <x:c r="A108" s="2" t="s">
        <x:v>19</x:v>
      </x:c>
      <x:c r="B108" s="2">
        <x:v>11219</x:v>
      </x:c>
      <x:c r="C108" s="2">
        <x:v>12193</x:v>
      </x:c>
      <x:c r="D108" s="2" t="s">
        <x:v>25</x:v>
      </x:c>
      <x:c r="E108" s="2">
        <x:v>50</x:v>
      </x:c>
      <x:c r="F108" s="2">
        <x:v>240</x:v>
      </x:c>
      <x:c r="G108" s="3">
        <x:v>6274.3294100822004</x:v>
      </x:c>
      <x:c r="H108" s="3">
        <x:v>1505839.0584197282</x:v>
      </x:c>
    </x:row>
    <x:row r="109">
      <x:c r="A109" s="2" t="s">
        <x:v>19</x:v>
      </x:c>
      <x:c r="B109" s="2">
        <x:v>11220</x:v>
      </x:c>
      <x:c r="C109" s="2">
        <x:v>12194</x:v>
      </x:c>
      <x:c r="D109" s="2" t="s">
        <x:v>25</x:v>
      </x:c>
      <x:c r="E109" s="2">
        <x:v>50</x:v>
      </x:c>
      <x:c r="F109" s="2">
        <x:v>240</x:v>
      </x:c>
      <x:c r="G109" s="3">
        <x:v>6274.3294100822004</x:v>
      </x:c>
      <x:c r="H109" s="3">
        <x:v>1505839.0584197282</x:v>
      </x:c>
    </x:row>
    <x:row r="110">
      <x:c r="A110" s="2" t="s">
        <x:v>19</x:v>
      </x:c>
      <x:c r="B110" s="2">
        <x:v>11221</x:v>
      </x:c>
      <x:c r="C110" s="2">
        <x:v>12195</x:v>
      </x:c>
      <x:c r="D110" s="2" t="s">
        <x:v>25</x:v>
      </x:c>
      <x:c r="E110" s="2">
        <x:v>50</x:v>
      </x:c>
      <x:c r="F110" s="2">
        <x:v>240</x:v>
      </x:c>
      <x:c r="G110" s="3">
        <x:v>6274.3294100822004</x:v>
      </x:c>
      <x:c r="H110" s="3">
        <x:v>1505839.0584197282</x:v>
      </x:c>
    </x:row>
    <x:row r="111">
      <x:c r="A111" s="2" t="s">
        <x:v>19</x:v>
      </x:c>
      <x:c r="B111" s="2">
        <x:v>11222</x:v>
      </x:c>
      <x:c r="C111" s="2">
        <x:v>12196</x:v>
      </x:c>
      <x:c r="D111" s="2" t="s">
        <x:v>25</x:v>
      </x:c>
      <x:c r="E111" s="2">
        <x:v>48</x:v>
      </x:c>
      <x:c r="F111" s="2">
        <x:v>240</x:v>
      </x:c>
      <x:c r="G111" s="3">
        <x:v>6274.3294100822004</x:v>
      </x:c>
      <x:c r="H111" s="3">
        <x:v>1505839.0584197282</x:v>
      </x:c>
    </x:row>
    <x:row r="112">
      <x:c r="A112" s="2" t="s">
        <x:v>19</x:v>
      </x:c>
      <x:c r="B112" s="2">
        <x:v>11223</x:v>
      </x:c>
      <x:c r="C112" s="2">
        <x:v>12197</x:v>
      </x:c>
      <x:c r="D112" s="2" t="s">
        <x:v>25</x:v>
      </x:c>
      <x:c r="E112" s="2">
        <x:v>43</x:v>
      </x:c>
      <x:c r="F112" s="2">
        <x:v>240</x:v>
      </x:c>
      <x:c r="G112" s="3">
        <x:v>6274.3294100822004</x:v>
      </x:c>
      <x:c r="H112" s="3">
        <x:v>1505839.0584197282</x:v>
      </x:c>
    </x:row>
    <x:row r="113">
      <x:c r="A113" s="2" t="s">
        <x:v>19</x:v>
      </x:c>
      <x:c r="B113" s="2">
        <x:v>11224</x:v>
      </x:c>
      <x:c r="C113" s="2">
        <x:v>12198</x:v>
      </x:c>
      <x:c r="D113" s="2" t="s">
        <x:v>26</x:v>
      </x:c>
      <x:c r="E113" s="2">
        <x:v>0</x:v>
      </x:c>
      <x:c r="F113" s="2">
        <x:v>240</x:v>
      </x:c>
      <x:c r="G113" s="3">
        <x:v>6274.3294100822004</x:v>
      </x:c>
      <x:c r="H113" s="3">
        <x:v>1505839.0584197282</x:v>
      </x:c>
    </x:row>
    <x:row r="114">
      <x:c r="A114" s="2" t="s">
        <x:v>19</x:v>
      </x:c>
      <x:c r="B114" s="2">
        <x:v>11436</x:v>
      </x:c>
      <x:c r="C114" s="2">
        <x:v>12199</x:v>
      </x:c>
      <x:c r="D114" s="2" t="s">
        <x:v>24</x:v>
      </x:c>
      <x:c r="E114" s="2">
        <x:v>36</x:v>
      </x:c>
      <x:c r="F114" s="2">
        <x:v>240</x:v>
      </x:c>
      <x:c r="G114" s="3">
        <x:v>6274.3294100822004</x:v>
      </x:c>
      <x:c r="H114" s="3">
        <x:v>1505839.0584197282</x:v>
      </x:c>
    </x:row>
    <x:row r="115">
      <x:c r="A115" s="2" t="s">
        <x:v>19</x:v>
      </x:c>
      <x:c r="B115" s="2">
        <x:v>11437</x:v>
      </x:c>
      <x:c r="C115" s="2">
        <x:v>12200</x:v>
      </x:c>
      <x:c r="D115" s="2" t="s">
        <x:v>24</x:v>
      </x:c>
      <x:c r="E115" s="2">
        <x:v>36</x:v>
      </x:c>
      <x:c r="F115" s="2">
        <x:v>240</x:v>
      </x:c>
      <x:c r="G115" s="3">
        <x:v>6274.3294100822004</x:v>
      </x:c>
      <x:c r="H115" s="3">
        <x:v>1505839.0584197282</x:v>
      </x:c>
    </x:row>
    <x:row r="116">
      <x:c r="A116" s="2" t="s">
        <x:v>19</x:v>
      </x:c>
      <x:c r="B116" s="2">
        <x:v>11438</x:v>
      </x:c>
      <x:c r="C116" s="2">
        <x:v>12201</x:v>
      </x:c>
      <x:c r="D116" s="2" t="s">
        <x:v>24</x:v>
      </x:c>
      <x:c r="E116" s="2">
        <x:v>36</x:v>
      </x:c>
      <x:c r="F116" s="2">
        <x:v>240</x:v>
      </x:c>
      <x:c r="G116" s="3">
        <x:v>6274.3294100822004</x:v>
      </x:c>
      <x:c r="H116" s="3">
        <x:v>1505839.0584197282</x:v>
      </x:c>
    </x:row>
    <x:row r="117">
      <x:c r="A117" s="2" t="s">
        <x:v>19</x:v>
      </x:c>
      <x:c r="B117" s="2">
        <x:v>11439</x:v>
      </x:c>
      <x:c r="C117" s="2">
        <x:v>12202</x:v>
      </x:c>
      <x:c r="D117" s="2" t="s">
        <x:v>24</x:v>
      </x:c>
      <x:c r="E117" s="2">
        <x:v>40</x:v>
      </x:c>
      <x:c r="F117" s="2">
        <x:v>240</x:v>
      </x:c>
      <x:c r="G117" s="3">
        <x:v>6274.3294100822004</x:v>
      </x:c>
      <x:c r="H117" s="3">
        <x:v>1505839.0584197282</x:v>
      </x:c>
    </x:row>
    <x:row r="118">
      <x:c r="A118" s="2" t="s">
        <x:v>19</x:v>
      </x:c>
      <x:c r="B118" s="2">
        <x:v>11440</x:v>
      </x:c>
      <x:c r="C118" s="2">
        <x:v>12203</x:v>
      </x:c>
      <x:c r="D118" s="2" t="s">
        <x:v>24</x:v>
      </x:c>
      <x:c r="E118" s="2">
        <x:v>39</x:v>
      </x:c>
      <x:c r="F118" s="2">
        <x:v>240</x:v>
      </x:c>
      <x:c r="G118" s="3">
        <x:v>6274.3294100822004</x:v>
      </x:c>
      <x:c r="H118" s="3">
        <x:v>1505839.0584197282</x:v>
      </x:c>
    </x:row>
    <x:row r="119">
      <x:c r="A119" s="2" t="s">
        <x:v>19</x:v>
      </x:c>
      <x:c r="B119" s="2">
        <x:v>11441</x:v>
      </x:c>
      <x:c r="C119" s="2">
        <x:v>12204</x:v>
      </x:c>
      <x:c r="D119" s="2" t="s">
        <x:v>24</x:v>
      </x:c>
      <x:c r="E119" s="2">
        <x:v>37</x:v>
      </x:c>
      <x:c r="F119" s="2">
        <x:v>240</x:v>
      </x:c>
      <x:c r="G119" s="3">
        <x:v>6274.3294100822004</x:v>
      </x:c>
      <x:c r="H119" s="3">
        <x:v>1505839.0584197282</x:v>
      </x:c>
    </x:row>
    <x:row r="120">
      <x:c r="A120" s="2" t="s">
        <x:v>19</x:v>
      </x:c>
      <x:c r="B120" s="2">
        <x:v>11442</x:v>
      </x:c>
      <x:c r="C120" s="2">
        <x:v>12205</x:v>
      </x:c>
      <x:c r="D120" s="2" t="s">
        <x:v>24</x:v>
      </x:c>
      <x:c r="E120" s="2">
        <x:v>36</x:v>
      </x:c>
      <x:c r="F120" s="2">
        <x:v>240</x:v>
      </x:c>
      <x:c r="G120" s="3">
        <x:v>6274.3294100822004</x:v>
      </x:c>
      <x:c r="H120" s="3">
        <x:v>1505839.0584197282</x:v>
      </x:c>
    </x:row>
    <x:row r="121">
      <x:c r="A121" s="2" t="s">
        <x:v>19</x:v>
      </x:c>
      <x:c r="B121" s="2">
        <x:v>11443</x:v>
      </x:c>
      <x:c r="C121" s="2">
        <x:v>12206</x:v>
      </x:c>
      <x:c r="D121" s="2" t="s">
        <x:v>24</x:v>
      </x:c>
      <x:c r="E121" s="2">
        <x:v>40</x:v>
      </x:c>
      <x:c r="F121" s="2">
        <x:v>240</x:v>
      </x:c>
      <x:c r="G121" s="3">
        <x:v>6274.3294100822004</x:v>
      </x:c>
      <x:c r="H121" s="3">
        <x:v>1505839.0584197282</x:v>
      </x:c>
    </x:row>
    <x:row r="122">
      <x:c r="A122" s="2" t="s">
        <x:v>19</x:v>
      </x:c>
      <x:c r="B122" s="2">
        <x:v>11444</x:v>
      </x:c>
      <x:c r="C122" s="2">
        <x:v>12207</x:v>
      </x:c>
      <x:c r="D122" s="2" t="s">
        <x:v>24</x:v>
      </x:c>
      <x:c r="E122" s="2">
        <x:v>40</x:v>
      </x:c>
      <x:c r="F122" s="2">
        <x:v>240</x:v>
      </x:c>
      <x:c r="G122" s="3">
        <x:v>6274.3294100822004</x:v>
      </x:c>
      <x:c r="H122" s="3">
        <x:v>1505839.0584197282</x:v>
      </x:c>
    </x:row>
    <x:row r="123">
      <x:c r="A123" s="2" t="s">
        <x:v>19</x:v>
      </x:c>
      <x:c r="B123" s="2">
        <x:v>11445</x:v>
      </x:c>
      <x:c r="C123" s="2">
        <x:v>12208</x:v>
      </x:c>
      <x:c r="D123" s="2" t="s">
        <x:v>24</x:v>
      </x:c>
      <x:c r="E123" s="2">
        <x:v>35</x:v>
      </x:c>
      <x:c r="F123" s="2">
        <x:v>240</x:v>
      </x:c>
      <x:c r="G123" s="3">
        <x:v>6274.3294100822004</x:v>
      </x:c>
      <x:c r="H123" s="3">
        <x:v>1505839.0584197282</x:v>
      </x:c>
    </x:row>
    <x:row r="124">
      <x:c r="A124" s="2" t="s">
        <x:v>19</x:v>
      </x:c>
      <x:c r="B124" s="2">
        <x:v>11446</x:v>
      </x:c>
      <x:c r="C124" s="2">
        <x:v>12209</x:v>
      </x:c>
      <x:c r="D124" s="2" t="s">
        <x:v>24</x:v>
      </x:c>
      <x:c r="E124" s="2">
        <x:v>31</x:v>
      </x:c>
      <x:c r="F124" s="2">
        <x:v>240</x:v>
      </x:c>
      <x:c r="G124" s="3">
        <x:v>6274.3294100822004</x:v>
      </x:c>
      <x:c r="H124" s="3">
        <x:v>1505839.0584197282</x:v>
      </x:c>
    </x:row>
    <x:row r="125">
      <x:c r="A125" s="2" t="s">
        <x:v>19</x:v>
      </x:c>
      <x:c r="B125" s="2">
        <x:v>11447</x:v>
      </x:c>
      <x:c r="C125" s="2">
        <x:v>12210</x:v>
      </x:c>
      <x:c r="D125" s="2" t="s">
        <x:v>24</x:v>
      </x:c>
      <x:c r="E125" s="2">
        <x:v>36</x:v>
      </x:c>
      <x:c r="F125" s="2">
        <x:v>240</x:v>
      </x:c>
      <x:c r="G125" s="3">
        <x:v>6274.3294100822004</x:v>
      </x:c>
      <x:c r="H125" s="3">
        <x:v>1505839.0584197282</x:v>
      </x:c>
    </x:row>
    <x:row r="126">
      <x:c r="A126" s="2" t="s">
        <x:v>19</x:v>
      </x:c>
      <x:c r="B126" s="2">
        <x:v>11448</x:v>
      </x:c>
      <x:c r="C126" s="2">
        <x:v>12211</x:v>
      </x:c>
      <x:c r="D126" s="2" t="s">
        <x:v>24</x:v>
      </x:c>
      <x:c r="E126" s="2">
        <x:v>38</x:v>
      </x:c>
      <x:c r="F126" s="2">
        <x:v>240</x:v>
      </x:c>
      <x:c r="G126" s="3">
        <x:v>6274.3294100822004</x:v>
      </x:c>
      <x:c r="H126" s="3">
        <x:v>1505839.0584197282</x:v>
      </x:c>
    </x:row>
    <x:row r="127">
      <x:c r="A127" s="2" t="s">
        <x:v>19</x:v>
      </x:c>
      <x:c r="B127" s="2">
        <x:v>11449</x:v>
      </x:c>
      <x:c r="C127" s="2">
        <x:v>12212</x:v>
      </x:c>
      <x:c r="D127" s="2" t="s">
        <x:v>24</x:v>
      </x:c>
      <x:c r="E127" s="2">
        <x:v>40</x:v>
      </x:c>
      <x:c r="F127" s="2">
        <x:v>240</x:v>
      </x:c>
      <x:c r="G127" s="3">
        <x:v>6274.3294100822004</x:v>
      </x:c>
      <x:c r="H127" s="3">
        <x:v>1505839.0584197282</x:v>
      </x:c>
    </x:row>
    <x:row r="128">
      <x:c r="A128" s="2" t="s">
        <x:v>19</x:v>
      </x:c>
      <x:c r="B128" s="2">
        <x:v>11450</x:v>
      </x:c>
      <x:c r="C128" s="2">
        <x:v>12213</x:v>
      </x:c>
      <x:c r="D128" s="2" t="s">
        <x:v>24</x:v>
      </x:c>
      <x:c r="E128" s="2">
        <x:v>39</x:v>
      </x:c>
      <x:c r="F128" s="2">
        <x:v>240</x:v>
      </x:c>
      <x:c r="G128" s="3">
        <x:v>6274.3294100822004</x:v>
      </x:c>
      <x:c r="H128" s="3">
        <x:v>1505839.0584197282</x:v>
      </x:c>
    </x:row>
    <x:row r="129">
      <x:c r="A129" s="2" t="s">
        <x:v>19</x:v>
      </x:c>
      <x:c r="B129" s="2">
        <x:v>11451</x:v>
      </x:c>
      <x:c r="C129" s="2">
        <x:v>12214</x:v>
      </x:c>
      <x:c r="D129" s="2" t="s">
        <x:v>24</x:v>
      </x:c>
      <x:c r="E129" s="2">
        <x:v>35</x:v>
      </x:c>
      <x:c r="F129" s="2">
        <x:v>240</x:v>
      </x:c>
      <x:c r="G129" s="3">
        <x:v>6274.3294100822004</x:v>
      </x:c>
      <x:c r="H129" s="3">
        <x:v>1505839.0584197282</x:v>
      </x:c>
    </x:row>
    <x:row r="130">
      <x:c r="A130" s="2" t="s">
        <x:v>19</x:v>
      </x:c>
      <x:c r="B130" s="2">
        <x:v>11452</x:v>
      </x:c>
      <x:c r="C130" s="2">
        <x:v>12215</x:v>
      </x:c>
      <x:c r="D130" s="2" t="s">
        <x:v>24</x:v>
      </x:c>
      <x:c r="E130" s="2">
        <x:v>35</x:v>
      </x:c>
      <x:c r="F130" s="2">
        <x:v>240</x:v>
      </x:c>
      <x:c r="G130" s="3">
        <x:v>6274.3294100822004</x:v>
      </x:c>
      <x:c r="H130" s="3">
        <x:v>1505839.0584197282</x:v>
      </x:c>
    </x:row>
    <x:row r="131">
      <x:c r="A131" s="2" t="s">
        <x:v>19</x:v>
      </x:c>
      <x:c r="B131" s="2">
        <x:v>11453</x:v>
      </x:c>
      <x:c r="C131" s="2">
        <x:v>12216</x:v>
      </x:c>
      <x:c r="D131" s="2" t="s">
        <x:v>24</x:v>
      </x:c>
      <x:c r="E131" s="2">
        <x:v>34</x:v>
      </x:c>
      <x:c r="F131" s="2">
        <x:v>240</x:v>
      </x:c>
      <x:c r="G131" s="3">
        <x:v>6274.3294100822004</x:v>
      </x:c>
      <x:c r="H131" s="3">
        <x:v>1505839.0584197282</x:v>
      </x:c>
    </x:row>
    <x:row r="132">
      <x:c r="A132" s="2" t="s">
        <x:v>19</x:v>
      </x:c>
      <x:c r="B132" s="2">
        <x:v>11454</x:v>
      </x:c>
      <x:c r="C132" s="2">
        <x:v>12217</x:v>
      </x:c>
      <x:c r="D132" s="2" t="s">
        <x:v>24</x:v>
      </x:c>
      <x:c r="E132" s="2">
        <x:v>35</x:v>
      </x:c>
      <x:c r="F132" s="2">
        <x:v>240</x:v>
      </x:c>
      <x:c r="G132" s="3">
        <x:v>6274.3294100822004</x:v>
      </x:c>
      <x:c r="H132" s="3">
        <x:v>1505839.0584197282</x:v>
      </x:c>
    </x:row>
    <x:row r="133">
      <x:c r="A133" s="2" t="s">
        <x:v>19</x:v>
      </x:c>
      <x:c r="B133" s="2">
        <x:v>11455</x:v>
      </x:c>
      <x:c r="C133" s="2">
        <x:v>12218</x:v>
      </x:c>
      <x:c r="D133" s="2" t="s">
        <x:v>24</x:v>
      </x:c>
      <x:c r="E133" s="2">
        <x:v>36</x:v>
      </x:c>
      <x:c r="F133" s="2">
        <x:v>240</x:v>
      </x:c>
      <x:c r="G133" s="3">
        <x:v>6274.3294100822004</x:v>
      </x:c>
      <x:c r="H133" s="3">
        <x:v>1505839.0584197282</x:v>
      </x:c>
    </x:row>
    <x:row r="134">
      <x:c r="A134" s="2" t="s">
        <x:v>19</x:v>
      </x:c>
      <x:c r="B134" s="2">
        <x:v>11456</x:v>
      </x:c>
      <x:c r="C134" s="2">
        <x:v>12219</x:v>
      </x:c>
      <x:c r="D134" s="2" t="s">
        <x:v>24</x:v>
      </x:c>
      <x:c r="E134" s="2">
        <x:v>33</x:v>
      </x:c>
      <x:c r="F134" s="2">
        <x:v>240</x:v>
      </x:c>
      <x:c r="G134" s="3">
        <x:v>6274.3294100822004</x:v>
      </x:c>
      <x:c r="H134" s="3">
        <x:v>1505839.0584197282</x:v>
      </x:c>
    </x:row>
    <x:row r="135">
      <x:c r="A135" s="2" t="s">
        <x:v>19</x:v>
      </x:c>
      <x:c r="B135" s="2">
        <x:v>11457</x:v>
      </x:c>
      <x:c r="C135" s="2">
        <x:v>12220</x:v>
      </x:c>
      <x:c r="D135" s="2" t="s">
        <x:v>24</x:v>
      </x:c>
      <x:c r="E135" s="2">
        <x:v>36</x:v>
      </x:c>
      <x:c r="F135" s="2">
        <x:v>240</x:v>
      </x:c>
      <x:c r="G135" s="3">
        <x:v>6274.3294100822004</x:v>
      </x:c>
      <x:c r="H135" s="3">
        <x:v>1505839.0584197282</x:v>
      </x:c>
    </x:row>
    <x:row r="136">
      <x:c r="A136" s="2" t="s">
        <x:v>19</x:v>
      </x:c>
      <x:c r="B136" s="2">
        <x:v>11458</x:v>
      </x:c>
      <x:c r="C136" s="2">
        <x:v>12221</x:v>
      </x:c>
      <x:c r="D136" s="2" t="s">
        <x:v>24</x:v>
      </x:c>
      <x:c r="E136" s="2">
        <x:v>38</x:v>
      </x:c>
      <x:c r="F136" s="2">
        <x:v>240</x:v>
      </x:c>
      <x:c r="G136" s="3">
        <x:v>6274.3294100822004</x:v>
      </x:c>
      <x:c r="H136" s="3">
        <x:v>1505839.0584197282</x:v>
      </x:c>
    </x:row>
    <x:row r="137">
      <x:c r="A137" s="2" t="s">
        <x:v>19</x:v>
      </x:c>
      <x:c r="B137" s="2">
        <x:v>11459</x:v>
      </x:c>
      <x:c r="C137" s="2">
        <x:v>12222</x:v>
      </x:c>
      <x:c r="D137" s="2" t="s">
        <x:v>24</x:v>
      </x:c>
      <x:c r="E137" s="2">
        <x:v>36</x:v>
      </x:c>
      <x:c r="F137" s="2">
        <x:v>240</x:v>
      </x:c>
      <x:c r="G137" s="3">
        <x:v>6274.3294100822004</x:v>
      </x:c>
      <x:c r="H137" s="3">
        <x:v>1505839.0584197282</x:v>
      </x:c>
    </x:row>
    <x:row r="138">
      <x:c r="A138" s="2" t="s">
        <x:v>19</x:v>
      </x:c>
      <x:c r="B138" s="2">
        <x:v>11460</x:v>
      </x:c>
      <x:c r="C138" s="2">
        <x:v>12223</x:v>
      </x:c>
      <x:c r="D138" s="2" t="s">
        <x:v>24</x:v>
      </x:c>
      <x:c r="E138" s="2">
        <x:v>38</x:v>
      </x:c>
      <x:c r="F138" s="2">
        <x:v>240</x:v>
      </x:c>
      <x:c r="G138" s="3">
        <x:v>6274.3294100822004</x:v>
      </x:c>
      <x:c r="H138" s="3">
        <x:v>1505839.0584197282</x:v>
      </x:c>
    </x:row>
    <x:row r="139">
      <x:c r="A139" s="2" t="s">
        <x:v>19</x:v>
      </x:c>
      <x:c r="B139" s="2">
        <x:v>11461</x:v>
      </x:c>
      <x:c r="C139" s="2">
        <x:v>12224</x:v>
      </x:c>
      <x:c r="D139" s="2" t="s">
        <x:v>24</x:v>
      </x:c>
      <x:c r="E139" s="2">
        <x:v>38</x:v>
      </x:c>
      <x:c r="F139" s="2">
        <x:v>240</x:v>
      </x:c>
      <x:c r="G139" s="3">
        <x:v>6274.3294100822004</x:v>
      </x:c>
      <x:c r="H139" s="3">
        <x:v>1505839.0584197282</x:v>
      </x:c>
    </x:row>
    <x:row r="140">
      <x:c r="A140" s="2" t="s">
        <x:v>19</x:v>
      </x:c>
      <x:c r="B140" s="2">
        <x:v>11462</x:v>
      </x:c>
      <x:c r="C140" s="2">
        <x:v>12225</x:v>
      </x:c>
      <x:c r="D140" s="2" t="s">
        <x:v>24</x:v>
      </x:c>
      <x:c r="E140" s="2">
        <x:v>36</x:v>
      </x:c>
      <x:c r="F140" s="2">
        <x:v>240</x:v>
      </x:c>
      <x:c r="G140" s="3">
        <x:v>6274.3294100822004</x:v>
      </x:c>
      <x:c r="H140" s="3">
        <x:v>1505839.0584197282</x:v>
      </x:c>
    </x:row>
    <x:row r="141">
      <x:c r="A141" s="2" t="s">
        <x:v>19</x:v>
      </x:c>
      <x:c r="B141" s="2">
        <x:v>11463</x:v>
      </x:c>
      <x:c r="C141" s="2">
        <x:v>12226</x:v>
      </x:c>
      <x:c r="D141" s="2" t="s">
        <x:v>24</x:v>
      </x:c>
      <x:c r="E141" s="2">
        <x:v>39</x:v>
      </x:c>
      <x:c r="F141" s="2">
        <x:v>240</x:v>
      </x:c>
      <x:c r="G141" s="3">
        <x:v>6274.3294100822004</x:v>
      </x:c>
      <x:c r="H141" s="3">
        <x:v>1505839.0584197282</x:v>
      </x:c>
    </x:row>
    <x:row r="142">
      <x:c r="A142" s="2" t="s">
        <x:v>19</x:v>
      </x:c>
      <x:c r="B142" s="2">
        <x:v>11464</x:v>
      </x:c>
      <x:c r="C142" s="2">
        <x:v>12227</x:v>
      </x:c>
      <x:c r="D142" s="2" t="s">
        <x:v>24</x:v>
      </x:c>
      <x:c r="E142" s="2">
        <x:v>41</x:v>
      </x:c>
      <x:c r="F142" s="2">
        <x:v>240</x:v>
      </x:c>
      <x:c r="G142" s="3">
        <x:v>6274.3294100822004</x:v>
      </x:c>
      <x:c r="H142" s="3">
        <x:v>1505839.0584197282</x:v>
      </x:c>
    </x:row>
    <x:row r="143">
      <x:c r="A143" s="2" t="s">
        <x:v>19</x:v>
      </x:c>
      <x:c r="B143" s="2">
        <x:v>11465</x:v>
      </x:c>
      <x:c r="C143" s="2">
        <x:v>12228</x:v>
      </x:c>
      <x:c r="D143" s="2" t="s">
        <x:v>24</x:v>
      </x:c>
      <x:c r="E143" s="2">
        <x:v>37</x:v>
      </x:c>
      <x:c r="F143" s="2">
        <x:v>240</x:v>
      </x:c>
      <x:c r="G143" s="3">
        <x:v>6274.3294100822004</x:v>
      </x:c>
      <x:c r="H143" s="3">
        <x:v>1505839.0584197282</x:v>
      </x:c>
    </x:row>
    <x:row r="144">
      <x:c r="A144" s="2" t="s">
        <x:v>19</x:v>
      </x:c>
      <x:c r="B144" s="2">
        <x:v>11466</x:v>
      </x:c>
      <x:c r="C144" s="2">
        <x:v>12229</x:v>
      </x:c>
      <x:c r="D144" s="2" t="s">
        <x:v>24</x:v>
      </x:c>
      <x:c r="E144" s="2">
        <x:v>36</x:v>
      </x:c>
      <x:c r="F144" s="2">
        <x:v>240</x:v>
      </x:c>
      <x:c r="G144" s="3">
        <x:v>6274.3294100822004</x:v>
      </x:c>
      <x:c r="H144" s="3">
        <x:v>1505839.0584197282</x:v>
      </x:c>
    </x:row>
    <x:row r="145">
      <x:c r="A145" s="2" t="s">
        <x:v>19</x:v>
      </x:c>
      <x:c r="B145" s="2">
        <x:v>11467</x:v>
      </x:c>
      <x:c r="C145" s="2">
        <x:v>12230</x:v>
      </x:c>
      <x:c r="D145" s="2" t="s">
        <x:v>25</x:v>
      </x:c>
      <x:c r="E145" s="2">
        <x:v>53</x:v>
      </x:c>
      <x:c r="F145" s="2">
        <x:v>240</x:v>
      </x:c>
      <x:c r="G145" s="3">
        <x:v>6274.3294100822004</x:v>
      </x:c>
      <x:c r="H145" s="3">
        <x:v>1505839.0584197282</x:v>
      </x:c>
    </x:row>
    <x:row r="146">
      <x:c r="A146" s="2" t="s">
        <x:v>19</x:v>
      </x:c>
      <x:c r="B146" s="2">
        <x:v>11468</x:v>
      </x:c>
      <x:c r="C146" s="2">
        <x:v>12231</x:v>
      </x:c>
      <x:c r="D146" s="2" t="s">
        <x:v>25</x:v>
      </x:c>
      <x:c r="E146" s="2">
        <x:v>26</x:v>
      </x:c>
      <x:c r="F146" s="2">
        <x:v>139</x:v>
      </x:c>
      <x:c r="G146" s="3">
        <x:v>6274.3294100822004</x:v>
      </x:c>
      <x:c r="H146" s="3">
        <x:v>872131.78800142591</x:v>
      </x:c>
    </x:row>
    <x:row r="147">
      <x:c r="A147" s="2" t="s">
        <x:v>19</x:v>
      </x:c>
      <x:c r="B147" s="2">
        <x:v>11469</x:v>
      </x:c>
      <x:c r="C147" s="2">
        <x:v>12232</x:v>
      </x:c>
      <x:c r="D147" s="2" t="s">
        <x:v>27</x:v>
      </x:c>
      <x:c r="E147" s="2">
        <x:v>18</x:v>
      </x:c>
      <x:c r="F147" s="2">
        <x:v>123</x:v>
      </x:c>
      <x:c r="G147" s="3">
        <x:v>6274.3294100822004</x:v>
      </x:c>
      <x:c r="H147" s="3">
        <x:v>771742.51744011068</x:v>
      </x:c>
    </x:row>
    <x:row r="148">
      <x:c r="A148" s="2" t="s">
        <x:v>19</x:v>
      </x:c>
      <x:c r="B148" s="2">
        <x:v>11470</x:v>
      </x:c>
      <x:c r="C148" s="2">
        <x:v>12233</x:v>
      </x:c>
      <x:c r="D148" s="2" t="s">
        <x:v>5</x:v>
      </x:c>
      <x:c r="E148" s="2">
        <x:v>0</x:v>
      </x:c>
      <x:c r="F148" s="2">
        <x:v>300</x:v>
      </x:c>
      <x:c r="G148" s="3">
        <x:v>6274.3294100822004</x:v>
      </x:c>
      <x:c r="H148" s="3">
        <x:v>1882298.8230246601</x:v>
      </x:c>
    </x:row>
    <x:row r="149">
      <x:c r="A149" s="2" t="s">
        <x:v>28</x:v>
      </x:c>
      <x:c r="B149" s="2">
        <x:v>6988</x:v>
      </x:c>
      <x:c r="C149" s="2">
        <x:v>11927</x:v>
      </x:c>
      <x:c r="D149" s="2" t="s">
        <x:v>29</x:v>
      </x:c>
      <x:c r="E149" s="2">
        <x:v>17</x:v>
      </x:c>
      <x:c r="F149" s="2">
        <x:v>156</x:v>
      </x:c>
      <x:c r="G149" s="3">
        <x:v>7272.3829248029997</x:v>
      </x:c>
      <x:c r="H149" s="3">
        <x:v>1134491.736269268</x:v>
      </x:c>
    </x:row>
    <x:row r="150">
      <x:c r="A150" s="2" t="s">
        <x:v>28</x:v>
      </x:c>
      <x:c r="B150" s="2">
        <x:v>10808</x:v>
      </x:c>
      <x:c r="C150" s="2">
        <x:v>11928</x:v>
      </x:c>
      <x:c r="D150" s="2" t="s">
        <x:v>22</x:v>
      </x:c>
      <x:c r="E150" s="2">
        <x:v>40</x:v>
      </x:c>
      <x:c r="F150" s="2">
        <x:v>240</x:v>
      </x:c>
      <x:c r="G150" s="3">
        <x:v>5691.0353520252002</x:v>
      </x:c>
      <x:c r="H150" s="3">
        <x:v>1365848.4844860481</x:v>
      </x:c>
    </x:row>
    <x:row r="151">
      <x:c r="A151" s="2" t="s">
        <x:v>28</x:v>
      </x:c>
      <x:c r="B151" s="2">
        <x:v>10809</x:v>
      </x:c>
      <x:c r="C151" s="2">
        <x:v>11929</x:v>
      </x:c>
      <x:c r="D151" s="2" t="s">
        <x:v>22</x:v>
      </x:c>
      <x:c r="E151" s="2">
        <x:v>46</x:v>
      </x:c>
      <x:c r="F151" s="2">
        <x:v>240</x:v>
      </x:c>
      <x:c r="G151" s="3">
        <x:v>5691.0353520252002</x:v>
      </x:c>
      <x:c r="H151" s="3">
        <x:v>1365848.4844860481</x:v>
      </x:c>
    </x:row>
    <x:row r="152">
      <x:c r="A152" s="2" t="s">
        <x:v>28</x:v>
      </x:c>
      <x:c r="B152" s="2">
        <x:v>10812</x:v>
      </x:c>
      <x:c r="C152" s="2">
        <x:v>11930</x:v>
      </x:c>
      <x:c r="D152" s="2" t="s">
        <x:v>22</x:v>
      </x:c>
      <x:c r="E152" s="2">
        <x:v>36</x:v>
      </x:c>
      <x:c r="F152" s="2">
        <x:v>240</x:v>
      </x:c>
      <x:c r="G152" s="3">
        <x:v>5691.0353520252002</x:v>
      </x:c>
      <x:c r="H152" s="3">
        <x:v>1365848.4844860481</x:v>
      </x:c>
    </x:row>
    <x:row r="153">
      <x:c r="A153" s="2" t="s">
        <x:v>28</x:v>
      </x:c>
      <x:c r="B153" s="2">
        <x:v>10816</x:v>
      </x:c>
      <x:c r="C153" s="2">
        <x:v>11931</x:v>
      </x:c>
      <x:c r="D153" s="2" t="s">
        <x:v>22</x:v>
      </x:c>
      <x:c r="E153" s="2">
        <x:v>30</x:v>
      </x:c>
      <x:c r="F153" s="2">
        <x:v>240</x:v>
      </x:c>
      <x:c r="G153" s="3">
        <x:v>5691.0353520252002</x:v>
      </x:c>
      <x:c r="H153" s="3">
        <x:v>1365848.4844860481</x:v>
      </x:c>
    </x:row>
    <x:row r="154">
      <x:c r="A154" s="2" t="s">
        <x:v>28</x:v>
      </x:c>
      <x:c r="B154" s="2">
        <x:v>10818</x:v>
      </x:c>
      <x:c r="C154" s="2">
        <x:v>11932</x:v>
      </x:c>
      <x:c r="D154" s="2" t="s">
        <x:v>22</x:v>
      </x:c>
      <x:c r="E154" s="2">
        <x:v>47</x:v>
      </x:c>
      <x:c r="F154" s="2">
        <x:v>202</x:v>
      </x:c>
      <x:c r="G154" s="3">
        <x:v>5691.0353520252002</x:v>
      </x:c>
      <x:c r="H154" s="3">
        <x:v>1149589.1411090905</x:v>
      </x:c>
    </x:row>
    <x:row r="155">
      <x:c r="A155" s="2" t="s">
        <x:v>28</x:v>
      </x:c>
      <x:c r="B155" s="2">
        <x:v>10819</x:v>
      </x:c>
      <x:c r="C155" s="2">
        <x:v>11933</x:v>
      </x:c>
      <x:c r="D155" s="2" t="s">
        <x:v>22</x:v>
      </x:c>
      <x:c r="E155" s="2">
        <x:v>40</x:v>
      </x:c>
      <x:c r="F155" s="2">
        <x:v>240</x:v>
      </x:c>
      <x:c r="G155" s="3">
        <x:v>5691.0353520252002</x:v>
      </x:c>
      <x:c r="H155" s="3">
        <x:v>1365848.4844860481</x:v>
      </x:c>
    </x:row>
    <x:row r="156">
      <x:c r="A156" s="2" t="s">
        <x:v>28</x:v>
      </x:c>
      <x:c r="B156" s="2">
        <x:v>10820</x:v>
      </x:c>
      <x:c r="C156" s="2">
        <x:v>11934</x:v>
      </x:c>
      <x:c r="D156" s="2" t="s">
        <x:v>22</x:v>
      </x:c>
      <x:c r="E156" s="2">
        <x:v>40</x:v>
      </x:c>
      <x:c r="F156" s="2">
        <x:v>240</x:v>
      </x:c>
      <x:c r="G156" s="3">
        <x:v>5691.0353520252002</x:v>
      </x:c>
      <x:c r="H156" s="3">
        <x:v>1365848.4844860481</x:v>
      </x:c>
    </x:row>
    <x:row r="157">
      <x:c r="A157" s="2" t="s">
        <x:v>28</x:v>
      </x:c>
      <x:c r="B157" s="2">
        <x:v>10821</x:v>
      </x:c>
      <x:c r="C157" s="2">
        <x:v>11935</x:v>
      </x:c>
      <x:c r="D157" s="2" t="s">
        <x:v>30</x:v>
      </x:c>
      <x:c r="E157" s="2">
        <x:v>35</x:v>
      </x:c>
      <x:c r="F157" s="2">
        <x:v>240</x:v>
      </x:c>
      <x:c r="G157" s="3">
        <x:v>5691.0353520252002</x:v>
      </x:c>
      <x:c r="H157" s="3">
        <x:v>1365848.4844860481</x:v>
      </x:c>
    </x:row>
    <x:row r="158">
      <x:c r="A158" s="2" t="s">
        <x:v>28</x:v>
      </x:c>
      <x:c r="B158" s="2">
        <x:v>10887</x:v>
      </x:c>
      <x:c r="C158" s="2">
        <x:v>11936</x:v>
      </x:c>
      <x:c r="D158" s="2" t="s">
        <x:v>20</x:v>
      </x:c>
      <x:c r="E158" s="2">
        <x:v>49</x:v>
      </x:c>
      <x:c r="F158" s="2">
        <x:v>240</x:v>
      </x:c>
      <x:c r="G158" s="3">
        <x:v>5691.0353520252002</x:v>
      </x:c>
      <x:c r="H158" s="3">
        <x:v>1365848.4844860481</x:v>
      </x:c>
    </x:row>
    <x:row r="159">
      <x:c r="A159" s="2" t="s">
        <x:v>28</x:v>
      </x:c>
      <x:c r="B159" s="2">
        <x:v>10888</x:v>
      </x:c>
      <x:c r="C159" s="2">
        <x:v>11937</x:v>
      </x:c>
      <x:c r="D159" s="2" t="s">
        <x:v>20</x:v>
      </x:c>
      <x:c r="E159" s="2">
        <x:v>47</x:v>
      </x:c>
      <x:c r="F159" s="2">
        <x:v>240</x:v>
      </x:c>
      <x:c r="G159" s="3">
        <x:v>5691.0353520252002</x:v>
      </x:c>
      <x:c r="H159" s="3">
        <x:v>1365848.4844860481</x:v>
      </x:c>
    </x:row>
    <x:row r="160">
      <x:c r="A160" s="2" t="s">
        <x:v>28</x:v>
      </x:c>
      <x:c r="B160" s="2">
        <x:v>10889</x:v>
      </x:c>
      <x:c r="C160" s="2">
        <x:v>11938</x:v>
      </x:c>
      <x:c r="D160" s="2" t="s">
        <x:v>20</x:v>
      </x:c>
      <x:c r="E160" s="2">
        <x:v>48</x:v>
      </x:c>
      <x:c r="F160" s="2">
        <x:v>240</x:v>
      </x:c>
      <x:c r="G160" s="3">
        <x:v>5691.0353520252002</x:v>
      </x:c>
      <x:c r="H160" s="3">
        <x:v>1365848.4844860481</x:v>
      </x:c>
    </x:row>
    <x:row r="161">
      <x:c r="A161" s="2" t="s">
        <x:v>28</x:v>
      </x:c>
      <x:c r="B161" s="2">
        <x:v>10890</x:v>
      </x:c>
      <x:c r="C161" s="2">
        <x:v>11939</x:v>
      </x:c>
      <x:c r="D161" s="2" t="s">
        <x:v>20</x:v>
      </x:c>
      <x:c r="E161" s="2">
        <x:v>47</x:v>
      </x:c>
      <x:c r="F161" s="2">
        <x:v>240</x:v>
      </x:c>
      <x:c r="G161" s="3">
        <x:v>5691.0353520252002</x:v>
      </x:c>
      <x:c r="H161" s="3">
        <x:v>1365848.4844860481</x:v>
      </x:c>
    </x:row>
    <x:row r="162">
      <x:c r="A162" s="2" t="s">
        <x:v>28</x:v>
      </x:c>
      <x:c r="B162" s="2">
        <x:v>10891</x:v>
      </x:c>
      <x:c r="C162" s="2">
        <x:v>11940</x:v>
      </x:c>
      <x:c r="D162" s="2" t="s">
        <x:v>20</x:v>
      </x:c>
      <x:c r="E162" s="2">
        <x:v>48</x:v>
      </x:c>
      <x:c r="F162" s="2">
        <x:v>240</x:v>
      </x:c>
      <x:c r="G162" s="3">
        <x:v>5691.0353520252002</x:v>
      </x:c>
      <x:c r="H162" s="3">
        <x:v>1365848.4844860481</x:v>
      </x:c>
    </x:row>
    <x:row r="163">
      <x:c r="A163" s="2" t="s">
        <x:v>28</x:v>
      </x:c>
      <x:c r="B163" s="2">
        <x:v>10892</x:v>
      </x:c>
      <x:c r="C163" s="2">
        <x:v>11941</x:v>
      </x:c>
      <x:c r="D163" s="2" t="s">
        <x:v>20</x:v>
      </x:c>
      <x:c r="E163" s="2">
        <x:v>48</x:v>
      </x:c>
      <x:c r="F163" s="2">
        <x:v>240</x:v>
      </x:c>
      <x:c r="G163" s="3">
        <x:v>5691.0353520252002</x:v>
      </x:c>
      <x:c r="H163" s="3">
        <x:v>1365848.4844860481</x:v>
      </x:c>
    </x:row>
    <x:row r="164">
      <x:c r="A164" s="2" t="s">
        <x:v>28</x:v>
      </x:c>
      <x:c r="B164" s="2">
        <x:v>10893</x:v>
      </x:c>
      <x:c r="C164" s="2">
        <x:v>11942</x:v>
      </x:c>
      <x:c r="D164" s="2" t="s">
        <x:v>20</x:v>
      </x:c>
      <x:c r="E164" s="2">
        <x:v>49</x:v>
      </x:c>
      <x:c r="F164" s="2">
        <x:v>240</x:v>
      </x:c>
      <x:c r="G164" s="3">
        <x:v>5691.0353520252002</x:v>
      </x:c>
      <x:c r="H164" s="3">
        <x:v>1365848.4844860481</x:v>
      </x:c>
    </x:row>
    <x:row r="165">
      <x:c r="A165" s="2" t="s">
        <x:v>28</x:v>
      </x:c>
      <x:c r="B165" s="2">
        <x:v>10894</x:v>
      </x:c>
      <x:c r="C165" s="2">
        <x:v>11943</x:v>
      </x:c>
      <x:c r="D165" s="2" t="s">
        <x:v>20</x:v>
      </x:c>
      <x:c r="E165" s="2">
        <x:v>48</x:v>
      </x:c>
      <x:c r="F165" s="2">
        <x:v>240</x:v>
      </x:c>
      <x:c r="G165" s="3">
        <x:v>5691.0353520252002</x:v>
      </x:c>
      <x:c r="H165" s="3">
        <x:v>1365848.4844860481</x:v>
      </x:c>
    </x:row>
    <x:row r="166">
      <x:c r="A166" s="2" t="s">
        <x:v>28</x:v>
      </x:c>
      <x:c r="B166" s="2">
        <x:v>10895</x:v>
      </x:c>
      <x:c r="C166" s="2">
        <x:v>11944</x:v>
      </x:c>
      <x:c r="D166" s="2" t="s">
        <x:v>20</x:v>
      </x:c>
      <x:c r="E166" s="2">
        <x:v>48</x:v>
      </x:c>
      <x:c r="F166" s="2">
        <x:v>240</x:v>
      </x:c>
      <x:c r="G166" s="3">
        <x:v>5691.0353520252002</x:v>
      </x:c>
      <x:c r="H166" s="3">
        <x:v>1365848.4844860481</x:v>
      </x:c>
    </x:row>
    <x:row r="167">
      <x:c r="A167" s="2" t="s">
        <x:v>28</x:v>
      </x:c>
      <x:c r="B167" s="2">
        <x:v>10897</x:v>
      </x:c>
      <x:c r="C167" s="2">
        <x:v>11945</x:v>
      </x:c>
      <x:c r="D167" s="2" t="s">
        <x:v>20</x:v>
      </x:c>
      <x:c r="E167" s="2">
        <x:v>49</x:v>
      </x:c>
      <x:c r="F167" s="2">
        <x:v>240</x:v>
      </x:c>
      <x:c r="G167" s="3">
        <x:v>5691.0353520252002</x:v>
      </x:c>
      <x:c r="H167" s="3">
        <x:v>1365848.4844860481</x:v>
      </x:c>
    </x:row>
    <x:row r="168">
      <x:c r="A168" s="2" t="s">
        <x:v>28</x:v>
      </x:c>
      <x:c r="B168" s="2">
        <x:v>10898</x:v>
      </x:c>
      <x:c r="C168" s="2">
        <x:v>11946</x:v>
      </x:c>
      <x:c r="D168" s="2" t="s">
        <x:v>20</x:v>
      </x:c>
      <x:c r="E168" s="2">
        <x:v>48</x:v>
      </x:c>
      <x:c r="F168" s="2">
        <x:v>240</x:v>
      </x:c>
      <x:c r="G168" s="3">
        <x:v>5691.0353520252002</x:v>
      </x:c>
      <x:c r="H168" s="3">
        <x:v>1365848.4844860481</x:v>
      </x:c>
    </x:row>
    <x:row r="169">
      <x:c r="A169" s="2" t="s">
        <x:v>28</x:v>
      </x:c>
      <x:c r="B169" s="2">
        <x:v>10899</x:v>
      </x:c>
      <x:c r="C169" s="2">
        <x:v>11947</x:v>
      </x:c>
      <x:c r="D169" s="2" t="s">
        <x:v>20</x:v>
      </x:c>
      <x:c r="E169" s="2">
        <x:v>51</x:v>
      </x:c>
      <x:c r="F169" s="2">
        <x:v>240</x:v>
      </x:c>
      <x:c r="G169" s="3">
        <x:v>5691.0353520252002</x:v>
      </x:c>
      <x:c r="H169" s="3">
        <x:v>1365848.4844860481</x:v>
      </x:c>
    </x:row>
    <x:row r="170">
      <x:c r="A170" s="2" t="s">
        <x:v>28</x:v>
      </x:c>
      <x:c r="B170" s="2">
        <x:v>10900</x:v>
      </x:c>
      <x:c r="C170" s="2">
        <x:v>11948</x:v>
      </x:c>
      <x:c r="D170" s="2" t="s">
        <x:v>20</x:v>
      </x:c>
      <x:c r="E170" s="2">
        <x:v>53</x:v>
      </x:c>
      <x:c r="F170" s="2">
        <x:v>240</x:v>
      </x:c>
      <x:c r="G170" s="3">
        <x:v>5691.0353520252002</x:v>
      </x:c>
      <x:c r="H170" s="3">
        <x:v>1365848.4844860481</x:v>
      </x:c>
    </x:row>
    <x:row r="171">
      <x:c r="A171" s="2" t="s">
        <x:v>28</x:v>
      </x:c>
      <x:c r="B171" s="2">
        <x:v>10902</x:v>
      </x:c>
      <x:c r="C171" s="2">
        <x:v>11949</x:v>
      </x:c>
      <x:c r="D171" s="2" t="s">
        <x:v>20</x:v>
      </x:c>
      <x:c r="E171" s="2">
        <x:v>45</x:v>
      </x:c>
      <x:c r="F171" s="2">
        <x:v>240</x:v>
      </x:c>
      <x:c r="G171" s="3">
        <x:v>5691.0353520252002</x:v>
      </x:c>
      <x:c r="H171" s="3">
        <x:v>1365848.4844860481</x:v>
      </x:c>
    </x:row>
    <x:row r="172">
      <x:c r="A172" s="2" t="s">
        <x:v>28</x:v>
      </x:c>
      <x:c r="B172" s="2">
        <x:v>10903</x:v>
      </x:c>
      <x:c r="C172" s="2">
        <x:v>11950</x:v>
      </x:c>
      <x:c r="D172" s="2" t="s">
        <x:v>20</x:v>
      </x:c>
      <x:c r="E172" s="2">
        <x:v>49</x:v>
      </x:c>
      <x:c r="F172" s="2">
        <x:v>240</x:v>
      </x:c>
      <x:c r="G172" s="3">
        <x:v>5691.0353520252002</x:v>
      </x:c>
      <x:c r="H172" s="3">
        <x:v>1365848.4844860481</x:v>
      </x:c>
    </x:row>
    <x:row r="173">
      <x:c r="A173" s="2" t="s">
        <x:v>28</x:v>
      </x:c>
      <x:c r="B173" s="2">
        <x:v>10904</x:v>
      </x:c>
      <x:c r="C173" s="2">
        <x:v>11951</x:v>
      </x:c>
      <x:c r="D173" s="2" t="s">
        <x:v>20</x:v>
      </x:c>
      <x:c r="E173" s="2">
        <x:v>48</x:v>
      </x:c>
      <x:c r="F173" s="2">
        <x:v>240</x:v>
      </x:c>
      <x:c r="G173" s="3">
        <x:v>5691.0353520252002</x:v>
      </x:c>
      <x:c r="H173" s="3">
        <x:v>1365848.4844860481</x:v>
      </x:c>
    </x:row>
    <x:row r="174">
      <x:c r="A174" s="2" t="s">
        <x:v>28</x:v>
      </x:c>
      <x:c r="B174" s="2">
        <x:v>10905</x:v>
      </x:c>
      <x:c r="C174" s="2">
        <x:v>11952</x:v>
      </x:c>
      <x:c r="D174" s="2" t="s">
        <x:v>20</x:v>
      </x:c>
      <x:c r="E174" s="2">
        <x:v>48</x:v>
      </x:c>
      <x:c r="F174" s="2">
        <x:v>240</x:v>
      </x:c>
      <x:c r="G174" s="3">
        <x:v>5691.0353520252002</x:v>
      </x:c>
      <x:c r="H174" s="3">
        <x:v>1365848.4844860481</x:v>
      </x:c>
    </x:row>
    <x:row r="175">
      <x:c r="A175" s="2" t="s">
        <x:v>28</x:v>
      </x:c>
      <x:c r="B175" s="2">
        <x:v>10906</x:v>
      </x:c>
      <x:c r="C175" s="2">
        <x:v>11953</x:v>
      </x:c>
      <x:c r="D175" s="2" t="s">
        <x:v>20</x:v>
      </x:c>
      <x:c r="E175" s="2">
        <x:v>51</x:v>
      </x:c>
      <x:c r="F175" s="2">
        <x:v>240</x:v>
      </x:c>
      <x:c r="G175" s="3">
        <x:v>5691.0353520252002</x:v>
      </x:c>
      <x:c r="H175" s="3">
        <x:v>1365848.4844860481</x:v>
      </x:c>
    </x:row>
    <x:row r="176">
      <x:c r="A176" s="2" t="s">
        <x:v>28</x:v>
      </x:c>
      <x:c r="B176" s="2">
        <x:v>10907</x:v>
      </x:c>
      <x:c r="C176" s="2">
        <x:v>11954</x:v>
      </x:c>
      <x:c r="D176" s="2" t="s">
        <x:v>20</x:v>
      </x:c>
      <x:c r="E176" s="2">
        <x:v>51</x:v>
      </x:c>
      <x:c r="F176" s="2">
        <x:v>240</x:v>
      </x:c>
      <x:c r="G176" s="3">
        <x:v>5691.0353520252002</x:v>
      </x:c>
      <x:c r="H176" s="3">
        <x:v>1365848.4844860481</x:v>
      </x:c>
    </x:row>
    <x:row r="177">
      <x:c r="A177" s="2" t="s">
        <x:v>28</x:v>
      </x:c>
      <x:c r="B177" s="2">
        <x:v>10908</x:v>
      </x:c>
      <x:c r="C177" s="2">
        <x:v>11955</x:v>
      </x:c>
      <x:c r="D177" s="2" t="s">
        <x:v>20</x:v>
      </x:c>
      <x:c r="E177" s="2">
        <x:v>49</x:v>
      </x:c>
      <x:c r="F177" s="2">
        <x:v>240</x:v>
      </x:c>
      <x:c r="G177" s="3">
        <x:v>5691.0353520252002</x:v>
      </x:c>
      <x:c r="H177" s="3">
        <x:v>1365848.4844860481</x:v>
      </x:c>
    </x:row>
    <x:row r="178">
      <x:c r="A178" s="2" t="s">
        <x:v>28</x:v>
      </x:c>
      <x:c r="B178" s="2">
        <x:v>10909</x:v>
      </x:c>
      <x:c r="C178" s="2">
        <x:v>11956</x:v>
      </x:c>
      <x:c r="D178" s="2" t="s">
        <x:v>20</x:v>
      </x:c>
      <x:c r="E178" s="2">
        <x:v>53</x:v>
      </x:c>
      <x:c r="F178" s="2">
        <x:v>240</x:v>
      </x:c>
      <x:c r="G178" s="3">
        <x:v>5691.0353520252002</x:v>
      </x:c>
      <x:c r="H178" s="3">
        <x:v>1365848.4844860481</x:v>
      </x:c>
    </x:row>
    <x:row r="179">
      <x:c r="A179" s="2" t="s">
        <x:v>28</x:v>
      </x:c>
      <x:c r="B179" s="2">
        <x:v>10910</x:v>
      </x:c>
      <x:c r="C179" s="2">
        <x:v>11957</x:v>
      </x:c>
      <x:c r="D179" s="2" t="s">
        <x:v>20</x:v>
      </x:c>
      <x:c r="E179" s="2">
        <x:v>53</x:v>
      </x:c>
      <x:c r="F179" s="2">
        <x:v>240</x:v>
      </x:c>
      <x:c r="G179" s="3">
        <x:v>5691.0353520252002</x:v>
      </x:c>
      <x:c r="H179" s="3">
        <x:v>1365848.4844860481</x:v>
      </x:c>
    </x:row>
    <x:row r="180">
      <x:c r="A180" s="2" t="s">
        <x:v>28</x:v>
      </x:c>
      <x:c r="B180" s="2">
        <x:v>10911</x:v>
      </x:c>
      <x:c r="C180" s="2">
        <x:v>11958</x:v>
      </x:c>
      <x:c r="D180" s="2" t="s">
        <x:v>20</x:v>
      </x:c>
      <x:c r="E180" s="2">
        <x:v>50</x:v>
      </x:c>
      <x:c r="F180" s="2">
        <x:v>240</x:v>
      </x:c>
      <x:c r="G180" s="3">
        <x:v>5691.0353520252002</x:v>
      </x:c>
      <x:c r="H180" s="3">
        <x:v>1365848.4844860481</x:v>
      </x:c>
    </x:row>
    <x:row r="181">
      <x:c r="A181" s="2" t="s">
        <x:v>28</x:v>
      </x:c>
      <x:c r="B181" s="2">
        <x:v>10912</x:v>
      </x:c>
      <x:c r="C181" s="2">
        <x:v>11959</x:v>
      </x:c>
      <x:c r="D181" s="2" t="s">
        <x:v>20</x:v>
      </x:c>
      <x:c r="E181" s="2">
        <x:v>53</x:v>
      </x:c>
      <x:c r="F181" s="2">
        <x:v>240</x:v>
      </x:c>
      <x:c r="G181" s="3">
        <x:v>5691.0353520252002</x:v>
      </x:c>
      <x:c r="H181" s="3">
        <x:v>1365848.4844860481</x:v>
      </x:c>
    </x:row>
    <x:row r="182">
      <x:c r="A182" s="2" t="s">
        <x:v>28</x:v>
      </x:c>
      <x:c r="B182" s="2">
        <x:v>10913</x:v>
      </x:c>
      <x:c r="C182" s="2">
        <x:v>11960</x:v>
      </x:c>
      <x:c r="D182" s="2" t="s">
        <x:v>20</x:v>
      </x:c>
      <x:c r="E182" s="2">
        <x:v>50</x:v>
      </x:c>
      <x:c r="F182" s="2">
        <x:v>240</x:v>
      </x:c>
      <x:c r="G182" s="3">
        <x:v>5691.0353520252002</x:v>
      </x:c>
      <x:c r="H182" s="3">
        <x:v>1365848.4844860481</x:v>
      </x:c>
    </x:row>
    <x:row r="183">
      <x:c r="A183" s="2" t="s">
        <x:v>28</x:v>
      </x:c>
      <x:c r="B183" s="2">
        <x:v>10914</x:v>
      </x:c>
      <x:c r="C183" s="2">
        <x:v>11961</x:v>
      </x:c>
      <x:c r="D183" s="2" t="s">
        <x:v>20</x:v>
      </x:c>
      <x:c r="E183" s="2">
        <x:v>50</x:v>
      </x:c>
      <x:c r="F183" s="2">
        <x:v>240</x:v>
      </x:c>
      <x:c r="G183" s="3">
        <x:v>5691.0353520252002</x:v>
      </x:c>
      <x:c r="H183" s="3">
        <x:v>1365848.4844860481</x:v>
      </x:c>
    </x:row>
    <x:row r="184">
      <x:c r="A184" s="2" t="s">
        <x:v>28</x:v>
      </x:c>
      <x:c r="B184" s="2">
        <x:v>10915</x:v>
      </x:c>
      <x:c r="C184" s="2">
        <x:v>11962</x:v>
      </x:c>
      <x:c r="D184" s="2" t="s">
        <x:v>20</x:v>
      </x:c>
      <x:c r="E184" s="2">
        <x:v>50</x:v>
      </x:c>
      <x:c r="F184" s="2">
        <x:v>240</x:v>
      </x:c>
      <x:c r="G184" s="3">
        <x:v>5691.0353520252002</x:v>
      </x:c>
      <x:c r="H184" s="3">
        <x:v>1365848.4844860481</x:v>
      </x:c>
    </x:row>
    <x:row r="185">
      <x:c r="A185" s="2" t="s">
        <x:v>28</x:v>
      </x:c>
      <x:c r="B185" s="2">
        <x:v>10916</x:v>
      </x:c>
      <x:c r="C185" s="2">
        <x:v>11963</x:v>
      </x:c>
      <x:c r="D185" s="2" t="s">
        <x:v>20</x:v>
      </x:c>
      <x:c r="E185" s="2">
        <x:v>51</x:v>
      </x:c>
      <x:c r="F185" s="2">
        <x:v>240</x:v>
      </x:c>
      <x:c r="G185" s="3">
        <x:v>5691.0353520252002</x:v>
      </x:c>
      <x:c r="H185" s="3">
        <x:v>1365848.4844860481</x:v>
      </x:c>
    </x:row>
    <x:row r="186">
      <x:c r="A186" s="2" t="s">
        <x:v>28</x:v>
      </x:c>
      <x:c r="B186" s="2">
        <x:v>10917</x:v>
      </x:c>
      <x:c r="C186" s="2">
        <x:v>11964</x:v>
      </x:c>
      <x:c r="D186" s="2" t="s">
        <x:v>20</x:v>
      </x:c>
      <x:c r="E186" s="2">
        <x:v>50</x:v>
      </x:c>
      <x:c r="F186" s="2">
        <x:v>240</x:v>
      </x:c>
      <x:c r="G186" s="3">
        <x:v>5691.0353520252002</x:v>
      </x:c>
      <x:c r="H186" s="3">
        <x:v>1365848.4844860481</x:v>
      </x:c>
    </x:row>
    <x:row r="187">
      <x:c r="A187" s="2" t="s">
        <x:v>28</x:v>
      </x:c>
      <x:c r="B187" s="2">
        <x:v>10918</x:v>
      </x:c>
      <x:c r="C187" s="2">
        <x:v>11965</x:v>
      </x:c>
      <x:c r="D187" s="2" t="s">
        <x:v>20</x:v>
      </x:c>
      <x:c r="E187" s="2">
        <x:v>50</x:v>
      </x:c>
      <x:c r="F187" s="2">
        <x:v>240</x:v>
      </x:c>
      <x:c r="G187" s="3">
        <x:v>5691.0353520252002</x:v>
      </x:c>
      <x:c r="H187" s="3">
        <x:v>1365848.4844860481</x:v>
      </x:c>
    </x:row>
    <x:row r="188">
      <x:c r="A188" s="2" t="s">
        <x:v>28</x:v>
      </x:c>
      <x:c r="B188" s="2">
        <x:v>10919</x:v>
      </x:c>
      <x:c r="C188" s="2">
        <x:v>11966</x:v>
      </x:c>
      <x:c r="D188" s="2" t="s">
        <x:v>20</x:v>
      </x:c>
      <x:c r="E188" s="2">
        <x:v>50</x:v>
      </x:c>
      <x:c r="F188" s="2">
        <x:v>240</x:v>
      </x:c>
      <x:c r="G188" s="3">
        <x:v>5691.0353520252002</x:v>
      </x:c>
      <x:c r="H188" s="3">
        <x:v>1365848.4844860481</x:v>
      </x:c>
    </x:row>
    <x:row r="189">
      <x:c r="A189" s="2" t="s">
        <x:v>28</x:v>
      </x:c>
      <x:c r="B189" s="2">
        <x:v>10920</x:v>
      </x:c>
      <x:c r="C189" s="2">
        <x:v>11967</x:v>
      </x:c>
      <x:c r="D189" s="2" t="s">
        <x:v>20</x:v>
      </x:c>
      <x:c r="E189" s="2">
        <x:v>50</x:v>
      </x:c>
      <x:c r="F189" s="2">
        <x:v>240</x:v>
      </x:c>
      <x:c r="G189" s="3">
        <x:v>5691.0353520252002</x:v>
      </x:c>
      <x:c r="H189" s="3">
        <x:v>1365848.4844860481</x:v>
      </x:c>
    </x:row>
    <x:row r="190">
      <x:c r="A190" s="2" t="s">
        <x:v>28</x:v>
      </x:c>
      <x:c r="B190" s="2">
        <x:v>10921</x:v>
      </x:c>
      <x:c r="C190" s="2">
        <x:v>11968</x:v>
      </x:c>
      <x:c r="D190" s="2" t="s">
        <x:v>20</x:v>
      </x:c>
      <x:c r="E190" s="2">
        <x:v>50</x:v>
      </x:c>
      <x:c r="F190" s="2">
        <x:v>240</x:v>
      </x:c>
      <x:c r="G190" s="3">
        <x:v>5691.0353520252002</x:v>
      </x:c>
      <x:c r="H190" s="3">
        <x:v>1365848.4844860481</x:v>
      </x:c>
    </x:row>
    <x:row r="191">
      <x:c r="A191" s="2" t="s">
        <x:v>28</x:v>
      </x:c>
      <x:c r="B191" s="2">
        <x:v>10925</x:v>
      </x:c>
      <x:c r="C191" s="2">
        <x:v>11969</x:v>
      </x:c>
      <x:c r="D191" s="2" t="s">
        <x:v>26</x:v>
      </x:c>
      <x:c r="E191" s="2">
        <x:v>0</x:v>
      </x:c>
      <x:c r="F191" s="2">
        <x:v>387</x:v>
      </x:c>
      <x:c r="G191" s="3">
        <x:v>5691.0353520252002</x:v>
      </x:c>
      <x:c r="H191" s="3">
        <x:v>2202430.6812337525</x:v>
      </x:c>
    </x:row>
    <x:row r="192">
      <x:c r="A192" s="2" t="s">
        <x:v>28</x:v>
      </x:c>
      <x:c r="B192" s="2">
        <x:v>10926</x:v>
      </x:c>
      <x:c r="C192" s="2">
        <x:v>11970</x:v>
      </x:c>
      <x:c r="D192" s="2" t="s">
        <x:v>26</x:v>
      </x:c>
      <x:c r="E192" s="2">
        <x:v>0</x:v>
      </x:c>
      <x:c r="F192" s="2">
        <x:v>240</x:v>
      </x:c>
      <x:c r="G192" s="3">
        <x:v>5691.0353520252002</x:v>
      </x:c>
      <x:c r="H192" s="3">
        <x:v>1365848.4844860481</x:v>
      </x:c>
    </x:row>
    <x:row r="193">
      <x:c r="A193" s="2" t="s">
        <x:v>28</x:v>
      </x:c>
      <x:c r="B193" s="2">
        <x:v>11063</x:v>
      </x:c>
      <x:c r="C193" s="2">
        <x:v>11971</x:v>
      </x:c>
      <x:c r="D193" s="2" t="s">
        <x:v>23</x:v>
      </x:c>
      <x:c r="E193" s="2">
        <x:v>23</x:v>
      </x:c>
      <x:c r="F193" s="2">
        <x:v>150</x:v>
      </x:c>
      <x:c r="G193" s="3">
        <x:v>6274.3294100822004</x:v>
      </x:c>
      <x:c r="H193" s="3">
        <x:v>941149.41151233006</x:v>
      </x:c>
    </x:row>
    <x:row r="194">
      <x:c r="A194" s="2" t="s">
        <x:v>28</x:v>
      </x:c>
      <x:c r="B194" s="2">
        <x:v>11064</x:v>
      </x:c>
      <x:c r="C194" s="2">
        <x:v>11972</x:v>
      </x:c>
      <x:c r="D194" s="2" t="s">
        <x:v>23</x:v>
      </x:c>
      <x:c r="E194" s="2">
        <x:v>23</x:v>
      </x:c>
      <x:c r="F194" s="2">
        <x:v>150</x:v>
      </x:c>
      <x:c r="G194" s="3">
        <x:v>6274.3294100822004</x:v>
      </x:c>
      <x:c r="H194" s="3">
        <x:v>941149.41151233006</x:v>
      </x:c>
    </x:row>
    <x:row r="195">
      <x:c r="A195" s="2" t="s">
        <x:v>28</x:v>
      </x:c>
      <x:c r="B195" s="2">
        <x:v>11065</x:v>
      </x:c>
      <x:c r="C195" s="2">
        <x:v>11973</x:v>
      </x:c>
      <x:c r="D195" s="2" t="s">
        <x:v>23</x:v>
      </x:c>
      <x:c r="E195" s="2">
        <x:v>24</x:v>
      </x:c>
      <x:c r="F195" s="2">
        <x:v>150</x:v>
      </x:c>
      <x:c r="G195" s="3">
        <x:v>6274.3294100822004</x:v>
      </x:c>
      <x:c r="H195" s="3">
        <x:v>941149.41151233006</x:v>
      </x:c>
    </x:row>
    <x:row r="196">
      <x:c r="A196" s="2" t="s">
        <x:v>28</x:v>
      </x:c>
      <x:c r="B196" s="2">
        <x:v>11066</x:v>
      </x:c>
      <x:c r="C196" s="2">
        <x:v>11974</x:v>
      </x:c>
      <x:c r="D196" s="2" t="s">
        <x:v>23</x:v>
      </x:c>
      <x:c r="E196" s="2">
        <x:v>26</x:v>
      </x:c>
      <x:c r="F196" s="2">
        <x:v>150</x:v>
      </x:c>
      <x:c r="G196" s="3">
        <x:v>6274.3294100822004</x:v>
      </x:c>
      <x:c r="H196" s="3">
        <x:v>941149.41151233006</x:v>
      </x:c>
    </x:row>
    <x:row r="197">
      <x:c r="A197" s="2" t="s">
        <x:v>28</x:v>
      </x:c>
      <x:c r="B197" s="2">
        <x:v>11067</x:v>
      </x:c>
      <x:c r="C197" s="2">
        <x:v>11975</x:v>
      </x:c>
      <x:c r="D197" s="2" t="s">
        <x:v>23</x:v>
      </x:c>
      <x:c r="E197" s="2">
        <x:v>22</x:v>
      </x:c>
      <x:c r="F197" s="2">
        <x:v>150</x:v>
      </x:c>
      <x:c r="G197" s="3">
        <x:v>6274.3294100822004</x:v>
      </x:c>
      <x:c r="H197" s="3">
        <x:v>941149.41151233006</x:v>
      </x:c>
    </x:row>
    <x:row r="198">
      <x:c r="A198" s="2" t="s">
        <x:v>28</x:v>
      </x:c>
      <x:c r="B198" s="2">
        <x:v>11068</x:v>
      </x:c>
      <x:c r="C198" s="2">
        <x:v>11976</x:v>
      </x:c>
      <x:c r="D198" s="2" t="s">
        <x:v>23</x:v>
      </x:c>
      <x:c r="E198" s="2">
        <x:v>21</x:v>
      </x:c>
      <x:c r="F198" s="2">
        <x:v>138</x:v>
      </x:c>
      <x:c r="G198" s="3">
        <x:v>6274.3294100822004</x:v>
      </x:c>
      <x:c r="H198" s="3">
        <x:v>865857.4585913436</x:v>
      </x:c>
    </x:row>
    <x:row r="199">
      <x:c r="A199" s="2" t="s">
        <x:v>28</x:v>
      </x:c>
      <x:c r="B199" s="2">
        <x:v>11069</x:v>
      </x:c>
      <x:c r="C199" s="2">
        <x:v>11977</x:v>
      </x:c>
      <x:c r="D199" s="2" t="s">
        <x:v>25</x:v>
      </x:c>
      <x:c r="E199" s="2">
        <x:v>46</x:v>
      </x:c>
      <x:c r="F199" s="2">
        <x:v>240</x:v>
      </x:c>
      <x:c r="G199" s="3">
        <x:v>6274.3294100822004</x:v>
      </x:c>
      <x:c r="H199" s="3">
        <x:v>1505839.0584197282</x:v>
      </x:c>
    </x:row>
    <x:row r="200">
      <x:c r="A200" s="2" t="s">
        <x:v>28</x:v>
      </x:c>
      <x:c r="B200" s="2">
        <x:v>11070</x:v>
      </x:c>
      <x:c r="C200" s="2">
        <x:v>11978</x:v>
      </x:c>
      <x:c r="D200" s="2" t="s">
        <x:v>25</x:v>
      </x:c>
      <x:c r="E200" s="2">
        <x:v>45</x:v>
      </x:c>
      <x:c r="F200" s="2">
        <x:v>240</x:v>
      </x:c>
      <x:c r="G200" s="3">
        <x:v>6274.3294100822004</x:v>
      </x:c>
      <x:c r="H200" s="3">
        <x:v>1505839.0584197282</x:v>
      </x:c>
    </x:row>
    <x:row r="201">
      <x:c r="A201" s="2" t="s">
        <x:v>28</x:v>
      </x:c>
      <x:c r="B201" s="2">
        <x:v>11071</x:v>
      </x:c>
      <x:c r="C201" s="2">
        <x:v>11979</x:v>
      </x:c>
      <x:c r="D201" s="2" t="s">
        <x:v>25</x:v>
      </x:c>
      <x:c r="E201" s="2">
        <x:v>46</x:v>
      </x:c>
      <x:c r="F201" s="2">
        <x:v>240</x:v>
      </x:c>
      <x:c r="G201" s="3">
        <x:v>6274.3294100822004</x:v>
      </x:c>
      <x:c r="H201" s="3">
        <x:v>1505839.0584197282</x:v>
      </x:c>
    </x:row>
    <x:row r="202">
      <x:c r="A202" s="2" t="s">
        <x:v>28</x:v>
      </x:c>
      <x:c r="B202" s="2">
        <x:v>11072</x:v>
      </x:c>
      <x:c r="C202" s="2">
        <x:v>11980</x:v>
      </x:c>
      <x:c r="D202" s="2" t="s">
        <x:v>25</x:v>
      </x:c>
      <x:c r="E202" s="2">
        <x:v>46</x:v>
      </x:c>
      <x:c r="F202" s="2">
        <x:v>240</x:v>
      </x:c>
      <x:c r="G202" s="3">
        <x:v>6274.3294100822004</x:v>
      </x:c>
      <x:c r="H202" s="3">
        <x:v>1505839.0584197282</x:v>
      </x:c>
    </x:row>
    <x:row r="203">
      <x:c r="A203" s="2" t="s">
        <x:v>28</x:v>
      </x:c>
      <x:c r="B203" s="2">
        <x:v>11073</x:v>
      </x:c>
      <x:c r="C203" s="2">
        <x:v>11981</x:v>
      </x:c>
      <x:c r="D203" s="2" t="s">
        <x:v>25</x:v>
      </x:c>
      <x:c r="E203" s="2">
        <x:v>43</x:v>
      </x:c>
      <x:c r="F203" s="2">
        <x:v>240</x:v>
      </x:c>
      <x:c r="G203" s="3">
        <x:v>6274.3294100822004</x:v>
      </x:c>
      <x:c r="H203" s="3">
        <x:v>1505839.0584197282</x:v>
      </x:c>
    </x:row>
    <x:row r="204">
      <x:c r="A204" s="2" t="s">
        <x:v>28</x:v>
      </x:c>
      <x:c r="B204" s="2">
        <x:v>11074</x:v>
      </x:c>
      <x:c r="C204" s="2">
        <x:v>11982</x:v>
      </x:c>
      <x:c r="D204" s="2" t="s">
        <x:v>25</x:v>
      </x:c>
      <x:c r="E204" s="2">
        <x:v>45</x:v>
      </x:c>
      <x:c r="F204" s="2">
        <x:v>240</x:v>
      </x:c>
      <x:c r="G204" s="3">
        <x:v>6274.3294100822004</x:v>
      </x:c>
      <x:c r="H204" s="3">
        <x:v>1505839.0584197282</x:v>
      </x:c>
    </x:row>
    <x:row r="205">
      <x:c r="A205" s="2" t="s">
        <x:v>28</x:v>
      </x:c>
      <x:c r="B205" s="2">
        <x:v>11075</x:v>
      </x:c>
      <x:c r="C205" s="2">
        <x:v>11983</x:v>
      </x:c>
      <x:c r="D205" s="2" t="s">
        <x:v>25</x:v>
      </x:c>
      <x:c r="E205" s="2">
        <x:v>45</x:v>
      </x:c>
      <x:c r="F205" s="2">
        <x:v>240</x:v>
      </x:c>
      <x:c r="G205" s="3">
        <x:v>6274.3294100822004</x:v>
      </x:c>
      <x:c r="H205" s="3">
        <x:v>1505839.0584197282</x:v>
      </x:c>
    </x:row>
    <x:row r="206">
      <x:c r="A206" s="2" t="s">
        <x:v>28</x:v>
      </x:c>
      <x:c r="B206" s="2">
        <x:v>11076</x:v>
      </x:c>
      <x:c r="C206" s="2">
        <x:v>11984</x:v>
      </x:c>
      <x:c r="D206" s="2" t="s">
        <x:v>25</x:v>
      </x:c>
      <x:c r="E206" s="2">
        <x:v>45</x:v>
      </x:c>
      <x:c r="F206" s="2">
        <x:v>240</x:v>
      </x:c>
      <x:c r="G206" s="3">
        <x:v>6274.3294100822004</x:v>
      </x:c>
      <x:c r="H206" s="3">
        <x:v>1505839.0584197282</x:v>
      </x:c>
    </x:row>
    <x:row r="207">
      <x:c r="A207" s="2" t="s">
        <x:v>28</x:v>
      </x:c>
      <x:c r="B207" s="2">
        <x:v>11077</x:v>
      </x:c>
      <x:c r="C207" s="2">
        <x:v>11985</x:v>
      </x:c>
      <x:c r="D207" s="2" t="s">
        <x:v>25</x:v>
      </x:c>
      <x:c r="E207" s="2">
        <x:v>45</x:v>
      </x:c>
      <x:c r="F207" s="2">
        <x:v>240</x:v>
      </x:c>
      <x:c r="G207" s="3">
        <x:v>6274.3294100822004</x:v>
      </x:c>
      <x:c r="H207" s="3">
        <x:v>1505839.0584197282</x:v>
      </x:c>
    </x:row>
    <x:row r="208">
      <x:c r="A208" s="2" t="s">
        <x:v>28</x:v>
      </x:c>
      <x:c r="B208" s="2">
        <x:v>11078</x:v>
      </x:c>
      <x:c r="C208" s="2">
        <x:v>11986</x:v>
      </x:c>
      <x:c r="D208" s="2" t="s">
        <x:v>25</x:v>
      </x:c>
      <x:c r="E208" s="2">
        <x:v>47</x:v>
      </x:c>
      <x:c r="F208" s="2">
        <x:v>240</x:v>
      </x:c>
      <x:c r="G208" s="3">
        <x:v>6274.3294100822004</x:v>
      </x:c>
      <x:c r="H208" s="3">
        <x:v>1505839.0584197282</x:v>
      </x:c>
    </x:row>
    <x:row r="209">
      <x:c r="A209" s="2" t="s">
        <x:v>28</x:v>
      </x:c>
      <x:c r="B209" s="2">
        <x:v>11079</x:v>
      </x:c>
      <x:c r="C209" s="2">
        <x:v>11987</x:v>
      </x:c>
      <x:c r="D209" s="2" t="s">
        <x:v>25</x:v>
      </x:c>
      <x:c r="E209" s="2">
        <x:v>45</x:v>
      </x:c>
      <x:c r="F209" s="2">
        <x:v>240</x:v>
      </x:c>
      <x:c r="G209" s="3">
        <x:v>6274.3294100822004</x:v>
      </x:c>
      <x:c r="H209" s="3">
        <x:v>1505839.0584197282</x:v>
      </x:c>
    </x:row>
    <x:row r="210">
      <x:c r="A210" s="2" t="s">
        <x:v>28</x:v>
      </x:c>
      <x:c r="B210" s="2">
        <x:v>11080</x:v>
      </x:c>
      <x:c r="C210" s="2">
        <x:v>11988</x:v>
      </x:c>
      <x:c r="D210" s="2" t="s">
        <x:v>25</x:v>
      </x:c>
      <x:c r="E210" s="2">
        <x:v>45</x:v>
      </x:c>
      <x:c r="F210" s="2">
        <x:v>240</x:v>
      </x:c>
      <x:c r="G210" s="3">
        <x:v>6274.3294100822004</x:v>
      </x:c>
      <x:c r="H210" s="3">
        <x:v>1505839.0584197282</x:v>
      </x:c>
    </x:row>
    <x:row r="211">
      <x:c r="A211" s="2" t="s">
        <x:v>28</x:v>
      </x:c>
      <x:c r="B211" s="2">
        <x:v>11081</x:v>
      </x:c>
      <x:c r="C211" s="2">
        <x:v>11989</x:v>
      </x:c>
      <x:c r="D211" s="2" t="s">
        <x:v>25</x:v>
      </x:c>
      <x:c r="E211" s="2">
        <x:v>46</x:v>
      </x:c>
      <x:c r="F211" s="2">
        <x:v>240</x:v>
      </x:c>
      <x:c r="G211" s="3">
        <x:v>6274.3294100822004</x:v>
      </x:c>
      <x:c r="H211" s="3">
        <x:v>1505839.0584197282</x:v>
      </x:c>
    </x:row>
    <x:row r="212">
      <x:c r="A212" s="2" t="s">
        <x:v>28</x:v>
      </x:c>
      <x:c r="B212" s="2">
        <x:v>11082</x:v>
      </x:c>
      <x:c r="C212" s="2">
        <x:v>11990</x:v>
      </x:c>
      <x:c r="D212" s="2" t="s">
        <x:v>25</x:v>
      </x:c>
      <x:c r="E212" s="2">
        <x:v>46</x:v>
      </x:c>
      <x:c r="F212" s="2">
        <x:v>240</x:v>
      </x:c>
      <x:c r="G212" s="3">
        <x:v>6274.3294100822004</x:v>
      </x:c>
      <x:c r="H212" s="3">
        <x:v>1505839.0584197282</x:v>
      </x:c>
    </x:row>
    <x:row r="213">
      <x:c r="A213" s="2" t="s">
        <x:v>28</x:v>
      </x:c>
      <x:c r="B213" s="2">
        <x:v>11083</x:v>
      </x:c>
      <x:c r="C213" s="2">
        <x:v>11991</x:v>
      </x:c>
      <x:c r="D213" s="2" t="s">
        <x:v>25</x:v>
      </x:c>
      <x:c r="E213" s="2">
        <x:v>46</x:v>
      </x:c>
      <x:c r="F213" s="2">
        <x:v>240</x:v>
      </x:c>
      <x:c r="G213" s="3">
        <x:v>6274.3294100822004</x:v>
      </x:c>
      <x:c r="H213" s="3">
        <x:v>1505839.0584197282</x:v>
      </x:c>
    </x:row>
    <x:row r="214">
      <x:c r="A214" s="2" t="s">
        <x:v>28</x:v>
      </x:c>
      <x:c r="B214" s="2">
        <x:v>11084</x:v>
      </x:c>
      <x:c r="C214" s="2">
        <x:v>11992</x:v>
      </x:c>
      <x:c r="D214" s="2" t="s">
        <x:v>25</x:v>
      </x:c>
      <x:c r="E214" s="2">
        <x:v>45</x:v>
      </x:c>
      <x:c r="F214" s="2">
        <x:v>240</x:v>
      </x:c>
      <x:c r="G214" s="3">
        <x:v>6274.3294100822004</x:v>
      </x:c>
      <x:c r="H214" s="3">
        <x:v>1505839.0584197282</x:v>
      </x:c>
    </x:row>
    <x:row r="215">
      <x:c r="A215" s="2" t="s">
        <x:v>28</x:v>
      </x:c>
      <x:c r="B215" s="2">
        <x:v>11085</x:v>
      </x:c>
      <x:c r="C215" s="2">
        <x:v>11993</x:v>
      </x:c>
      <x:c r="D215" s="2" t="s">
        <x:v>25</x:v>
      </x:c>
      <x:c r="E215" s="2">
        <x:v>45</x:v>
      </x:c>
      <x:c r="F215" s="2">
        <x:v>240</x:v>
      </x:c>
      <x:c r="G215" s="3">
        <x:v>6274.3294100822004</x:v>
      </x:c>
      <x:c r="H215" s="3">
        <x:v>1505839.0584197282</x:v>
      </x:c>
    </x:row>
    <x:row r="216">
      <x:c r="A216" s="2" t="s">
        <x:v>28</x:v>
      </x:c>
      <x:c r="B216" s="2">
        <x:v>11086</x:v>
      </x:c>
      <x:c r="C216" s="2">
        <x:v>11994</x:v>
      </x:c>
      <x:c r="D216" s="2" t="s">
        <x:v>25</x:v>
      </x:c>
      <x:c r="E216" s="2">
        <x:v>44</x:v>
      </x:c>
      <x:c r="F216" s="2">
        <x:v>240</x:v>
      </x:c>
      <x:c r="G216" s="3">
        <x:v>6274.3294100822004</x:v>
      </x:c>
      <x:c r="H216" s="3">
        <x:v>1505839.0584197282</x:v>
      </x:c>
    </x:row>
    <x:row r="217">
      <x:c r="A217" s="2" t="s">
        <x:v>28</x:v>
      </x:c>
      <x:c r="B217" s="2">
        <x:v>11087</x:v>
      </x:c>
      <x:c r="C217" s="2">
        <x:v>11995</x:v>
      </x:c>
      <x:c r="D217" s="2" t="s">
        <x:v>25</x:v>
      </x:c>
      <x:c r="E217" s="2">
        <x:v>45</x:v>
      </x:c>
      <x:c r="F217" s="2">
        <x:v>240</x:v>
      </x:c>
      <x:c r="G217" s="3">
        <x:v>6274.3294100822004</x:v>
      </x:c>
      <x:c r="H217" s="3">
        <x:v>1505839.0584197282</x:v>
      </x:c>
    </x:row>
    <x:row r="218">
      <x:c r="A218" s="2" t="s">
        <x:v>28</x:v>
      </x:c>
      <x:c r="B218" s="2">
        <x:v>11088</x:v>
      </x:c>
      <x:c r="C218" s="2">
        <x:v>11996</x:v>
      </x:c>
      <x:c r="D218" s="2" t="s">
        <x:v>25</x:v>
      </x:c>
      <x:c r="E218" s="2">
        <x:v>45</x:v>
      </x:c>
      <x:c r="F218" s="2">
        <x:v>240</x:v>
      </x:c>
      <x:c r="G218" s="3">
        <x:v>6274.3294100822004</x:v>
      </x:c>
      <x:c r="H218" s="3">
        <x:v>1505839.0584197282</x:v>
      </x:c>
    </x:row>
    <x:row r="219">
      <x:c r="A219" s="2" t="s">
        <x:v>28</x:v>
      </x:c>
      <x:c r="B219" s="2">
        <x:v>11089</x:v>
      </x:c>
      <x:c r="C219" s="2">
        <x:v>11997</x:v>
      </x:c>
      <x:c r="D219" s="2" t="s">
        <x:v>25</x:v>
      </x:c>
      <x:c r="E219" s="2">
        <x:v>46</x:v>
      </x:c>
      <x:c r="F219" s="2">
        <x:v>240</x:v>
      </x:c>
      <x:c r="G219" s="3">
        <x:v>6274.3294100822004</x:v>
      </x:c>
      <x:c r="H219" s="3">
        <x:v>1505839.0584197282</x:v>
      </x:c>
    </x:row>
    <x:row r="220">
      <x:c r="A220" s="2" t="s">
        <x:v>28</x:v>
      </x:c>
      <x:c r="B220" s="2">
        <x:v>11090</x:v>
      </x:c>
      <x:c r="C220" s="2">
        <x:v>11998</x:v>
      </x:c>
      <x:c r="D220" s="2" t="s">
        <x:v>25</x:v>
      </x:c>
      <x:c r="E220" s="2">
        <x:v>41</x:v>
      </x:c>
      <x:c r="F220" s="2">
        <x:v>240</x:v>
      </x:c>
      <x:c r="G220" s="3">
        <x:v>6274.3294100822004</x:v>
      </x:c>
      <x:c r="H220" s="3">
        <x:v>1505839.0584197282</x:v>
      </x:c>
    </x:row>
    <x:row r="221">
      <x:c r="A221" s="2" t="s">
        <x:v>28</x:v>
      </x:c>
      <x:c r="B221" s="2">
        <x:v>11091</x:v>
      </x:c>
      <x:c r="C221" s="2">
        <x:v>11999</x:v>
      </x:c>
      <x:c r="D221" s="2" t="s">
        <x:v>25</x:v>
      </x:c>
      <x:c r="E221" s="2">
        <x:v>47</x:v>
      </x:c>
      <x:c r="F221" s="2">
        <x:v>240</x:v>
      </x:c>
      <x:c r="G221" s="3">
        <x:v>6274.3294100822004</x:v>
      </x:c>
      <x:c r="H221" s="3">
        <x:v>1505839.0584197282</x:v>
      </x:c>
    </x:row>
    <x:row r="222">
      <x:c r="A222" s="2" t="s">
        <x:v>28</x:v>
      </x:c>
      <x:c r="B222" s="2">
        <x:v>11092</x:v>
      </x:c>
      <x:c r="C222" s="2">
        <x:v>12000</x:v>
      </x:c>
      <x:c r="D222" s="2" t="s">
        <x:v>25</x:v>
      </x:c>
      <x:c r="E222" s="2">
        <x:v>48</x:v>
      </x:c>
      <x:c r="F222" s="2">
        <x:v>240</x:v>
      </x:c>
      <x:c r="G222" s="3">
        <x:v>6274.3294100822004</x:v>
      </x:c>
      <x:c r="H222" s="3">
        <x:v>1505839.0584197282</x:v>
      </x:c>
    </x:row>
    <x:row r="223">
      <x:c r="A223" s="2" t="s">
        <x:v>28</x:v>
      </x:c>
      <x:c r="B223" s="2">
        <x:v>11093</x:v>
      </x:c>
      <x:c r="C223" s="2">
        <x:v>12001</x:v>
      </x:c>
      <x:c r="D223" s="2" t="s">
        <x:v>25</x:v>
      </x:c>
      <x:c r="E223" s="2">
        <x:v>50</x:v>
      </x:c>
      <x:c r="F223" s="2">
        <x:v>240</x:v>
      </x:c>
      <x:c r="G223" s="3">
        <x:v>6274.3294100822004</x:v>
      </x:c>
      <x:c r="H223" s="3">
        <x:v>1505839.0584197282</x:v>
      </x:c>
    </x:row>
    <x:row r="224">
      <x:c r="A224" s="2" t="s">
        <x:v>28</x:v>
      </x:c>
      <x:c r="B224" s="2">
        <x:v>11094</x:v>
      </x:c>
      <x:c r="C224" s="2">
        <x:v>12002</x:v>
      </x:c>
      <x:c r="D224" s="2" t="s">
        <x:v>25</x:v>
      </x:c>
      <x:c r="E224" s="2">
        <x:v>49</x:v>
      </x:c>
      <x:c r="F224" s="2">
        <x:v>240</x:v>
      </x:c>
      <x:c r="G224" s="3">
        <x:v>6274.3294100822004</x:v>
      </x:c>
      <x:c r="H224" s="3">
        <x:v>1505839.0584197282</x:v>
      </x:c>
    </x:row>
    <x:row r="225">
      <x:c r="A225" s="2" t="s">
        <x:v>28</x:v>
      </x:c>
      <x:c r="B225" s="2">
        <x:v>11095</x:v>
      </x:c>
      <x:c r="C225" s="2">
        <x:v>12003</x:v>
      </x:c>
      <x:c r="D225" s="2" t="s">
        <x:v>25</x:v>
      </x:c>
      <x:c r="E225" s="2">
        <x:v>49</x:v>
      </x:c>
      <x:c r="F225" s="2">
        <x:v>240</x:v>
      </x:c>
      <x:c r="G225" s="3">
        <x:v>6274.3294100822004</x:v>
      </x:c>
      <x:c r="H225" s="3">
        <x:v>1505839.0584197282</x:v>
      </x:c>
    </x:row>
    <x:row r="226">
      <x:c r="A226" s="2" t="s">
        <x:v>28</x:v>
      </x:c>
      <x:c r="B226" s="2">
        <x:v>11096</x:v>
      </x:c>
      <x:c r="C226" s="2">
        <x:v>12004</x:v>
      </x:c>
      <x:c r="D226" s="2" t="s">
        <x:v>25</x:v>
      </x:c>
      <x:c r="E226" s="2">
        <x:v>46</x:v>
      </x:c>
      <x:c r="F226" s="2">
        <x:v>240</x:v>
      </x:c>
      <x:c r="G226" s="3">
        <x:v>6274.3294100822004</x:v>
      </x:c>
      <x:c r="H226" s="3">
        <x:v>1505839.0584197282</x:v>
      </x:c>
    </x:row>
    <x:row r="227">
      <x:c r="A227" s="2" t="s">
        <x:v>28</x:v>
      </x:c>
      <x:c r="B227" s="2">
        <x:v>11097</x:v>
      </x:c>
      <x:c r="C227" s="2">
        <x:v>12005</x:v>
      </x:c>
      <x:c r="D227" s="2" t="s">
        <x:v>24</x:v>
      </x:c>
      <x:c r="E227" s="2">
        <x:v>38</x:v>
      </x:c>
      <x:c r="F227" s="2">
        <x:v>240</x:v>
      </x:c>
      <x:c r="G227" s="3">
        <x:v>6274.3294100822004</x:v>
      </x:c>
      <x:c r="H227" s="3">
        <x:v>1505839.0584197282</x:v>
      </x:c>
    </x:row>
    <x:row r="228">
      <x:c r="A228" s="2" t="s">
        <x:v>28</x:v>
      </x:c>
      <x:c r="B228" s="2">
        <x:v>11098</x:v>
      </x:c>
      <x:c r="C228" s="2">
        <x:v>12006</x:v>
      </x:c>
      <x:c r="D228" s="2" t="s">
        <x:v>24</x:v>
      </x:c>
      <x:c r="E228" s="2">
        <x:v>38</x:v>
      </x:c>
      <x:c r="F228" s="2">
        <x:v>240</x:v>
      </x:c>
      <x:c r="G228" s="3">
        <x:v>6274.3294100822004</x:v>
      </x:c>
      <x:c r="H228" s="3">
        <x:v>1505839.0584197282</x:v>
      </x:c>
    </x:row>
    <x:row r="229">
      <x:c r="A229" s="2" t="s">
        <x:v>28</x:v>
      </x:c>
      <x:c r="B229" s="2">
        <x:v>11099</x:v>
      </x:c>
      <x:c r="C229" s="2">
        <x:v>12007</x:v>
      </x:c>
      <x:c r="D229" s="2" t="s">
        <x:v>24</x:v>
      </x:c>
      <x:c r="E229" s="2">
        <x:v>39</x:v>
      </x:c>
      <x:c r="F229" s="2">
        <x:v>240</x:v>
      </x:c>
      <x:c r="G229" s="3">
        <x:v>6274.3294100822004</x:v>
      </x:c>
      <x:c r="H229" s="3">
        <x:v>1505839.0584197282</x:v>
      </x:c>
    </x:row>
    <x:row r="230">
      <x:c r="A230" s="2" t="s">
        <x:v>28</x:v>
      </x:c>
      <x:c r="B230" s="2">
        <x:v>11100</x:v>
      </x:c>
      <x:c r="C230" s="2">
        <x:v>12008</x:v>
      </x:c>
      <x:c r="D230" s="2" t="s">
        <x:v>24</x:v>
      </x:c>
      <x:c r="E230" s="2">
        <x:v>36</x:v>
      </x:c>
      <x:c r="F230" s="2">
        <x:v>240</x:v>
      </x:c>
      <x:c r="G230" s="3">
        <x:v>6274.3294100822004</x:v>
      </x:c>
      <x:c r="H230" s="3">
        <x:v>1505839.0584197282</x:v>
      </x:c>
    </x:row>
    <x:row r="231">
      <x:c r="A231" s="2" t="s">
        <x:v>28</x:v>
      </x:c>
      <x:c r="B231" s="2">
        <x:v>11101</x:v>
      </x:c>
      <x:c r="C231" s="2">
        <x:v>12009</x:v>
      </x:c>
      <x:c r="D231" s="2" t="s">
        <x:v>24</x:v>
      </x:c>
      <x:c r="E231" s="2">
        <x:v>36</x:v>
      </x:c>
      <x:c r="F231" s="2">
        <x:v>240</x:v>
      </x:c>
      <x:c r="G231" s="3">
        <x:v>6274.3294100822004</x:v>
      </x:c>
      <x:c r="H231" s="3">
        <x:v>1505839.0584197282</x:v>
      </x:c>
    </x:row>
    <x:row r="232">
      <x:c r="A232" s="2" t="s">
        <x:v>28</x:v>
      </x:c>
      <x:c r="B232" s="2">
        <x:v>11102</x:v>
      </x:c>
      <x:c r="C232" s="2">
        <x:v>12010</x:v>
      </x:c>
      <x:c r="D232" s="2" t="s">
        <x:v>24</x:v>
      </x:c>
      <x:c r="E232" s="2">
        <x:v>40</x:v>
      </x:c>
      <x:c r="F232" s="2">
        <x:v>240</x:v>
      </x:c>
      <x:c r="G232" s="3">
        <x:v>6274.3294100822004</x:v>
      </x:c>
      <x:c r="H232" s="3">
        <x:v>1505839.0584197282</x:v>
      </x:c>
    </x:row>
    <x:row r="233">
      <x:c r="A233" s="2" t="s">
        <x:v>28</x:v>
      </x:c>
      <x:c r="B233" s="2">
        <x:v>11103</x:v>
      </x:c>
      <x:c r="C233" s="2">
        <x:v>12011</x:v>
      </x:c>
      <x:c r="D233" s="2" t="s">
        <x:v>24</x:v>
      </x:c>
      <x:c r="E233" s="2">
        <x:v>36</x:v>
      </x:c>
      <x:c r="F233" s="2">
        <x:v>240</x:v>
      </x:c>
      <x:c r="G233" s="3">
        <x:v>6274.3294100822004</x:v>
      </x:c>
      <x:c r="H233" s="3">
        <x:v>1505839.0584197282</x:v>
      </x:c>
    </x:row>
    <x:row r="234">
      <x:c r="A234" s="2" t="s">
        <x:v>28</x:v>
      </x:c>
      <x:c r="B234" s="2">
        <x:v>11104</x:v>
      </x:c>
      <x:c r="C234" s="2">
        <x:v>12012</x:v>
      </x:c>
      <x:c r="D234" s="2" t="s">
        <x:v>24</x:v>
      </x:c>
      <x:c r="E234" s="2">
        <x:v>37</x:v>
      </x:c>
      <x:c r="F234" s="2">
        <x:v>240</x:v>
      </x:c>
      <x:c r="G234" s="3">
        <x:v>6274.3294100822004</x:v>
      </x:c>
      <x:c r="H234" s="3">
        <x:v>1505839.0584197282</x:v>
      </x:c>
    </x:row>
    <x:row r="235">
      <x:c r="A235" s="2" t="s">
        <x:v>28</x:v>
      </x:c>
      <x:c r="B235" s="2">
        <x:v>11105</x:v>
      </x:c>
      <x:c r="C235" s="2">
        <x:v>12013</x:v>
      </x:c>
      <x:c r="D235" s="2" t="s">
        <x:v>24</x:v>
      </x:c>
      <x:c r="E235" s="2">
        <x:v>37</x:v>
      </x:c>
      <x:c r="F235" s="2">
        <x:v>240</x:v>
      </x:c>
      <x:c r="G235" s="3">
        <x:v>6274.3294100822004</x:v>
      </x:c>
      <x:c r="H235" s="3">
        <x:v>1505839.0584197282</x:v>
      </x:c>
    </x:row>
    <x:row r="236">
      <x:c r="A236" s="2" t="s">
        <x:v>28</x:v>
      </x:c>
      <x:c r="B236" s="2">
        <x:v>11106</x:v>
      </x:c>
      <x:c r="C236" s="2">
        <x:v>12014</x:v>
      </x:c>
      <x:c r="D236" s="2" t="s">
        <x:v>24</x:v>
      </x:c>
      <x:c r="E236" s="2">
        <x:v>40</x:v>
      </x:c>
      <x:c r="F236" s="2">
        <x:v>240</x:v>
      </x:c>
      <x:c r="G236" s="3">
        <x:v>6274.3294100822004</x:v>
      </x:c>
      <x:c r="H236" s="3">
        <x:v>1505839.0584197282</x:v>
      </x:c>
    </x:row>
    <x:row r="237">
      <x:c r="A237" s="2" t="s">
        <x:v>28</x:v>
      </x:c>
      <x:c r="B237" s="2">
        <x:v>11107</x:v>
      </x:c>
      <x:c r="C237" s="2">
        <x:v>12015</x:v>
      </x:c>
      <x:c r="D237" s="2" t="s">
        <x:v>24</x:v>
      </x:c>
      <x:c r="E237" s="2">
        <x:v>40</x:v>
      </x:c>
      <x:c r="F237" s="2">
        <x:v>240</x:v>
      </x:c>
      <x:c r="G237" s="3">
        <x:v>6274.3294100822004</x:v>
      </x:c>
      <x:c r="H237" s="3">
        <x:v>1505839.0584197282</x:v>
      </x:c>
    </x:row>
    <x:row r="238">
      <x:c r="A238" s="2" t="s">
        <x:v>28</x:v>
      </x:c>
      <x:c r="B238" s="2">
        <x:v>11108</x:v>
      </x:c>
      <x:c r="C238" s="2">
        <x:v>12016</x:v>
      </x:c>
      <x:c r="D238" s="2" t="s">
        <x:v>24</x:v>
      </x:c>
      <x:c r="E238" s="2">
        <x:v>40</x:v>
      </x:c>
      <x:c r="F238" s="2">
        <x:v>240</x:v>
      </x:c>
      <x:c r="G238" s="3">
        <x:v>6274.3294100822004</x:v>
      </x:c>
      <x:c r="H238" s="3">
        <x:v>1505839.0584197282</x:v>
      </x:c>
    </x:row>
    <x:row r="239">
      <x:c r="A239" s="2" t="s">
        <x:v>28</x:v>
      </x:c>
      <x:c r="B239" s="2">
        <x:v>11109</x:v>
      </x:c>
      <x:c r="C239" s="2">
        <x:v>12017</x:v>
      </x:c>
      <x:c r="D239" s="2" t="s">
        <x:v>24</x:v>
      </x:c>
      <x:c r="E239" s="2">
        <x:v>40</x:v>
      </x:c>
      <x:c r="F239" s="2">
        <x:v>240</x:v>
      </x:c>
      <x:c r="G239" s="3">
        <x:v>6274.3294100822004</x:v>
      </x:c>
      <x:c r="H239" s="3">
        <x:v>1505839.0584197282</x:v>
      </x:c>
    </x:row>
    <x:row r="240">
      <x:c r="A240" s="2" t="s">
        <x:v>28</x:v>
      </x:c>
      <x:c r="B240" s="2">
        <x:v>11110</x:v>
      </x:c>
      <x:c r="C240" s="2">
        <x:v>12018</x:v>
      </x:c>
      <x:c r="D240" s="2" t="s">
        <x:v>24</x:v>
      </x:c>
      <x:c r="E240" s="2">
        <x:v>40</x:v>
      </x:c>
      <x:c r="F240" s="2">
        <x:v>240</x:v>
      </x:c>
      <x:c r="G240" s="3">
        <x:v>6274.3294100822004</x:v>
      </x:c>
      <x:c r="H240" s="3">
        <x:v>1505839.0584197282</x:v>
      </x:c>
    </x:row>
    <x:row r="241">
      <x:c r="A241" s="2" t="s">
        <x:v>28</x:v>
      </x:c>
      <x:c r="B241" s="2">
        <x:v>11111</x:v>
      </x:c>
      <x:c r="C241" s="2">
        <x:v>12019</x:v>
      </x:c>
      <x:c r="D241" s="2" t="s">
        <x:v>24</x:v>
      </x:c>
      <x:c r="E241" s="2">
        <x:v>39</x:v>
      </x:c>
      <x:c r="F241" s="2">
        <x:v>240</x:v>
      </x:c>
      <x:c r="G241" s="3">
        <x:v>6274.3294100822004</x:v>
      </x:c>
      <x:c r="H241" s="3">
        <x:v>1505839.0584197282</x:v>
      </x:c>
    </x:row>
    <x:row r="242">
      <x:c r="A242" s="2" t="s">
        <x:v>28</x:v>
      </x:c>
      <x:c r="B242" s="2">
        <x:v>11112</x:v>
      </x:c>
      <x:c r="C242" s="2">
        <x:v>12020</x:v>
      </x:c>
      <x:c r="D242" s="2" t="s">
        <x:v>24</x:v>
      </x:c>
      <x:c r="E242" s="2">
        <x:v>37</x:v>
      </x:c>
      <x:c r="F242" s="2">
        <x:v>240</x:v>
      </x:c>
      <x:c r="G242" s="3">
        <x:v>6274.3294100822004</x:v>
      </x:c>
      <x:c r="H242" s="3">
        <x:v>1505839.0584197282</x:v>
      </x:c>
    </x:row>
    <x:row r="243">
      <x:c r="A243" s="2" t="s">
        <x:v>28</x:v>
      </x:c>
      <x:c r="B243" s="2">
        <x:v>11113</x:v>
      </x:c>
      <x:c r="C243" s="2">
        <x:v>12021</x:v>
      </x:c>
      <x:c r="D243" s="2" t="s">
        <x:v>24</x:v>
      </x:c>
      <x:c r="E243" s="2">
        <x:v>37</x:v>
      </x:c>
      <x:c r="F243" s="2">
        <x:v>240</x:v>
      </x:c>
      <x:c r="G243" s="3">
        <x:v>6274.3294100822004</x:v>
      </x:c>
      <x:c r="H243" s="3">
        <x:v>1505839.0584197282</x:v>
      </x:c>
    </x:row>
    <x:row r="244">
      <x:c r="A244" s="2" t="s">
        <x:v>28</x:v>
      </x:c>
      <x:c r="B244" s="2">
        <x:v>11114</x:v>
      </x:c>
      <x:c r="C244" s="2">
        <x:v>12022</x:v>
      </x:c>
      <x:c r="D244" s="2" t="s">
        <x:v>24</x:v>
      </x:c>
      <x:c r="E244" s="2">
        <x:v>40</x:v>
      </x:c>
      <x:c r="F244" s="2">
        <x:v>240</x:v>
      </x:c>
      <x:c r="G244" s="3">
        <x:v>6274.3294100822004</x:v>
      </x:c>
      <x:c r="H244" s="3">
        <x:v>1505839.0584197282</x:v>
      </x:c>
    </x:row>
    <x:row r="245">
      <x:c r="A245" s="2" t="s">
        <x:v>28</x:v>
      </x:c>
      <x:c r="B245" s="2">
        <x:v>11115</x:v>
      </x:c>
      <x:c r="C245" s="2">
        <x:v>12023</x:v>
      </x:c>
      <x:c r="D245" s="2" t="s">
        <x:v>24</x:v>
      </x:c>
      <x:c r="E245" s="2">
        <x:v>39</x:v>
      </x:c>
      <x:c r="F245" s="2">
        <x:v>240</x:v>
      </x:c>
      <x:c r="G245" s="3">
        <x:v>6274.3294100822004</x:v>
      </x:c>
      <x:c r="H245" s="3">
        <x:v>1505839.0584197282</x:v>
      </x:c>
    </x:row>
    <x:row r="246">
      <x:c r="A246" s="2" t="s">
        <x:v>28</x:v>
      </x:c>
      <x:c r="B246" s="2">
        <x:v>11116</x:v>
      </x:c>
      <x:c r="C246" s="2">
        <x:v>12024</x:v>
      </x:c>
      <x:c r="D246" s="2" t="s">
        <x:v>24</x:v>
      </x:c>
      <x:c r="E246" s="2">
        <x:v>37</x:v>
      </x:c>
      <x:c r="F246" s="2">
        <x:v>240</x:v>
      </x:c>
      <x:c r="G246" s="3">
        <x:v>6274.3294100822004</x:v>
      </x:c>
      <x:c r="H246" s="3">
        <x:v>1505839.0584197282</x:v>
      </x:c>
    </x:row>
    <x:row r="247">
      <x:c r="A247" s="2" t="s">
        <x:v>28</x:v>
      </x:c>
      <x:c r="B247" s="2">
        <x:v>11117</x:v>
      </x:c>
      <x:c r="C247" s="2">
        <x:v>12025</x:v>
      </x:c>
      <x:c r="D247" s="2" t="s">
        <x:v>24</x:v>
      </x:c>
      <x:c r="E247" s="2">
        <x:v>40</x:v>
      </x:c>
      <x:c r="F247" s="2">
        <x:v>240</x:v>
      </x:c>
      <x:c r="G247" s="3">
        <x:v>6274.3294100822004</x:v>
      </x:c>
      <x:c r="H247" s="3">
        <x:v>1505839.0584197282</x:v>
      </x:c>
    </x:row>
    <x:row r="248">
      <x:c r="A248" s="2" t="s">
        <x:v>28</x:v>
      </x:c>
      <x:c r="B248" s="2">
        <x:v>11118</x:v>
      </x:c>
      <x:c r="C248" s="2">
        <x:v>12026</x:v>
      </x:c>
      <x:c r="D248" s="2" t="s">
        <x:v>24</x:v>
      </x:c>
      <x:c r="E248" s="2">
        <x:v>40</x:v>
      </x:c>
      <x:c r="F248" s="2">
        <x:v>240</x:v>
      </x:c>
      <x:c r="G248" s="3">
        <x:v>6274.3294100822004</x:v>
      </x:c>
      <x:c r="H248" s="3">
        <x:v>1505839.0584197282</x:v>
      </x:c>
    </x:row>
    <x:row r="249">
      <x:c r="A249" s="2" t="s">
        <x:v>28</x:v>
      </x:c>
      <x:c r="B249" s="2">
        <x:v>11119</x:v>
      </x:c>
      <x:c r="C249" s="2">
        <x:v>12027</x:v>
      </x:c>
      <x:c r="D249" s="2" t="s">
        <x:v>24</x:v>
      </x:c>
      <x:c r="E249" s="2">
        <x:v>38</x:v>
      </x:c>
      <x:c r="F249" s="2">
        <x:v>240</x:v>
      </x:c>
      <x:c r="G249" s="3">
        <x:v>6274.3294100822004</x:v>
      </x:c>
      <x:c r="H249" s="3">
        <x:v>1505839.0584197282</x:v>
      </x:c>
    </x:row>
    <x:row r="250">
      <x:c r="A250" s="2" t="s">
        <x:v>28</x:v>
      </x:c>
      <x:c r="B250" s="2">
        <x:v>11120</x:v>
      </x:c>
      <x:c r="C250" s="2">
        <x:v>12028</x:v>
      </x:c>
      <x:c r="D250" s="2" t="s">
        <x:v>24</x:v>
      </x:c>
      <x:c r="E250" s="2">
        <x:v>37</x:v>
      </x:c>
      <x:c r="F250" s="2">
        <x:v>240</x:v>
      </x:c>
      <x:c r="G250" s="3">
        <x:v>6274.3294100822004</x:v>
      </x:c>
      <x:c r="H250" s="3">
        <x:v>1505839.0584197282</x:v>
      </x:c>
    </x:row>
    <x:row r="251">
      <x:c r="A251" s="2" t="s">
        <x:v>28</x:v>
      </x:c>
      <x:c r="B251" s="2">
        <x:v>11121</x:v>
      </x:c>
      <x:c r="C251" s="2">
        <x:v>12029</x:v>
      </x:c>
      <x:c r="D251" s="2" t="s">
        <x:v>24</x:v>
      </x:c>
      <x:c r="E251" s="2">
        <x:v>37</x:v>
      </x:c>
      <x:c r="F251" s="2">
        <x:v>240</x:v>
      </x:c>
      <x:c r="G251" s="3">
        <x:v>6274.3294100822004</x:v>
      </x:c>
      <x:c r="H251" s="3">
        <x:v>1505839.0584197282</x:v>
      </x:c>
    </x:row>
    <x:row r="252">
      <x:c r="A252" s="2" t="s">
        <x:v>28</x:v>
      </x:c>
      <x:c r="B252" s="2">
        <x:v>11122</x:v>
      </x:c>
      <x:c r="C252" s="2">
        <x:v>12030</x:v>
      </x:c>
      <x:c r="D252" s="2" t="s">
        <x:v>24</x:v>
      </x:c>
      <x:c r="E252" s="2">
        <x:v>38</x:v>
      </x:c>
      <x:c r="F252" s="2">
        <x:v>240</x:v>
      </x:c>
      <x:c r="G252" s="3">
        <x:v>6274.3294100822004</x:v>
      </x:c>
      <x:c r="H252" s="3">
        <x:v>1505839.0584197282</x:v>
      </x:c>
    </x:row>
    <x:row r="253">
      <x:c r="A253" s="2" t="s">
        <x:v>28</x:v>
      </x:c>
      <x:c r="B253" s="2">
        <x:v>11123</x:v>
      </x:c>
      <x:c r="C253" s="2">
        <x:v>12031</x:v>
      </x:c>
      <x:c r="D253" s="2" t="s">
        <x:v>24</x:v>
      </x:c>
      <x:c r="E253" s="2">
        <x:v>39</x:v>
      </x:c>
      <x:c r="F253" s="2">
        <x:v>240</x:v>
      </x:c>
      <x:c r="G253" s="3">
        <x:v>6274.3294100822004</x:v>
      </x:c>
      <x:c r="H253" s="3">
        <x:v>1505839.0584197282</x:v>
      </x:c>
    </x:row>
    <x:row r="254">
      <x:c r="A254" s="2" t="s">
        <x:v>28</x:v>
      </x:c>
      <x:c r="B254" s="2">
        <x:v>11124</x:v>
      </x:c>
      <x:c r="C254" s="2">
        <x:v>12032</x:v>
      </x:c>
      <x:c r="D254" s="2" t="s">
        <x:v>24</x:v>
      </x:c>
      <x:c r="E254" s="2">
        <x:v>36</x:v>
      </x:c>
      <x:c r="F254" s="2">
        <x:v>240</x:v>
      </x:c>
      <x:c r="G254" s="3">
        <x:v>6274.3294100822004</x:v>
      </x:c>
      <x:c r="H254" s="3">
        <x:v>1505839.0584197282</x:v>
      </x:c>
    </x:row>
    <x:row r="255">
      <x:c r="A255" s="2" t="s">
        <x:v>28</x:v>
      </x:c>
      <x:c r="B255" s="2">
        <x:v>11125</x:v>
      </x:c>
      <x:c r="C255" s="2">
        <x:v>12033</x:v>
      </x:c>
      <x:c r="D255" s="2" t="s">
        <x:v>24</x:v>
      </x:c>
      <x:c r="E255" s="2">
        <x:v>39</x:v>
      </x:c>
      <x:c r="F255" s="2">
        <x:v>240</x:v>
      </x:c>
      <x:c r="G255" s="3">
        <x:v>6274.3294100822004</x:v>
      </x:c>
      <x:c r="H255" s="3">
        <x:v>1505839.0584197282</x:v>
      </x:c>
    </x:row>
    <x:row r="256">
      <x:c r="A256" s="2" t="s">
        <x:v>28</x:v>
      </x:c>
      <x:c r="B256" s="2">
        <x:v>11126</x:v>
      </x:c>
      <x:c r="C256" s="2">
        <x:v>12034</x:v>
      </x:c>
      <x:c r="D256" s="2" t="s">
        <x:v>24</x:v>
      </x:c>
      <x:c r="E256" s="2">
        <x:v>38</x:v>
      </x:c>
      <x:c r="F256" s="2">
        <x:v>240</x:v>
      </x:c>
      <x:c r="G256" s="3">
        <x:v>6274.3294100822004</x:v>
      </x:c>
      <x:c r="H256" s="3">
        <x:v>1505839.0584197282</x:v>
      </x:c>
    </x:row>
    <x:row r="257">
      <x:c r="A257" s="2" t="s">
        <x:v>28</x:v>
      </x:c>
      <x:c r="B257" s="2">
        <x:v>11127</x:v>
      </x:c>
      <x:c r="C257" s="2">
        <x:v>12035</x:v>
      </x:c>
      <x:c r="D257" s="2" t="s">
        <x:v>24</x:v>
      </x:c>
      <x:c r="E257" s="2">
        <x:v>38</x:v>
      </x:c>
      <x:c r="F257" s="2">
        <x:v>240</x:v>
      </x:c>
      <x:c r="G257" s="3">
        <x:v>6274.3294100822004</x:v>
      </x:c>
      <x:c r="H257" s="3">
        <x:v>1505839.0584197282</x:v>
      </x:c>
    </x:row>
    <x:row r="258">
      <x:c r="A258" s="2" t="s">
        <x:v>28</x:v>
      </x:c>
      <x:c r="B258" s="2">
        <x:v>11128</x:v>
      </x:c>
      <x:c r="C258" s="2">
        <x:v>12036</x:v>
      </x:c>
      <x:c r="D258" s="2" t="s">
        <x:v>24</x:v>
      </x:c>
      <x:c r="E258" s="2">
        <x:v>36</x:v>
      </x:c>
      <x:c r="F258" s="2">
        <x:v>240</x:v>
      </x:c>
      <x:c r="G258" s="3">
        <x:v>6274.3294100822004</x:v>
      </x:c>
      <x:c r="H258" s="3">
        <x:v>1505839.0584197282</x:v>
      </x:c>
    </x:row>
    <x:row r="259">
      <x:c r="A259" s="2" t="s">
        <x:v>28</x:v>
      </x:c>
      <x:c r="B259" s="2">
        <x:v>11129</x:v>
      </x:c>
      <x:c r="C259" s="2">
        <x:v>12037</x:v>
      </x:c>
      <x:c r="D259" s="2" t="s">
        <x:v>24</x:v>
      </x:c>
      <x:c r="E259" s="2">
        <x:v>37</x:v>
      </x:c>
      <x:c r="F259" s="2">
        <x:v>240</x:v>
      </x:c>
      <x:c r="G259" s="3">
        <x:v>6274.3294100822004</x:v>
      </x:c>
      <x:c r="H259" s="3">
        <x:v>1505839.0584197282</x:v>
      </x:c>
    </x:row>
    <x:row r="260">
      <x:c r="A260" s="2" t="s">
        <x:v>28</x:v>
      </x:c>
      <x:c r="B260" s="2">
        <x:v>11130</x:v>
      </x:c>
      <x:c r="C260" s="2">
        <x:v>12038</x:v>
      </x:c>
      <x:c r="D260" s="2" t="s">
        <x:v>24</x:v>
      </x:c>
      <x:c r="E260" s="2">
        <x:v>37</x:v>
      </x:c>
      <x:c r="F260" s="2">
        <x:v>240</x:v>
      </x:c>
      <x:c r="G260" s="3">
        <x:v>6274.3294100822004</x:v>
      </x:c>
      <x:c r="H260" s="3">
        <x:v>1505839.0584197282</x:v>
      </x:c>
    </x:row>
    <x:row r="261">
      <x:c r="A261" s="2" t="s">
        <x:v>28</x:v>
      </x:c>
      <x:c r="B261" s="2">
        <x:v>11131</x:v>
      </x:c>
      <x:c r="C261" s="2">
        <x:v>12039</x:v>
      </x:c>
      <x:c r="D261" s="2" t="s">
        <x:v>24</x:v>
      </x:c>
      <x:c r="E261" s="2">
        <x:v>36</x:v>
      </x:c>
      <x:c r="F261" s="2">
        <x:v>240</x:v>
      </x:c>
      <x:c r="G261" s="3">
        <x:v>6274.3294100822004</x:v>
      </x:c>
      <x:c r="H261" s="3">
        <x:v>1505839.0584197282</x:v>
      </x:c>
    </x:row>
    <x:row r="262">
      <x:c r="A262" s="2" t="s">
        <x:v>28</x:v>
      </x:c>
      <x:c r="B262" s="2">
        <x:v>11132</x:v>
      </x:c>
      <x:c r="C262" s="2">
        <x:v>12040</x:v>
      </x:c>
      <x:c r="D262" s="2" t="s">
        <x:v>24</x:v>
      </x:c>
      <x:c r="E262" s="2">
        <x:v>36</x:v>
      </x:c>
      <x:c r="F262" s="2">
        <x:v>240</x:v>
      </x:c>
      <x:c r="G262" s="3">
        <x:v>6274.3294100822004</x:v>
      </x:c>
      <x:c r="H262" s="3">
        <x:v>1505839.0584197282</x:v>
      </x:c>
    </x:row>
    <x:row r="263">
      <x:c r="A263" s="2" t="s">
        <x:v>28</x:v>
      </x:c>
      <x:c r="B263" s="2">
        <x:v>11133</x:v>
      </x:c>
      <x:c r="C263" s="2">
        <x:v>12041</x:v>
      </x:c>
      <x:c r="D263" s="2" t="s">
        <x:v>24</x:v>
      </x:c>
      <x:c r="E263" s="2">
        <x:v>37</x:v>
      </x:c>
      <x:c r="F263" s="2">
        <x:v>240</x:v>
      </x:c>
      <x:c r="G263" s="3">
        <x:v>6274.3294100822004</x:v>
      </x:c>
      <x:c r="H263" s="3">
        <x:v>1505839.0584197282</x:v>
      </x:c>
    </x:row>
    <x:row r="264">
      <x:c r="A264" s="2" t="s">
        <x:v>28</x:v>
      </x:c>
      <x:c r="B264" s="2">
        <x:v>11134</x:v>
      </x:c>
      <x:c r="C264" s="2">
        <x:v>12042</x:v>
      </x:c>
      <x:c r="D264" s="2" t="s">
        <x:v>24</x:v>
      </x:c>
      <x:c r="E264" s="2">
        <x:v>35</x:v>
      </x:c>
      <x:c r="F264" s="2">
        <x:v>240</x:v>
      </x:c>
      <x:c r="G264" s="3">
        <x:v>6274.3294100822004</x:v>
      </x:c>
      <x:c r="H264" s="3">
        <x:v>1505839.0584197282</x:v>
      </x:c>
    </x:row>
    <x:row r="265">
      <x:c r="A265" s="2" t="s">
        <x:v>28</x:v>
      </x:c>
      <x:c r="B265" s="2">
        <x:v>11135</x:v>
      </x:c>
      <x:c r="C265" s="2">
        <x:v>12043</x:v>
      </x:c>
      <x:c r="D265" s="2" t="s">
        <x:v>24</x:v>
      </x:c>
      <x:c r="E265" s="2">
        <x:v>35</x:v>
      </x:c>
      <x:c r="F265" s="2">
        <x:v>240</x:v>
      </x:c>
      <x:c r="G265" s="3">
        <x:v>6274.3294100822004</x:v>
      </x:c>
      <x:c r="H265" s="3">
        <x:v>1505839.0584197282</x:v>
      </x:c>
    </x:row>
    <x:row r="266">
      <x:c r="A266" s="2" t="s">
        <x:v>28</x:v>
      </x:c>
      <x:c r="B266" s="2">
        <x:v>11136</x:v>
      </x:c>
      <x:c r="C266" s="2">
        <x:v>12044</x:v>
      </x:c>
      <x:c r="D266" s="2" t="s">
        <x:v>24</x:v>
      </x:c>
      <x:c r="E266" s="2">
        <x:v>35</x:v>
      </x:c>
      <x:c r="F266" s="2">
        <x:v>240</x:v>
      </x:c>
      <x:c r="G266" s="3">
        <x:v>6274.3294100822004</x:v>
      </x:c>
      <x:c r="H266" s="3">
        <x:v>1505839.0584197282</x:v>
      </x:c>
    </x:row>
    <x:row r="267">
      <x:c r="A267" s="2" t="s">
        <x:v>28</x:v>
      </x:c>
      <x:c r="B267" s="2">
        <x:v>11137</x:v>
      </x:c>
      <x:c r="C267" s="2">
        <x:v>12045</x:v>
      </x:c>
      <x:c r="D267" s="2" t="s">
        <x:v>24</x:v>
      </x:c>
      <x:c r="E267" s="2">
        <x:v>37</x:v>
      </x:c>
      <x:c r="F267" s="2">
        <x:v>240</x:v>
      </x:c>
      <x:c r="G267" s="3">
        <x:v>6274.3294100822004</x:v>
      </x:c>
      <x:c r="H267" s="3">
        <x:v>1505839.0584197282</x:v>
      </x:c>
    </x:row>
    <x:row r="268">
      <x:c r="A268" s="2" t="s">
        <x:v>28</x:v>
      </x:c>
      <x:c r="B268" s="2">
        <x:v>11138</x:v>
      </x:c>
      <x:c r="C268" s="2">
        <x:v>12046</x:v>
      </x:c>
      <x:c r="D268" s="2" t="s">
        <x:v>24</x:v>
      </x:c>
      <x:c r="E268" s="2">
        <x:v>35</x:v>
      </x:c>
      <x:c r="F268" s="2">
        <x:v>240</x:v>
      </x:c>
      <x:c r="G268" s="3">
        <x:v>6274.3294100822004</x:v>
      </x:c>
      <x:c r="H268" s="3">
        <x:v>1505839.0584197282</x:v>
      </x:c>
    </x:row>
    <x:row r="269">
      <x:c r="A269" s="2" t="s">
        <x:v>28</x:v>
      </x:c>
      <x:c r="B269" s="2">
        <x:v>11139</x:v>
      </x:c>
      <x:c r="C269" s="2">
        <x:v>12047</x:v>
      </x:c>
      <x:c r="D269" s="2" t="s">
        <x:v>24</x:v>
      </x:c>
      <x:c r="E269" s="2">
        <x:v>37</x:v>
      </x:c>
      <x:c r="F269" s="2">
        <x:v>240</x:v>
      </x:c>
      <x:c r="G269" s="3">
        <x:v>6274.3294100822004</x:v>
      </x:c>
      <x:c r="H269" s="3">
        <x:v>1505839.0584197282</x:v>
      </x:c>
    </x:row>
    <x:row r="270">
      <x:c r="A270" s="2" t="s">
        <x:v>28</x:v>
      </x:c>
      <x:c r="B270" s="2">
        <x:v>11140</x:v>
      </x:c>
      <x:c r="C270" s="2">
        <x:v>12048</x:v>
      </x:c>
      <x:c r="D270" s="2" t="s">
        <x:v>24</x:v>
      </x:c>
      <x:c r="E270" s="2">
        <x:v>37</x:v>
      </x:c>
      <x:c r="F270" s="2">
        <x:v>240</x:v>
      </x:c>
      <x:c r="G270" s="3">
        <x:v>6274.3294100822004</x:v>
      </x:c>
      <x:c r="H270" s="3">
        <x:v>1505839.0584197282</x:v>
      </x:c>
    </x:row>
    <x:row r="271">
      <x:c r="A271" s="2" t="s">
        <x:v>28</x:v>
      </x:c>
      <x:c r="B271" s="2">
        <x:v>11141</x:v>
      </x:c>
      <x:c r="C271" s="2">
        <x:v>12049</x:v>
      </x:c>
      <x:c r="D271" s="2" t="s">
        <x:v>24</x:v>
      </x:c>
      <x:c r="E271" s="2">
        <x:v>35</x:v>
      </x:c>
      <x:c r="F271" s="2">
        <x:v>240</x:v>
      </x:c>
      <x:c r="G271" s="3">
        <x:v>6274.3294100822004</x:v>
      </x:c>
      <x:c r="H271" s="3">
        <x:v>1505839.0584197282</x:v>
      </x:c>
    </x:row>
    <x:row r="272">
      <x:c r="A272" s="2" t="s">
        <x:v>28</x:v>
      </x:c>
      <x:c r="B272" s="2">
        <x:v>11142</x:v>
      </x:c>
      <x:c r="C272" s="2">
        <x:v>12050</x:v>
      </x:c>
      <x:c r="D272" s="2" t="s">
        <x:v>24</x:v>
      </x:c>
      <x:c r="E272" s="2">
        <x:v>35</x:v>
      </x:c>
      <x:c r="F272" s="2">
        <x:v>240</x:v>
      </x:c>
      <x:c r="G272" s="3">
        <x:v>6274.3294100822004</x:v>
      </x:c>
      <x:c r="H272" s="3">
        <x:v>1505839.0584197282</x:v>
      </x:c>
    </x:row>
    <x:row r="273">
      <x:c r="A273" s="2" t="s">
        <x:v>28</x:v>
      </x:c>
      <x:c r="B273" s="2">
        <x:v>11143</x:v>
      </x:c>
      <x:c r="C273" s="2">
        <x:v>12051</x:v>
      </x:c>
      <x:c r="D273" s="2" t="s">
        <x:v>24</x:v>
      </x:c>
      <x:c r="E273" s="2">
        <x:v>37</x:v>
      </x:c>
      <x:c r="F273" s="2">
        <x:v>240</x:v>
      </x:c>
      <x:c r="G273" s="3">
        <x:v>6274.3294100822004</x:v>
      </x:c>
      <x:c r="H273" s="3">
        <x:v>1505839.0584197282</x:v>
      </x:c>
    </x:row>
    <x:row r="274">
      <x:c r="A274" s="2" t="s">
        <x:v>28</x:v>
      </x:c>
      <x:c r="B274" s="2">
        <x:v>11401</x:v>
      </x:c>
      <x:c r="C274" s="2">
        <x:v>12052</x:v>
      </x:c>
      <x:c r="D274" s="2" t="s">
        <x:v>24</x:v>
      </x:c>
      <x:c r="E274" s="2">
        <x:v>38</x:v>
      </x:c>
      <x:c r="F274" s="2">
        <x:v>240</x:v>
      </x:c>
      <x:c r="G274" s="3">
        <x:v>6274.3294100822004</x:v>
      </x:c>
      <x:c r="H274" s="3">
        <x:v>1505839.0584197282</x:v>
      </x:c>
    </x:row>
    <x:row r="275">
      <x:c r="A275" s="2" t="s">
        <x:v>28</x:v>
      </x:c>
      <x:c r="B275" s="2">
        <x:v>11402</x:v>
      </x:c>
      <x:c r="C275" s="2">
        <x:v>12053</x:v>
      </x:c>
      <x:c r="D275" s="2" t="s">
        <x:v>24</x:v>
      </x:c>
      <x:c r="E275" s="2">
        <x:v>32</x:v>
      </x:c>
      <x:c r="F275" s="2">
        <x:v>240</x:v>
      </x:c>
      <x:c r="G275" s="3">
        <x:v>6274.3294100822004</x:v>
      </x:c>
      <x:c r="H275" s="3">
        <x:v>1505839.0584197282</x:v>
      </x:c>
    </x:row>
    <x:row r="276">
      <x:c r="A276" s="2" t="s">
        <x:v>28</x:v>
      </x:c>
      <x:c r="B276" s="2">
        <x:v>11403</x:v>
      </x:c>
      <x:c r="C276" s="2">
        <x:v>12054</x:v>
      </x:c>
      <x:c r="D276" s="2" t="s">
        <x:v>24</x:v>
      </x:c>
      <x:c r="E276" s="2">
        <x:v>34</x:v>
      </x:c>
      <x:c r="F276" s="2">
        <x:v>240</x:v>
      </x:c>
      <x:c r="G276" s="3">
        <x:v>6274.3294100822004</x:v>
      </x:c>
      <x:c r="H276" s="3">
        <x:v>1505839.0584197282</x:v>
      </x:c>
    </x:row>
    <x:row r="277">
      <x:c r="A277" s="2" t="s">
        <x:v>28</x:v>
      </x:c>
      <x:c r="B277" s="2">
        <x:v>11404</x:v>
      </x:c>
      <x:c r="C277" s="2">
        <x:v>12055</x:v>
      </x:c>
      <x:c r="D277" s="2" t="s">
        <x:v>24</x:v>
      </x:c>
      <x:c r="E277" s="2">
        <x:v>38</x:v>
      </x:c>
      <x:c r="F277" s="2">
        <x:v>240</x:v>
      </x:c>
      <x:c r="G277" s="3">
        <x:v>6274.3294100822004</x:v>
      </x:c>
      <x:c r="H277" s="3">
        <x:v>1505839.0584197282</x:v>
      </x:c>
    </x:row>
    <x:row r="278">
      <x:c r="A278" s="2" t="s">
        <x:v>28</x:v>
      </x:c>
      <x:c r="B278" s="2">
        <x:v>11405</x:v>
      </x:c>
      <x:c r="C278" s="2">
        <x:v>12056</x:v>
      </x:c>
      <x:c r="D278" s="2" t="s">
        <x:v>24</x:v>
      </x:c>
      <x:c r="E278" s="2">
        <x:v>35</x:v>
      </x:c>
      <x:c r="F278" s="2">
        <x:v>240</x:v>
      </x:c>
      <x:c r="G278" s="3">
        <x:v>6274.3294100822004</x:v>
      </x:c>
      <x:c r="H278" s="3">
        <x:v>1505839.0584197282</x:v>
      </x:c>
    </x:row>
    <x:row r="279">
      <x:c r="A279" s="2" t="s">
        <x:v>28</x:v>
      </x:c>
      <x:c r="B279" s="2">
        <x:v>11406</x:v>
      </x:c>
      <x:c r="C279" s="2">
        <x:v>12057</x:v>
      </x:c>
      <x:c r="D279" s="2" t="s">
        <x:v>24</x:v>
      </x:c>
      <x:c r="E279" s="2">
        <x:v>33</x:v>
      </x:c>
      <x:c r="F279" s="2">
        <x:v>240</x:v>
      </x:c>
      <x:c r="G279" s="3">
        <x:v>6274.3294100822004</x:v>
      </x:c>
      <x:c r="H279" s="3">
        <x:v>1505839.0584197282</x:v>
      </x:c>
    </x:row>
    <x:row r="280">
      <x:c r="A280" s="2" t="s">
        <x:v>28</x:v>
      </x:c>
      <x:c r="B280" s="2">
        <x:v>11407</x:v>
      </x:c>
      <x:c r="C280" s="2">
        <x:v>12058</x:v>
      </x:c>
      <x:c r="D280" s="2" t="s">
        <x:v>24</x:v>
      </x:c>
      <x:c r="E280" s="2">
        <x:v>32</x:v>
      </x:c>
      <x:c r="F280" s="2">
        <x:v>240</x:v>
      </x:c>
      <x:c r="G280" s="3">
        <x:v>6274.3294100822004</x:v>
      </x:c>
      <x:c r="H280" s="3">
        <x:v>1505839.0584197282</x:v>
      </x:c>
    </x:row>
    <x:row r="281">
      <x:c r="A281" s="2" t="s">
        <x:v>28</x:v>
      </x:c>
      <x:c r="B281" s="2">
        <x:v>11408</x:v>
      </x:c>
      <x:c r="C281" s="2">
        <x:v>12059</x:v>
      </x:c>
      <x:c r="D281" s="2" t="s">
        <x:v>24</x:v>
      </x:c>
      <x:c r="E281" s="2">
        <x:v>40</x:v>
      </x:c>
      <x:c r="F281" s="2">
        <x:v>240</x:v>
      </x:c>
      <x:c r="G281" s="3">
        <x:v>6274.3294100822004</x:v>
      </x:c>
      <x:c r="H281" s="3">
        <x:v>1505839.0584197282</x:v>
      </x:c>
    </x:row>
    <x:row r="282">
      <x:c r="A282" s="2" t="s">
        <x:v>28</x:v>
      </x:c>
      <x:c r="B282" s="2">
        <x:v>11409</x:v>
      </x:c>
      <x:c r="C282" s="2">
        <x:v>12060</x:v>
      </x:c>
      <x:c r="D282" s="2" t="s">
        <x:v>24</x:v>
      </x:c>
      <x:c r="E282" s="2">
        <x:v>36</x:v>
      </x:c>
      <x:c r="F282" s="2">
        <x:v>240</x:v>
      </x:c>
      <x:c r="G282" s="3">
        <x:v>6274.3294100822004</x:v>
      </x:c>
      <x:c r="H282" s="3">
        <x:v>1505839.0584197282</x:v>
      </x:c>
    </x:row>
    <x:row r="283">
      <x:c r="A283" s="2" t="s">
        <x:v>28</x:v>
      </x:c>
      <x:c r="B283" s="2">
        <x:v>11410</x:v>
      </x:c>
      <x:c r="C283" s="2">
        <x:v>12061</x:v>
      </x:c>
      <x:c r="D283" s="2" t="s">
        <x:v>24</x:v>
      </x:c>
      <x:c r="E283" s="2">
        <x:v>36</x:v>
      </x:c>
      <x:c r="F283" s="2">
        <x:v>240</x:v>
      </x:c>
      <x:c r="G283" s="3">
        <x:v>6274.3294100822004</x:v>
      </x:c>
      <x:c r="H283" s="3">
        <x:v>1505839.0584197282</x:v>
      </x:c>
    </x:row>
    <x:row r="284">
      <x:c r="A284" s="2" t="s">
        <x:v>28</x:v>
      </x:c>
      <x:c r="B284" s="2">
        <x:v>11411</x:v>
      </x:c>
      <x:c r="C284" s="2">
        <x:v>12062</x:v>
      </x:c>
      <x:c r="D284" s="2" t="s">
        <x:v>24</x:v>
      </x:c>
      <x:c r="E284" s="2">
        <x:v>37</x:v>
      </x:c>
      <x:c r="F284" s="2">
        <x:v>240</x:v>
      </x:c>
      <x:c r="G284" s="3">
        <x:v>6274.3294100822004</x:v>
      </x:c>
      <x:c r="H284" s="3">
        <x:v>1505839.0584197282</x:v>
      </x:c>
    </x:row>
    <x:row r="285">
      <x:c r="A285" s="2" t="s">
        <x:v>28</x:v>
      </x:c>
      <x:c r="B285" s="2">
        <x:v>11412</x:v>
      </x:c>
      <x:c r="C285" s="2">
        <x:v>12063</x:v>
      </x:c>
      <x:c r="D285" s="2" t="s">
        <x:v>24</x:v>
      </x:c>
      <x:c r="E285" s="2">
        <x:v>39</x:v>
      </x:c>
      <x:c r="F285" s="2">
        <x:v>240</x:v>
      </x:c>
      <x:c r="G285" s="3">
        <x:v>6274.3294100822004</x:v>
      </x:c>
      <x:c r="H285" s="3">
        <x:v>1505839.0584197282</x:v>
      </x:c>
    </x:row>
    <x:row r="286">
      <x:c r="A286" s="2" t="s">
        <x:v>28</x:v>
      </x:c>
      <x:c r="B286" s="2">
        <x:v>11413</x:v>
      </x:c>
      <x:c r="C286" s="2">
        <x:v>12064</x:v>
      </x:c>
      <x:c r="D286" s="2" t="s">
        <x:v>24</x:v>
      </x:c>
      <x:c r="E286" s="2">
        <x:v>35</x:v>
      </x:c>
      <x:c r="F286" s="2">
        <x:v>240</x:v>
      </x:c>
      <x:c r="G286" s="3">
        <x:v>6274.3294100822004</x:v>
      </x:c>
      <x:c r="H286" s="3">
        <x:v>1505839.0584197282</x:v>
      </x:c>
    </x:row>
    <x:row r="287">
      <x:c r="A287" s="2" t="s">
        <x:v>28</x:v>
      </x:c>
      <x:c r="B287" s="2">
        <x:v>11414</x:v>
      </x:c>
      <x:c r="C287" s="2">
        <x:v>12065</x:v>
      </x:c>
      <x:c r="D287" s="2" t="s">
        <x:v>24</x:v>
      </x:c>
      <x:c r="E287" s="2">
        <x:v>40</x:v>
      </x:c>
      <x:c r="F287" s="2">
        <x:v>240</x:v>
      </x:c>
      <x:c r="G287" s="3">
        <x:v>6274.3294100822004</x:v>
      </x:c>
      <x:c r="H287" s="3">
        <x:v>1505839.0584197282</x:v>
      </x:c>
    </x:row>
    <x:row r="288">
      <x:c r="A288" s="2" t="s">
        <x:v>28</x:v>
      </x:c>
      <x:c r="B288" s="2">
        <x:v>11415</x:v>
      </x:c>
      <x:c r="C288" s="2">
        <x:v>12066</x:v>
      </x:c>
      <x:c r="D288" s="2" t="s">
        <x:v>24</x:v>
      </x:c>
      <x:c r="E288" s="2">
        <x:v>42</x:v>
      </x:c>
      <x:c r="F288" s="2">
        <x:v>240</x:v>
      </x:c>
      <x:c r="G288" s="3">
        <x:v>6274.3294100822004</x:v>
      </x:c>
      <x:c r="H288" s="3">
        <x:v>1505839.0584197282</x:v>
      </x:c>
    </x:row>
    <x:row r="289">
      <x:c r="A289" s="2" t="s">
        <x:v>28</x:v>
      </x:c>
      <x:c r="B289" s="2">
        <x:v>11416</x:v>
      </x:c>
      <x:c r="C289" s="2">
        <x:v>12067</x:v>
      </x:c>
      <x:c r="D289" s="2" t="s">
        <x:v>24</x:v>
      </x:c>
      <x:c r="E289" s="2">
        <x:v>36</x:v>
      </x:c>
      <x:c r="F289" s="2">
        <x:v>240</x:v>
      </x:c>
      <x:c r="G289" s="3">
        <x:v>6274.3294100822004</x:v>
      </x:c>
      <x:c r="H289" s="3">
        <x:v>1505839.0584197282</x:v>
      </x:c>
    </x:row>
    <x:row r="290">
      <x:c r="A290" s="2" t="s">
        <x:v>28</x:v>
      </x:c>
      <x:c r="B290" s="2">
        <x:v>11417</x:v>
      </x:c>
      <x:c r="C290" s="2">
        <x:v>12068</x:v>
      </x:c>
      <x:c r="D290" s="2" t="s">
        <x:v>24</x:v>
      </x:c>
      <x:c r="E290" s="2">
        <x:v>34</x:v>
      </x:c>
      <x:c r="F290" s="2">
        <x:v>240</x:v>
      </x:c>
      <x:c r="G290" s="3">
        <x:v>6274.3294100822004</x:v>
      </x:c>
      <x:c r="H290" s="3">
        <x:v>1505839.0584197282</x:v>
      </x:c>
    </x:row>
    <x:row r="291">
      <x:c r="A291" s="2" t="s">
        <x:v>28</x:v>
      </x:c>
      <x:c r="B291" s="2">
        <x:v>11418</x:v>
      </x:c>
      <x:c r="C291" s="2">
        <x:v>12069</x:v>
      </x:c>
      <x:c r="D291" s="2" t="s">
        <x:v>24</x:v>
      </x:c>
      <x:c r="E291" s="2">
        <x:v>37</x:v>
      </x:c>
      <x:c r="F291" s="2">
        <x:v>240</x:v>
      </x:c>
      <x:c r="G291" s="3">
        <x:v>6274.3294100822004</x:v>
      </x:c>
      <x:c r="H291" s="3">
        <x:v>1505839.0584197282</x:v>
      </x:c>
    </x:row>
    <x:row r="292">
      <x:c r="A292" s="2" t="s">
        <x:v>28</x:v>
      </x:c>
      <x:c r="B292" s="2">
        <x:v>11419</x:v>
      </x:c>
      <x:c r="C292" s="2">
        <x:v>12070</x:v>
      </x:c>
      <x:c r="D292" s="2" t="s">
        <x:v>24</x:v>
      </x:c>
      <x:c r="E292" s="2">
        <x:v>39</x:v>
      </x:c>
      <x:c r="F292" s="2">
        <x:v>240</x:v>
      </x:c>
      <x:c r="G292" s="3">
        <x:v>6274.3294100822004</x:v>
      </x:c>
      <x:c r="H292" s="3">
        <x:v>1505839.0584197282</x:v>
      </x:c>
    </x:row>
    <x:row r="293">
      <x:c r="A293" s="2" t="s">
        <x:v>28</x:v>
      </x:c>
      <x:c r="B293" s="2">
        <x:v>11420</x:v>
      </x:c>
      <x:c r="C293" s="2">
        <x:v>12071</x:v>
      </x:c>
      <x:c r="D293" s="2" t="s">
        <x:v>24</x:v>
      </x:c>
      <x:c r="E293" s="2">
        <x:v>41</x:v>
      </x:c>
      <x:c r="F293" s="2">
        <x:v>240</x:v>
      </x:c>
      <x:c r="G293" s="3">
        <x:v>6274.3294100822004</x:v>
      </x:c>
      <x:c r="H293" s="3">
        <x:v>1505839.0584197282</x:v>
      </x:c>
    </x:row>
    <x:row r="294">
      <x:c r="A294" s="2" t="s">
        <x:v>28</x:v>
      </x:c>
      <x:c r="B294" s="2">
        <x:v>11421</x:v>
      </x:c>
      <x:c r="C294" s="2">
        <x:v>12072</x:v>
      </x:c>
      <x:c r="D294" s="2" t="s">
        <x:v>24</x:v>
      </x:c>
      <x:c r="E294" s="2">
        <x:v>37</x:v>
      </x:c>
      <x:c r="F294" s="2">
        <x:v>240</x:v>
      </x:c>
      <x:c r="G294" s="3">
        <x:v>6274.3294100822004</x:v>
      </x:c>
      <x:c r="H294" s="3">
        <x:v>1505839.0584197282</x:v>
      </x:c>
    </x:row>
    <x:row r="295">
      <x:c r="A295" s="2" t="s">
        <x:v>28</x:v>
      </x:c>
      <x:c r="B295" s="2">
        <x:v>11422</x:v>
      </x:c>
      <x:c r="C295" s="2">
        <x:v>12073</x:v>
      </x:c>
      <x:c r="D295" s="2" t="s">
        <x:v>24</x:v>
      </x:c>
      <x:c r="E295" s="2">
        <x:v>38</x:v>
      </x:c>
      <x:c r="F295" s="2">
        <x:v>240</x:v>
      </x:c>
      <x:c r="G295" s="3">
        <x:v>6274.3294100822004</x:v>
      </x:c>
      <x:c r="H295" s="3">
        <x:v>1505839.0584197282</x:v>
      </x:c>
    </x:row>
    <x:row r="296">
      <x:c r="A296" s="2" t="s">
        <x:v>28</x:v>
      </x:c>
      <x:c r="B296" s="2">
        <x:v>11423</x:v>
      </x:c>
      <x:c r="C296" s="2">
        <x:v>12074</x:v>
      </x:c>
      <x:c r="D296" s="2" t="s">
        <x:v>24</x:v>
      </x:c>
      <x:c r="E296" s="2">
        <x:v>39</x:v>
      </x:c>
      <x:c r="F296" s="2">
        <x:v>240</x:v>
      </x:c>
      <x:c r="G296" s="3">
        <x:v>6274.3294100822004</x:v>
      </x:c>
      <x:c r="H296" s="3">
        <x:v>1505839.0584197282</x:v>
      </x:c>
    </x:row>
    <x:row r="297">
      <x:c r="A297" s="2" t="s">
        <x:v>28</x:v>
      </x:c>
      <x:c r="B297" s="2">
        <x:v>11424</x:v>
      </x:c>
      <x:c r="C297" s="2">
        <x:v>12075</x:v>
      </x:c>
      <x:c r="D297" s="2" t="s">
        <x:v>24</x:v>
      </x:c>
      <x:c r="E297" s="2">
        <x:v>38</x:v>
      </x:c>
      <x:c r="F297" s="2">
        <x:v>240</x:v>
      </x:c>
      <x:c r="G297" s="3">
        <x:v>6274.3294100822004</x:v>
      </x:c>
      <x:c r="H297" s="3">
        <x:v>1505839.0584197282</x:v>
      </x:c>
    </x:row>
    <x:row r="298">
      <x:c r="A298" s="2" t="s">
        <x:v>28</x:v>
      </x:c>
      <x:c r="B298" s="2">
        <x:v>11425</x:v>
      </x:c>
      <x:c r="C298" s="2">
        <x:v>12076</x:v>
      </x:c>
      <x:c r="D298" s="2" t="s">
        <x:v>24</x:v>
      </x:c>
      <x:c r="E298" s="2">
        <x:v>35</x:v>
      </x:c>
      <x:c r="F298" s="2">
        <x:v>240</x:v>
      </x:c>
      <x:c r="G298" s="3">
        <x:v>6274.3294100822004</x:v>
      </x:c>
      <x:c r="H298" s="3">
        <x:v>1505839.0584197282</x:v>
      </x:c>
    </x:row>
    <x:row r="299">
      <x:c r="A299" s="2" t="s">
        <x:v>28</x:v>
      </x:c>
      <x:c r="B299" s="2">
        <x:v>11426</x:v>
      </x:c>
      <x:c r="C299" s="2">
        <x:v>12077</x:v>
      </x:c>
      <x:c r="D299" s="2" t="s">
        <x:v>24</x:v>
      </x:c>
      <x:c r="E299" s="2">
        <x:v>40</x:v>
      </x:c>
      <x:c r="F299" s="2">
        <x:v>240</x:v>
      </x:c>
      <x:c r="G299" s="3">
        <x:v>6274.3294100822004</x:v>
      </x:c>
      <x:c r="H299" s="3">
        <x:v>1505839.0584197282</x:v>
      </x:c>
    </x:row>
    <x:row r="300">
      <x:c r="A300" s="2" t="s">
        <x:v>28</x:v>
      </x:c>
      <x:c r="B300" s="2">
        <x:v>11427</x:v>
      </x:c>
      <x:c r="C300" s="2">
        <x:v>12078</x:v>
      </x:c>
      <x:c r="D300" s="2" t="s">
        <x:v>24</x:v>
      </x:c>
      <x:c r="E300" s="2">
        <x:v>38</x:v>
      </x:c>
      <x:c r="F300" s="2">
        <x:v>240</x:v>
      </x:c>
      <x:c r="G300" s="3">
        <x:v>6274.3294100822004</x:v>
      </x:c>
      <x:c r="H300" s="3">
        <x:v>1505839.0584197282</x:v>
      </x:c>
    </x:row>
    <x:row r="301">
      <x:c r="A301" s="2" t="s">
        <x:v>28</x:v>
      </x:c>
      <x:c r="B301" s="2">
        <x:v>11428</x:v>
      </x:c>
      <x:c r="C301" s="2">
        <x:v>12079</x:v>
      </x:c>
      <x:c r="D301" s="2" t="s">
        <x:v>24</x:v>
      </x:c>
      <x:c r="E301" s="2">
        <x:v>41</x:v>
      </x:c>
      <x:c r="F301" s="2">
        <x:v>240</x:v>
      </x:c>
      <x:c r="G301" s="3">
        <x:v>6274.3294100822004</x:v>
      </x:c>
      <x:c r="H301" s="3">
        <x:v>1505839.0584197282</x:v>
      </x:c>
    </x:row>
    <x:row r="302">
      <x:c r="A302" s="2" t="s">
        <x:v>28</x:v>
      </x:c>
      <x:c r="B302" s="2">
        <x:v>11429</x:v>
      </x:c>
      <x:c r="C302" s="2">
        <x:v>12080</x:v>
      </x:c>
      <x:c r="D302" s="2" t="s">
        <x:v>24</x:v>
      </x:c>
      <x:c r="E302" s="2">
        <x:v>39</x:v>
      </x:c>
      <x:c r="F302" s="2">
        <x:v>240</x:v>
      </x:c>
      <x:c r="G302" s="3">
        <x:v>6274.3294100822004</x:v>
      </x:c>
      <x:c r="H302" s="3">
        <x:v>1505839.0584197282</x:v>
      </x:c>
    </x:row>
    <x:row r="303">
      <x:c r="A303" s="2" t="s">
        <x:v>28</x:v>
      </x:c>
      <x:c r="B303" s="2">
        <x:v>11430</x:v>
      </x:c>
      <x:c r="C303" s="2">
        <x:v>12081</x:v>
      </x:c>
      <x:c r="D303" s="2" t="s">
        <x:v>24</x:v>
      </x:c>
      <x:c r="E303" s="2">
        <x:v>40</x:v>
      </x:c>
      <x:c r="F303" s="2">
        <x:v>240</x:v>
      </x:c>
      <x:c r="G303" s="3">
        <x:v>6274.3294100822004</x:v>
      </x:c>
      <x:c r="H303" s="3">
        <x:v>1505839.0584197282</x:v>
      </x:c>
    </x:row>
    <x:row r="304">
      <x:c r="A304" s="2" t="s">
        <x:v>28</x:v>
      </x:c>
      <x:c r="B304" s="2">
        <x:v>11431</x:v>
      </x:c>
      <x:c r="C304" s="2">
        <x:v>12082</x:v>
      </x:c>
      <x:c r="D304" s="2" t="s">
        <x:v>24</x:v>
      </x:c>
      <x:c r="E304" s="2">
        <x:v>39</x:v>
      </x:c>
      <x:c r="F304" s="2">
        <x:v>240</x:v>
      </x:c>
      <x:c r="G304" s="3">
        <x:v>6274.3294100822004</x:v>
      </x:c>
      <x:c r="H304" s="3">
        <x:v>1505839.0584197282</x:v>
      </x:c>
    </x:row>
    <x:row r="305">
      <x:c r="A305" s="2" t="s">
        <x:v>28</x:v>
      </x:c>
      <x:c r="B305" s="2">
        <x:v>11432</x:v>
      </x:c>
      <x:c r="C305" s="2">
        <x:v>12083</x:v>
      </x:c>
      <x:c r="D305" s="2" t="s">
        <x:v>23</x:v>
      </x:c>
      <x:c r="E305" s="2">
        <x:v>31</x:v>
      </x:c>
      <x:c r="F305" s="2">
        <x:v>218</x:v>
      </x:c>
      <x:c r="G305" s="3">
        <x:v>6274.3294100822004</x:v>
      </x:c>
      <x:c r="H305" s="3">
        <x:v>1367803.8113979197</x:v>
      </x:c>
    </x:row>
    <x:row r="306">
      <x:c r="A306" s="2" t="s">
        <x:v>28</x:v>
      </x:c>
      <x:c r="B306" s="2">
        <x:v>11433</x:v>
      </x:c>
      <x:c r="C306" s="2">
        <x:v>12084</x:v>
      </x:c>
      <x:c r="D306" s="2" t="s">
        <x:v>25</x:v>
      </x:c>
      <x:c r="E306" s="2">
        <x:v>45</x:v>
      </x:c>
      <x:c r="F306" s="2">
        <x:v>240</x:v>
      </x:c>
      <x:c r="G306" s="3">
        <x:v>6274.3294100822004</x:v>
      </x:c>
      <x:c r="H306" s="3">
        <x:v>1505839.0584197282</x:v>
      </x:c>
    </x:row>
    <x:row r="307">
      <x:c r="A307" s="2" t="s">
        <x:v>28</x:v>
      </x:c>
      <x:c r="B307" s="2">
        <x:v>11434</x:v>
      </x:c>
      <x:c r="C307" s="2">
        <x:v>12085</x:v>
      </x:c>
      <x:c r="D307" s="2" t="s">
        <x:v>10</x:v>
      </x:c>
      <x:c r="E307" s="2">
        <x:v>0</x:v>
      </x:c>
      <x:c r="F307" s="2">
        <x:v>120</x:v>
      </x:c>
      <x:c r="G307" s="3">
        <x:v>6274.3294100822004</x:v>
      </x:c>
      <x:c r="H307" s="3">
        <x:v>752919.52920986409</x:v>
      </x:c>
    </x:row>
    <x:row r="308">
      <x:c r="A308" s="2" t="s">
        <x:v>28</x:v>
      </x:c>
      <x:c r="B308" s="2">
        <x:v>11435</x:v>
      </x:c>
      <x:c r="C308" s="2">
        <x:v>12086</x:v>
      </x:c>
      <x:c r="D308" s="2" t="s">
        <x:v>5</x:v>
      </x:c>
      <x:c r="E308" s="2">
        <x:v>0</x:v>
      </x:c>
      <x:c r="F308" s="2">
        <x:v>300</x:v>
      </x:c>
      <x:c r="G308" s="3">
        <x:v>6274.3294100822004</x:v>
      </x:c>
      <x:c r="H308" s="3">
        <x:v>1882298.8230246601</x:v>
      </x:c>
    </x:row>
    <x:row r="309">
      <x:c r="A309" s="2" t="s">
        <x:v>31</x:v>
      </x:c>
      <x:c r="B309" s="2">
        <x:v>6828</x:v>
      </x:c>
      <x:c r="C309" s="2">
        <x:v>11753</x:v>
      </x:c>
      <x:c r="D309" s="2" t="s">
        <x:v>24</x:v>
      </x:c>
      <x:c r="E309" s="2">
        <x:v>30</x:v>
      </x:c>
      <x:c r="F309" s="2">
        <x:v>240</x:v>
      </x:c>
      <x:c r="G309" s="3">
        <x:v>7272.3829248029997</x:v>
      </x:c>
      <x:c r="H309" s="3">
        <x:v>1745371.90195272</x:v>
      </x:c>
    </x:row>
    <x:row r="310">
      <x:c r="A310" s="2" t="s">
        <x:v>31</x:v>
      </x:c>
      <x:c r="B310" s="2">
        <x:v>10630</x:v>
      </x:c>
      <x:c r="C310" s="2">
        <x:v>11754</x:v>
      </x:c>
      <x:c r="D310" s="2" t="s">
        <x:v>32</x:v>
      </x:c>
      <x:c r="E310" s="2">
        <x:v>30</x:v>
      </x:c>
      <x:c r="F310" s="2">
        <x:v>240</x:v>
      </x:c>
      <x:c r="G310" s="3">
        <x:v>5691.0353520252002</x:v>
      </x:c>
      <x:c r="H310" s="3">
        <x:v>1365848.4844860481</x:v>
      </x:c>
    </x:row>
    <x:row r="311">
      <x:c r="A311" s="2" t="s">
        <x:v>31</x:v>
      </x:c>
      <x:c r="B311" s="2">
        <x:v>10631</x:v>
      </x:c>
      <x:c r="C311" s="2">
        <x:v>11755</x:v>
      </x:c>
      <x:c r="D311" s="2" t="s">
        <x:v>32</x:v>
      </x:c>
      <x:c r="E311" s="2">
        <x:v>28</x:v>
      </x:c>
      <x:c r="F311" s="2">
        <x:v>240</x:v>
      </x:c>
      <x:c r="G311" s="3">
        <x:v>5691.0353520252002</x:v>
      </x:c>
      <x:c r="H311" s="3">
        <x:v>1365848.4844860481</x:v>
      </x:c>
    </x:row>
    <x:row r="312">
      <x:c r="A312" s="2" t="s">
        <x:v>31</x:v>
      </x:c>
      <x:c r="B312" s="2">
        <x:v>10632</x:v>
      </x:c>
      <x:c r="C312" s="2">
        <x:v>11756</x:v>
      </x:c>
      <x:c r="D312" s="2" t="s">
        <x:v>32</x:v>
      </x:c>
      <x:c r="E312" s="2">
        <x:v>29</x:v>
      </x:c>
      <x:c r="F312" s="2">
        <x:v>240</x:v>
      </x:c>
      <x:c r="G312" s="3">
        <x:v>5691.0353520252002</x:v>
      </x:c>
      <x:c r="H312" s="3">
        <x:v>1365848.4844860481</x:v>
      </x:c>
    </x:row>
    <x:row r="313">
      <x:c r="A313" s="2" t="s">
        <x:v>31</x:v>
      </x:c>
      <x:c r="B313" s="2">
        <x:v>10633</x:v>
      </x:c>
      <x:c r="C313" s="2">
        <x:v>11757</x:v>
      </x:c>
      <x:c r="D313" s="2" t="s">
        <x:v>32</x:v>
      </x:c>
      <x:c r="E313" s="2">
        <x:v>30</x:v>
      </x:c>
      <x:c r="F313" s="2">
        <x:v>240</x:v>
      </x:c>
      <x:c r="G313" s="3">
        <x:v>5691.0353520252002</x:v>
      </x:c>
      <x:c r="H313" s="3">
        <x:v>1365848.4844860481</x:v>
      </x:c>
    </x:row>
    <x:row r="314">
      <x:c r="A314" s="2" t="s">
        <x:v>31</x:v>
      </x:c>
      <x:c r="B314" s="2">
        <x:v>10634</x:v>
      </x:c>
      <x:c r="C314" s="2">
        <x:v>11758</x:v>
      </x:c>
      <x:c r="D314" s="2" t="s">
        <x:v>32</x:v>
      </x:c>
      <x:c r="E314" s="2">
        <x:v>25</x:v>
      </x:c>
      <x:c r="F314" s="2">
        <x:v>240</x:v>
      </x:c>
      <x:c r="G314" s="3">
        <x:v>5691.0353520252002</x:v>
      </x:c>
      <x:c r="H314" s="3">
        <x:v>1365848.4844860481</x:v>
      </x:c>
    </x:row>
    <x:row r="315">
      <x:c r="A315" s="2" t="s">
        <x:v>31</x:v>
      </x:c>
      <x:c r="B315" s="2">
        <x:v>10635</x:v>
      </x:c>
      <x:c r="C315" s="2">
        <x:v>11759</x:v>
      </x:c>
      <x:c r="D315" s="2" t="s">
        <x:v>32</x:v>
      </x:c>
      <x:c r="E315" s="2">
        <x:v>26</x:v>
      </x:c>
      <x:c r="F315" s="2">
        <x:v>240</x:v>
      </x:c>
      <x:c r="G315" s="3">
        <x:v>5691.0353520252002</x:v>
      </x:c>
      <x:c r="H315" s="3">
        <x:v>1365848.4844860481</x:v>
      </x:c>
    </x:row>
    <x:row r="316">
      <x:c r="A316" s="2" t="s">
        <x:v>31</x:v>
      </x:c>
      <x:c r="B316" s="2">
        <x:v>10636</x:v>
      </x:c>
      <x:c r="C316" s="2">
        <x:v>11760</x:v>
      </x:c>
      <x:c r="D316" s="2" t="s">
        <x:v>32</x:v>
      </x:c>
      <x:c r="E316" s="2">
        <x:v>28</x:v>
      </x:c>
      <x:c r="F316" s="2">
        <x:v>240</x:v>
      </x:c>
      <x:c r="G316" s="3">
        <x:v>5691.0353520252002</x:v>
      </x:c>
      <x:c r="H316" s="3">
        <x:v>1365848.4844860481</x:v>
      </x:c>
    </x:row>
    <x:row r="317">
      <x:c r="A317" s="2" t="s">
        <x:v>31</x:v>
      </x:c>
      <x:c r="B317" s="2">
        <x:v>10637</x:v>
      </x:c>
      <x:c r="C317" s="2">
        <x:v>11761</x:v>
      </x:c>
      <x:c r="D317" s="2" t="s">
        <x:v>32</x:v>
      </x:c>
      <x:c r="E317" s="2">
        <x:v>21</x:v>
      </x:c>
      <x:c r="F317" s="2">
        <x:v>240</x:v>
      </x:c>
      <x:c r="G317" s="3">
        <x:v>5691.0353520252002</x:v>
      </x:c>
      <x:c r="H317" s="3">
        <x:v>1365848.4844860481</x:v>
      </x:c>
    </x:row>
    <x:row r="318">
      <x:c r="A318" s="2" t="s">
        <x:v>31</x:v>
      </x:c>
      <x:c r="B318" s="2">
        <x:v>10638</x:v>
      </x:c>
      <x:c r="C318" s="2">
        <x:v>11762</x:v>
      </x:c>
      <x:c r="D318" s="2" t="s">
        <x:v>32</x:v>
      </x:c>
      <x:c r="E318" s="2">
        <x:v>29</x:v>
      </x:c>
      <x:c r="F318" s="2">
        <x:v>240</x:v>
      </x:c>
      <x:c r="G318" s="3">
        <x:v>5691.0353520252002</x:v>
      </x:c>
      <x:c r="H318" s="3">
        <x:v>1365848.4844860481</x:v>
      </x:c>
    </x:row>
    <x:row r="319">
      <x:c r="A319" s="2" t="s">
        <x:v>31</x:v>
      </x:c>
      <x:c r="B319" s="2">
        <x:v>10639</x:v>
      </x:c>
      <x:c r="C319" s="2">
        <x:v>11763</x:v>
      </x:c>
      <x:c r="D319" s="2" t="s">
        <x:v>32</x:v>
      </x:c>
      <x:c r="E319" s="2">
        <x:v>21</x:v>
      </x:c>
      <x:c r="F319" s="2">
        <x:v>240</x:v>
      </x:c>
      <x:c r="G319" s="3">
        <x:v>5691.0353520252002</x:v>
      </x:c>
      <x:c r="H319" s="3">
        <x:v>1365848.4844860481</x:v>
      </x:c>
    </x:row>
    <x:row r="320">
      <x:c r="A320" s="2" t="s">
        <x:v>31</x:v>
      </x:c>
      <x:c r="B320" s="2">
        <x:v>10640</x:v>
      </x:c>
      <x:c r="C320" s="2">
        <x:v>11764</x:v>
      </x:c>
      <x:c r="D320" s="2" t="s">
        <x:v>32</x:v>
      </x:c>
      <x:c r="E320" s="2">
        <x:v>31</x:v>
      </x:c>
      <x:c r="F320" s="2">
        <x:v>240</x:v>
      </x:c>
      <x:c r="G320" s="3">
        <x:v>5691.0353520252002</x:v>
      </x:c>
      <x:c r="H320" s="3">
        <x:v>1365848.4844860481</x:v>
      </x:c>
    </x:row>
    <x:row r="321">
      <x:c r="A321" s="2" t="s">
        <x:v>31</x:v>
      </x:c>
      <x:c r="B321" s="2">
        <x:v>10641</x:v>
      </x:c>
      <x:c r="C321" s="2">
        <x:v>11765</x:v>
      </x:c>
      <x:c r="D321" s="2" t="s">
        <x:v>32</x:v>
      </x:c>
      <x:c r="E321" s="2">
        <x:v>35</x:v>
      </x:c>
      <x:c r="F321" s="2">
        <x:v>240</x:v>
      </x:c>
      <x:c r="G321" s="3">
        <x:v>5691.0353520252002</x:v>
      </x:c>
      <x:c r="H321" s="3">
        <x:v>1365848.4844860481</x:v>
      </x:c>
    </x:row>
    <x:row r="322">
      <x:c r="A322" s="2" t="s">
        <x:v>31</x:v>
      </x:c>
      <x:c r="B322" s="2">
        <x:v>10642</x:v>
      </x:c>
      <x:c r="C322" s="2">
        <x:v>11766</x:v>
      </x:c>
      <x:c r="D322" s="2" t="s">
        <x:v>32</x:v>
      </x:c>
      <x:c r="E322" s="2">
        <x:v>33</x:v>
      </x:c>
      <x:c r="F322" s="2">
        <x:v>240</x:v>
      </x:c>
      <x:c r="G322" s="3">
        <x:v>5691.0353520252002</x:v>
      </x:c>
      <x:c r="H322" s="3">
        <x:v>1365848.4844860481</x:v>
      </x:c>
    </x:row>
    <x:row r="323">
      <x:c r="A323" s="2" t="s">
        <x:v>31</x:v>
      </x:c>
      <x:c r="B323" s="2">
        <x:v>10643</x:v>
      </x:c>
      <x:c r="C323" s="2">
        <x:v>11767</x:v>
      </x:c>
      <x:c r="D323" s="2" t="s">
        <x:v>32</x:v>
      </x:c>
      <x:c r="E323" s="2">
        <x:v>28</x:v>
      </x:c>
      <x:c r="F323" s="2">
        <x:v>240</x:v>
      </x:c>
      <x:c r="G323" s="3">
        <x:v>5691.0353520252002</x:v>
      </x:c>
      <x:c r="H323" s="3">
        <x:v>1365848.4844860481</x:v>
      </x:c>
    </x:row>
    <x:row r="324">
      <x:c r="A324" s="2" t="s">
        <x:v>31</x:v>
      </x:c>
      <x:c r="B324" s="2">
        <x:v>10644</x:v>
      </x:c>
      <x:c r="C324" s="2">
        <x:v>11768</x:v>
      </x:c>
      <x:c r="D324" s="2" t="s">
        <x:v>32</x:v>
      </x:c>
      <x:c r="E324" s="2">
        <x:v>25</x:v>
      </x:c>
      <x:c r="F324" s="2">
        <x:v>240</x:v>
      </x:c>
      <x:c r="G324" s="3">
        <x:v>5691.0353520252002</x:v>
      </x:c>
      <x:c r="H324" s="3">
        <x:v>1365848.4844860481</x:v>
      </x:c>
    </x:row>
    <x:row r="325">
      <x:c r="A325" s="2" t="s">
        <x:v>31</x:v>
      </x:c>
      <x:c r="B325" s="2">
        <x:v>10698</x:v>
      </x:c>
      <x:c r="C325" s="2">
        <x:v>11769</x:v>
      </x:c>
      <x:c r="D325" s="2" t="s">
        <x:v>33</x:v>
      </x:c>
      <x:c r="E325" s="2">
        <x:v>42</x:v>
      </x:c>
      <x:c r="F325" s="2">
        <x:v>240</x:v>
      </x:c>
      <x:c r="G325" s="3">
        <x:v>5691.0353520252002</x:v>
      </x:c>
      <x:c r="H325" s="3">
        <x:v>1365848.4844860481</x:v>
      </x:c>
    </x:row>
    <x:row r="326">
      <x:c r="A326" s="2" t="s">
        <x:v>31</x:v>
      </x:c>
      <x:c r="B326" s="2">
        <x:v>10699</x:v>
      </x:c>
      <x:c r="C326" s="2">
        <x:v>11770</x:v>
      </x:c>
      <x:c r="D326" s="2" t="s">
        <x:v>33</x:v>
      </x:c>
      <x:c r="E326" s="2">
        <x:v>42</x:v>
      </x:c>
      <x:c r="F326" s="2">
        <x:v>240</x:v>
      </x:c>
      <x:c r="G326" s="3">
        <x:v>5691.0353520252002</x:v>
      </x:c>
      <x:c r="H326" s="3">
        <x:v>1365848.4844860481</x:v>
      </x:c>
    </x:row>
    <x:row r="327">
      <x:c r="A327" s="2" t="s">
        <x:v>31</x:v>
      </x:c>
      <x:c r="B327" s="2">
        <x:v>10704</x:v>
      </x:c>
      <x:c r="C327" s="2">
        <x:v>11771</x:v>
      </x:c>
      <x:c r="D327" s="2" t="s">
        <x:v>33</x:v>
      </x:c>
      <x:c r="E327" s="2">
        <x:v>42</x:v>
      </x:c>
      <x:c r="F327" s="2">
        <x:v>240</x:v>
      </x:c>
      <x:c r="G327" s="3">
        <x:v>5691.0353520252002</x:v>
      </x:c>
      <x:c r="H327" s="3">
        <x:v>1365848.4844860481</x:v>
      </x:c>
    </x:row>
    <x:row r="328">
      <x:c r="A328" s="2" t="s">
        <x:v>31</x:v>
      </x:c>
      <x:c r="B328" s="2">
        <x:v>10708</x:v>
      </x:c>
      <x:c r="C328" s="2">
        <x:v>11772</x:v>
      </x:c>
      <x:c r="D328" s="2" t="s">
        <x:v>33</x:v>
      </x:c>
      <x:c r="E328" s="2">
        <x:v>40</x:v>
      </x:c>
      <x:c r="F328" s="2">
        <x:v>240</x:v>
      </x:c>
      <x:c r="G328" s="3">
        <x:v>5691.0353520252002</x:v>
      </x:c>
      <x:c r="H328" s="3">
        <x:v>1365848.4844860481</x:v>
      </x:c>
    </x:row>
    <x:row r="329">
      <x:c r="A329" s="2" t="s">
        <x:v>31</x:v>
      </x:c>
      <x:c r="B329" s="2">
        <x:v>10709</x:v>
      </x:c>
      <x:c r="C329" s="2">
        <x:v>11773</x:v>
      </x:c>
      <x:c r="D329" s="2" t="s">
        <x:v>33</x:v>
      </x:c>
      <x:c r="E329" s="2">
        <x:v>41</x:v>
      </x:c>
      <x:c r="F329" s="2">
        <x:v>240</x:v>
      </x:c>
      <x:c r="G329" s="3">
        <x:v>5691.0353520252002</x:v>
      </x:c>
      <x:c r="H329" s="3">
        <x:v>1365848.4844860481</x:v>
      </x:c>
    </x:row>
    <x:row r="330">
      <x:c r="A330" s="2" t="s">
        <x:v>31</x:v>
      </x:c>
      <x:c r="B330" s="2">
        <x:v>10710</x:v>
      </x:c>
      <x:c r="C330" s="2">
        <x:v>11774</x:v>
      </x:c>
      <x:c r="D330" s="2" t="s">
        <x:v>33</x:v>
      </x:c>
      <x:c r="E330" s="2">
        <x:v>42</x:v>
      </x:c>
      <x:c r="F330" s="2">
        <x:v>240</x:v>
      </x:c>
      <x:c r="G330" s="3">
        <x:v>5691.0353520252002</x:v>
      </x:c>
      <x:c r="H330" s="3">
        <x:v>1365848.4844860481</x:v>
      </x:c>
    </x:row>
    <x:row r="331">
      <x:c r="A331" s="2" t="s">
        <x:v>31</x:v>
      </x:c>
      <x:c r="B331" s="2">
        <x:v>10711</x:v>
      </x:c>
      <x:c r="C331" s="2">
        <x:v>11775</x:v>
      </x:c>
      <x:c r="D331" s="2" t="s">
        <x:v>33</x:v>
      </x:c>
      <x:c r="E331" s="2">
        <x:v>40</x:v>
      </x:c>
      <x:c r="F331" s="2">
        <x:v>240</x:v>
      </x:c>
      <x:c r="G331" s="3">
        <x:v>5691.0353520252002</x:v>
      </x:c>
      <x:c r="H331" s="3">
        <x:v>1365848.4844860481</x:v>
      </x:c>
    </x:row>
    <x:row r="332">
      <x:c r="A332" s="2" t="s">
        <x:v>31</x:v>
      </x:c>
      <x:c r="B332" s="2">
        <x:v>10712</x:v>
      </x:c>
      <x:c r="C332" s="2">
        <x:v>11776</x:v>
      </x:c>
      <x:c r="D332" s="2" t="s">
        <x:v>33</x:v>
      </x:c>
      <x:c r="E332" s="2">
        <x:v>40</x:v>
      </x:c>
      <x:c r="F332" s="2">
        <x:v>240</x:v>
      </x:c>
      <x:c r="G332" s="3">
        <x:v>5691.0353520252002</x:v>
      </x:c>
      <x:c r="H332" s="3">
        <x:v>1365848.4844860481</x:v>
      </x:c>
    </x:row>
    <x:row r="333">
      <x:c r="A333" s="2" t="s">
        <x:v>31</x:v>
      </x:c>
      <x:c r="B333" s="2">
        <x:v>10713</x:v>
      </x:c>
      <x:c r="C333" s="2">
        <x:v>11777</x:v>
      </x:c>
      <x:c r="D333" s="2" t="s">
        <x:v>33</x:v>
      </x:c>
      <x:c r="E333" s="2">
        <x:v>40</x:v>
      </x:c>
      <x:c r="F333" s="2">
        <x:v>240</x:v>
      </x:c>
      <x:c r="G333" s="3">
        <x:v>5691.0353520252002</x:v>
      </x:c>
      <x:c r="H333" s="3">
        <x:v>1365848.4844860481</x:v>
      </x:c>
    </x:row>
    <x:row r="334">
      <x:c r="A334" s="2" t="s">
        <x:v>31</x:v>
      </x:c>
      <x:c r="B334" s="2">
        <x:v>10714</x:v>
      </x:c>
      <x:c r="C334" s="2">
        <x:v>11778</x:v>
      </x:c>
      <x:c r="D334" s="2" t="s">
        <x:v>33</x:v>
      </x:c>
      <x:c r="E334" s="2">
        <x:v>40</x:v>
      </x:c>
      <x:c r="F334" s="2">
        <x:v>240</x:v>
      </x:c>
      <x:c r="G334" s="3">
        <x:v>5691.0353520252002</x:v>
      </x:c>
      <x:c r="H334" s="3">
        <x:v>1365848.4844860481</x:v>
      </x:c>
    </x:row>
    <x:row r="335">
      <x:c r="A335" s="2" t="s">
        <x:v>31</x:v>
      </x:c>
      <x:c r="B335" s="2">
        <x:v>10715</x:v>
      </x:c>
      <x:c r="C335" s="2">
        <x:v>11779</x:v>
      </x:c>
      <x:c r="D335" s="2" t="s">
        <x:v>33</x:v>
      </x:c>
      <x:c r="E335" s="2">
        <x:v>40</x:v>
      </x:c>
      <x:c r="F335" s="2">
        <x:v>240</x:v>
      </x:c>
      <x:c r="G335" s="3">
        <x:v>5691.0353520252002</x:v>
      </x:c>
      <x:c r="H335" s="3">
        <x:v>1365848.4844860481</x:v>
      </x:c>
    </x:row>
    <x:row r="336">
      <x:c r="A336" s="2" t="s">
        <x:v>31</x:v>
      </x:c>
      <x:c r="B336" s="2">
        <x:v>10716</x:v>
      </x:c>
      <x:c r="C336" s="2">
        <x:v>11780</x:v>
      </x:c>
      <x:c r="D336" s="2" t="s">
        <x:v>34</x:v>
      </x:c>
      <x:c r="E336" s="2">
        <x:v>34</x:v>
      </x:c>
      <x:c r="F336" s="2">
        <x:v>240</x:v>
      </x:c>
      <x:c r="G336" s="3">
        <x:v>5691.0353520252002</x:v>
      </x:c>
      <x:c r="H336" s="3">
        <x:v>1365848.4844860481</x:v>
      </x:c>
    </x:row>
    <x:row r="337">
      <x:c r="A337" s="2" t="s">
        <x:v>31</x:v>
      </x:c>
      <x:c r="B337" s="2">
        <x:v>10717</x:v>
      </x:c>
      <x:c r="C337" s="2">
        <x:v>11781</x:v>
      </x:c>
      <x:c r="D337" s="2" t="s">
        <x:v>34</x:v>
      </x:c>
      <x:c r="E337" s="2">
        <x:v>36</x:v>
      </x:c>
      <x:c r="F337" s="2">
        <x:v>240</x:v>
      </x:c>
      <x:c r="G337" s="3">
        <x:v>5691.0353520252002</x:v>
      </x:c>
      <x:c r="H337" s="3">
        <x:v>1365848.4844860481</x:v>
      </x:c>
    </x:row>
    <x:row r="338">
      <x:c r="A338" s="2" t="s">
        <x:v>31</x:v>
      </x:c>
      <x:c r="B338" s="2">
        <x:v>10718</x:v>
      </x:c>
      <x:c r="C338" s="2">
        <x:v>11782</x:v>
      </x:c>
      <x:c r="D338" s="2" t="s">
        <x:v>34</x:v>
      </x:c>
      <x:c r="E338" s="2">
        <x:v>25</x:v>
      </x:c>
      <x:c r="F338" s="2">
        <x:v>150</x:v>
      </x:c>
      <x:c r="G338" s="3">
        <x:v>5691.0353520252002</x:v>
      </x:c>
      <x:c r="H338" s="3">
        <x:v>853655.30280378007</x:v>
      </x:c>
    </x:row>
    <x:row r="339">
      <x:c r="A339" s="2" t="s">
        <x:v>31</x:v>
      </x:c>
      <x:c r="B339" s="2">
        <x:v>10720</x:v>
      </x:c>
      <x:c r="C339" s="2">
        <x:v>11783</x:v>
      </x:c>
      <x:c r="D339" s="2" t="s">
        <x:v>20</x:v>
      </x:c>
      <x:c r="E339" s="2">
        <x:v>52</x:v>
      </x:c>
      <x:c r="F339" s="2">
        <x:v>240</x:v>
      </x:c>
      <x:c r="G339" s="3">
        <x:v>5691.0353520252002</x:v>
      </x:c>
      <x:c r="H339" s="3">
        <x:v>1365848.4844860481</x:v>
      </x:c>
    </x:row>
    <x:row r="340">
      <x:c r="A340" s="2" t="s">
        <x:v>31</x:v>
      </x:c>
      <x:c r="B340" s="2">
        <x:v>10721</x:v>
      </x:c>
      <x:c r="C340" s="2">
        <x:v>11784</x:v>
      </x:c>
      <x:c r="D340" s="2" t="s">
        <x:v>20</x:v>
      </x:c>
      <x:c r="E340" s="2">
        <x:v>49</x:v>
      </x:c>
      <x:c r="F340" s="2">
        <x:v>240</x:v>
      </x:c>
      <x:c r="G340" s="3">
        <x:v>5691.0353520252002</x:v>
      </x:c>
      <x:c r="H340" s="3">
        <x:v>1365848.4844860481</x:v>
      </x:c>
    </x:row>
    <x:row r="341">
      <x:c r="A341" s="2" t="s">
        <x:v>31</x:v>
      </x:c>
      <x:c r="B341" s="2">
        <x:v>10723</x:v>
      </x:c>
      <x:c r="C341" s="2">
        <x:v>11785</x:v>
      </x:c>
      <x:c r="D341" s="2" t="s">
        <x:v>20</x:v>
      </x:c>
      <x:c r="E341" s="2">
        <x:v>44</x:v>
      </x:c>
      <x:c r="F341" s="2">
        <x:v>240</x:v>
      </x:c>
      <x:c r="G341" s="3">
        <x:v>5691.0353520252002</x:v>
      </x:c>
      <x:c r="H341" s="3">
        <x:v>1365848.4844860481</x:v>
      </x:c>
    </x:row>
    <x:row r="342">
      <x:c r="A342" s="2" t="s">
        <x:v>31</x:v>
      </x:c>
      <x:c r="B342" s="2">
        <x:v>10724</x:v>
      </x:c>
      <x:c r="C342" s="2">
        <x:v>11786</x:v>
      </x:c>
      <x:c r="D342" s="2" t="s">
        <x:v>20</x:v>
      </x:c>
      <x:c r="E342" s="2">
        <x:v>45</x:v>
      </x:c>
      <x:c r="F342" s="2">
        <x:v>240</x:v>
      </x:c>
      <x:c r="G342" s="3">
        <x:v>5691.0353520252002</x:v>
      </x:c>
      <x:c r="H342" s="3">
        <x:v>1365848.4844860481</x:v>
      </x:c>
    </x:row>
    <x:row r="343">
      <x:c r="A343" s="2" t="s">
        <x:v>31</x:v>
      </x:c>
      <x:c r="B343" s="2">
        <x:v>10725</x:v>
      </x:c>
      <x:c r="C343" s="2">
        <x:v>11787</x:v>
      </x:c>
      <x:c r="D343" s="2" t="s">
        <x:v>20</x:v>
      </x:c>
      <x:c r="E343" s="2">
        <x:v>46</x:v>
      </x:c>
      <x:c r="F343" s="2">
        <x:v>240</x:v>
      </x:c>
      <x:c r="G343" s="3">
        <x:v>5691.0353520252002</x:v>
      </x:c>
      <x:c r="H343" s="3">
        <x:v>1365848.4844860481</x:v>
      </x:c>
    </x:row>
    <x:row r="344">
      <x:c r="A344" s="2" t="s">
        <x:v>31</x:v>
      </x:c>
      <x:c r="B344" s="2">
        <x:v>10726</x:v>
      </x:c>
      <x:c r="C344" s="2">
        <x:v>11788</x:v>
      </x:c>
      <x:c r="D344" s="2" t="s">
        <x:v>20</x:v>
      </x:c>
      <x:c r="E344" s="2">
        <x:v>47</x:v>
      </x:c>
      <x:c r="F344" s="2">
        <x:v>240</x:v>
      </x:c>
      <x:c r="G344" s="3">
        <x:v>5691.0353520252002</x:v>
      </x:c>
      <x:c r="H344" s="3">
        <x:v>1365848.4844860481</x:v>
      </x:c>
    </x:row>
    <x:row r="345">
      <x:c r="A345" s="2" t="s">
        <x:v>31</x:v>
      </x:c>
      <x:c r="B345" s="2">
        <x:v>10727</x:v>
      </x:c>
      <x:c r="C345" s="2">
        <x:v>11789</x:v>
      </x:c>
      <x:c r="D345" s="2" t="s">
        <x:v>20</x:v>
      </x:c>
      <x:c r="E345" s="2">
        <x:v>47</x:v>
      </x:c>
      <x:c r="F345" s="2">
        <x:v>240</x:v>
      </x:c>
      <x:c r="G345" s="3">
        <x:v>5691.0353520252002</x:v>
      </x:c>
      <x:c r="H345" s="3">
        <x:v>1365848.4844860481</x:v>
      </x:c>
    </x:row>
    <x:row r="346">
      <x:c r="A346" s="2" t="s">
        <x:v>31</x:v>
      </x:c>
      <x:c r="B346" s="2">
        <x:v>10728</x:v>
      </x:c>
      <x:c r="C346" s="2">
        <x:v>11790</x:v>
      </x:c>
      <x:c r="D346" s="2" t="s">
        <x:v>20</x:v>
      </x:c>
      <x:c r="E346" s="2">
        <x:v>45</x:v>
      </x:c>
      <x:c r="F346" s="2">
        <x:v>240</x:v>
      </x:c>
      <x:c r="G346" s="3">
        <x:v>5691.0353520252002</x:v>
      </x:c>
      <x:c r="H346" s="3">
        <x:v>1365848.4844860481</x:v>
      </x:c>
    </x:row>
    <x:row r="347">
      <x:c r="A347" s="2" t="s">
        <x:v>31</x:v>
      </x:c>
      <x:c r="B347" s="2">
        <x:v>10729</x:v>
      </x:c>
      <x:c r="C347" s="2">
        <x:v>11791</x:v>
      </x:c>
      <x:c r="D347" s="2" t="s">
        <x:v>20</x:v>
      </x:c>
      <x:c r="E347" s="2">
        <x:v>42</x:v>
      </x:c>
      <x:c r="F347" s="2">
        <x:v>240</x:v>
      </x:c>
      <x:c r="G347" s="3">
        <x:v>5691.0353520252002</x:v>
      </x:c>
      <x:c r="H347" s="3">
        <x:v>1365848.4844860481</x:v>
      </x:c>
    </x:row>
    <x:row r="348">
      <x:c r="A348" s="2" t="s">
        <x:v>31</x:v>
      </x:c>
      <x:c r="B348" s="2">
        <x:v>10731</x:v>
      </x:c>
      <x:c r="C348" s="2">
        <x:v>11792</x:v>
      </x:c>
      <x:c r="D348" s="2" t="s">
        <x:v>20</x:v>
      </x:c>
      <x:c r="E348" s="2">
        <x:v>46</x:v>
      </x:c>
      <x:c r="F348" s="2">
        <x:v>240</x:v>
      </x:c>
      <x:c r="G348" s="3">
        <x:v>5691.0353520252002</x:v>
      </x:c>
      <x:c r="H348" s="3">
        <x:v>1365848.4844860481</x:v>
      </x:c>
    </x:row>
    <x:row r="349">
      <x:c r="A349" s="2" t="s">
        <x:v>31</x:v>
      </x:c>
      <x:c r="B349" s="2">
        <x:v>10735</x:v>
      </x:c>
      <x:c r="C349" s="2">
        <x:v>11793</x:v>
      </x:c>
      <x:c r="D349" s="2" t="s">
        <x:v>35</x:v>
      </x:c>
      <x:c r="E349" s="2">
        <x:v>58</x:v>
      </x:c>
      <x:c r="F349" s="2">
        <x:v>304</x:v>
      </x:c>
      <x:c r="G349" s="3">
        <x:v>5691.0353520252002</x:v>
      </x:c>
      <x:c r="H349" s="3">
        <x:v>1730074.7470156609</x:v>
      </x:c>
    </x:row>
    <x:row r="350">
      <x:c r="A350" s="2" t="s">
        <x:v>31</x:v>
      </x:c>
      <x:c r="B350" s="2">
        <x:v>10736</x:v>
      </x:c>
      <x:c r="C350" s="2">
        <x:v>11794</x:v>
      </x:c>
      <x:c r="D350" s="2" t="s">
        <x:v>36</x:v>
      </x:c>
      <x:c r="E350" s="2">
        <x:v>40</x:v>
      </x:c>
      <x:c r="F350" s="2">
        <x:v>280</x:v>
      </x:c>
      <x:c r="G350" s="3">
        <x:v>5691.0353520252002</x:v>
      </x:c>
      <x:c r="H350" s="3">
        <x:v>1593489.8985670561</x:v>
      </x:c>
    </x:row>
    <x:row r="351">
      <x:c r="A351" s="2" t="s">
        <x:v>31</x:v>
      </x:c>
      <x:c r="B351" s="2">
        <x:v>10737</x:v>
      </x:c>
      <x:c r="C351" s="2">
        <x:v>11795</x:v>
      </x:c>
      <x:c r="D351" s="2" t="s">
        <x:v>36</x:v>
      </x:c>
      <x:c r="E351" s="2">
        <x:v>40</x:v>
      </x:c>
      <x:c r="F351" s="2">
        <x:v>240</x:v>
      </x:c>
      <x:c r="G351" s="3">
        <x:v>5691.0353520252002</x:v>
      </x:c>
      <x:c r="H351" s="3">
        <x:v>1365848.4844860481</x:v>
      </x:c>
    </x:row>
    <x:row r="352">
      <x:c r="A352" s="2" t="s">
        <x:v>31</x:v>
      </x:c>
      <x:c r="B352" s="2">
        <x:v>10738</x:v>
      </x:c>
      <x:c r="C352" s="2">
        <x:v>11796</x:v>
      </x:c>
      <x:c r="D352" s="2" t="s">
        <x:v>36</x:v>
      </x:c>
      <x:c r="E352" s="2">
        <x:v>43</x:v>
      </x:c>
      <x:c r="F352" s="2">
        <x:v>240</x:v>
      </x:c>
      <x:c r="G352" s="3">
        <x:v>5691.0353520252002</x:v>
      </x:c>
      <x:c r="H352" s="3">
        <x:v>1365848.4844860481</x:v>
      </x:c>
    </x:row>
    <x:row r="353">
      <x:c r="A353" s="2" t="s">
        <x:v>31</x:v>
      </x:c>
      <x:c r="B353" s="2">
        <x:v>10739</x:v>
      </x:c>
      <x:c r="C353" s="2">
        <x:v>11797</x:v>
      </x:c>
      <x:c r="D353" s="2" t="s">
        <x:v>36</x:v>
      </x:c>
      <x:c r="E353" s="2">
        <x:v>40</x:v>
      </x:c>
      <x:c r="F353" s="2">
        <x:v>240</x:v>
      </x:c>
      <x:c r="G353" s="3">
        <x:v>5691.0353520252002</x:v>
      </x:c>
      <x:c r="H353" s="3">
        <x:v>1365848.4844860481</x:v>
      </x:c>
    </x:row>
    <x:row r="354">
      <x:c r="A354" s="2" t="s">
        <x:v>31</x:v>
      </x:c>
      <x:c r="B354" s="2">
        <x:v>10740</x:v>
      </x:c>
      <x:c r="C354" s="2">
        <x:v>11798</x:v>
      </x:c>
      <x:c r="D354" s="2" t="s">
        <x:v>36</x:v>
      </x:c>
      <x:c r="E354" s="2">
        <x:v>36</x:v>
      </x:c>
      <x:c r="F354" s="2">
        <x:v>240</x:v>
      </x:c>
      <x:c r="G354" s="3">
        <x:v>5691.0353520252002</x:v>
      </x:c>
      <x:c r="H354" s="3">
        <x:v>1365848.4844860481</x:v>
      </x:c>
    </x:row>
    <x:row r="355">
      <x:c r="A355" s="2" t="s">
        <x:v>31</x:v>
      </x:c>
      <x:c r="B355" s="2">
        <x:v>10741</x:v>
      </x:c>
      <x:c r="C355" s="2">
        <x:v>11799</x:v>
      </x:c>
      <x:c r="D355" s="2" t="s">
        <x:v>26</x:v>
      </x:c>
      <x:c r="E355" s="2">
        <x:v>0</x:v>
      </x:c>
      <x:c r="F355" s="2">
        <x:v>329</x:v>
      </x:c>
      <x:c r="G355" s="3">
        <x:v>5691.0353520252002</x:v>
      </x:c>
      <x:c r="H355" s="3">
        <x:v>1872350.6308162909</x:v>
      </x:c>
    </x:row>
    <x:row r="356">
      <x:c r="A356" s="2" t="s">
        <x:v>31</x:v>
      </x:c>
      <x:c r="B356" s="2">
        <x:v>10742</x:v>
      </x:c>
      <x:c r="C356" s="2">
        <x:v>11800</x:v>
      </x:c>
      <x:c r="D356" s="2" t="s">
        <x:v>26</x:v>
      </x:c>
      <x:c r="E356" s="2">
        <x:v>0</x:v>
      </x:c>
      <x:c r="F356" s="2">
        <x:v>240</x:v>
      </x:c>
      <x:c r="G356" s="3">
        <x:v>5691.0353520252002</x:v>
      </x:c>
      <x:c r="H356" s="3">
        <x:v>1365848.4844860481</x:v>
      </x:c>
    </x:row>
    <x:row r="357">
      <x:c r="A357" s="2" t="s">
        <x:v>31</x:v>
      </x:c>
      <x:c r="B357" s="2">
        <x:v>10743</x:v>
      </x:c>
      <x:c r="C357" s="2">
        <x:v>11801</x:v>
      </x:c>
      <x:c r="D357" s="2" t="s">
        <x:v>26</x:v>
      </x:c>
      <x:c r="E357" s="2">
        <x:v>0</x:v>
      </x:c>
      <x:c r="F357" s="2">
        <x:v>240</x:v>
      </x:c>
      <x:c r="G357" s="3">
        <x:v>5691.0353520252002</x:v>
      </x:c>
      <x:c r="H357" s="3">
        <x:v>1365848.4844860481</x:v>
      </x:c>
    </x:row>
    <x:row r="358">
      <x:c r="A358" s="2" t="s">
        <x:v>31</x:v>
      </x:c>
      <x:c r="B358" s="2">
        <x:v>10744</x:v>
      </x:c>
      <x:c r="C358" s="2">
        <x:v>11802</x:v>
      </x:c>
      <x:c r="D358" s="2" t="s">
        <x:v>26</x:v>
      </x:c>
      <x:c r="E358" s="2">
        <x:v>0</x:v>
      </x:c>
      <x:c r="F358" s="2">
        <x:v>240</x:v>
      </x:c>
      <x:c r="G358" s="3">
        <x:v>5691.0353520252002</x:v>
      </x:c>
      <x:c r="H358" s="3">
        <x:v>1365848.4844860481</x:v>
      </x:c>
    </x:row>
    <x:row r="359">
      <x:c r="A359" s="2" t="s">
        <x:v>31</x:v>
      </x:c>
      <x:c r="B359" s="2">
        <x:v>10745</x:v>
      </x:c>
      <x:c r="C359" s="2">
        <x:v>11803</x:v>
      </x:c>
      <x:c r="D359" s="2" t="s">
        <x:v>26</x:v>
      </x:c>
      <x:c r="E359" s="2">
        <x:v>0</x:v>
      </x:c>
      <x:c r="F359" s="2">
        <x:v>240</x:v>
      </x:c>
      <x:c r="G359" s="3">
        <x:v>5691.0353520252002</x:v>
      </x:c>
      <x:c r="H359" s="3">
        <x:v>1365848.4844860481</x:v>
      </x:c>
    </x:row>
    <x:row r="360">
      <x:c r="A360" s="2" t="s">
        <x:v>31</x:v>
      </x:c>
      <x:c r="B360" s="2">
        <x:v>10746</x:v>
      </x:c>
      <x:c r="C360" s="2">
        <x:v>11804</x:v>
      </x:c>
      <x:c r="D360" s="2" t="s">
        <x:v>26</x:v>
      </x:c>
      <x:c r="E360" s="2">
        <x:v>0</x:v>
      </x:c>
      <x:c r="F360" s="2">
        <x:v>240</x:v>
      </x:c>
      <x:c r="G360" s="3">
        <x:v>5691.0353520252002</x:v>
      </x:c>
      <x:c r="H360" s="3">
        <x:v>1365848.4844860481</x:v>
      </x:c>
    </x:row>
    <x:row r="361">
      <x:c r="A361" s="2" t="s">
        <x:v>31</x:v>
      </x:c>
      <x:c r="B361" s="2">
        <x:v>10754</x:v>
      </x:c>
      <x:c r="C361" s="2">
        <x:v>11805</x:v>
      </x:c>
      <x:c r="D361" s="2" t="s">
        <x:v>37</x:v>
      </x:c>
      <x:c r="E361" s="2">
        <x:v>42</x:v>
      </x:c>
      <x:c r="F361" s="2">
        <x:v>240</x:v>
      </x:c>
      <x:c r="G361" s="3">
        <x:v>5691.0353520252002</x:v>
      </x:c>
      <x:c r="H361" s="3">
        <x:v>1365848.4844860481</x:v>
      </x:c>
    </x:row>
    <x:row r="362">
      <x:c r="A362" s="2" t="s">
        <x:v>31</x:v>
      </x:c>
      <x:c r="B362" s="2">
        <x:v>10755</x:v>
      </x:c>
      <x:c r="C362" s="2">
        <x:v>11806</x:v>
      </x:c>
      <x:c r="D362" s="2" t="s">
        <x:v>37</x:v>
      </x:c>
      <x:c r="E362" s="2">
        <x:v>41</x:v>
      </x:c>
      <x:c r="F362" s="2">
        <x:v>240</x:v>
      </x:c>
      <x:c r="G362" s="3">
        <x:v>5691.0353520252002</x:v>
      </x:c>
      <x:c r="H362" s="3">
        <x:v>1365848.4844860481</x:v>
      </x:c>
    </x:row>
    <x:row r="363">
      <x:c r="A363" s="2" t="s">
        <x:v>31</x:v>
      </x:c>
      <x:c r="B363" s="2">
        <x:v>10779</x:v>
      </x:c>
      <x:c r="C363" s="2">
        <x:v>11807</x:v>
      </x:c>
      <x:c r="D363" s="2" t="s">
        <x:v>20</x:v>
      </x:c>
      <x:c r="E363" s="2">
        <x:v>50</x:v>
      </x:c>
      <x:c r="F363" s="2">
        <x:v>240</x:v>
      </x:c>
      <x:c r="G363" s="3">
        <x:v>5691.0353520252002</x:v>
      </x:c>
      <x:c r="H363" s="3">
        <x:v>1365848.4844860481</x:v>
      </x:c>
    </x:row>
    <x:row r="364">
      <x:c r="A364" s="2" t="s">
        <x:v>31</x:v>
      </x:c>
      <x:c r="B364" s="2">
        <x:v>10782</x:v>
      </x:c>
      <x:c r="C364" s="2">
        <x:v>11808</x:v>
      </x:c>
      <x:c r="D364" s="2" t="s">
        <x:v>20</x:v>
      </x:c>
      <x:c r="E364" s="2">
        <x:v>52</x:v>
      </x:c>
      <x:c r="F364" s="2">
        <x:v>240</x:v>
      </x:c>
      <x:c r="G364" s="3">
        <x:v>5691.0353520252002</x:v>
      </x:c>
      <x:c r="H364" s="3">
        <x:v>1365848.4844860481</x:v>
      </x:c>
    </x:row>
    <x:row r="365">
      <x:c r="A365" s="2" t="s">
        <x:v>31</x:v>
      </x:c>
      <x:c r="B365" s="2">
        <x:v>11225</x:v>
      </x:c>
      <x:c r="C365" s="2">
        <x:v>11809</x:v>
      </x:c>
      <x:c r="D365" s="2" t="s">
        <x:v>24</x:v>
      </x:c>
      <x:c r="E365" s="2">
        <x:v>37</x:v>
      </x:c>
      <x:c r="F365" s="2">
        <x:v>240</x:v>
      </x:c>
      <x:c r="G365" s="3">
        <x:v>6274.3294100822004</x:v>
      </x:c>
      <x:c r="H365" s="3">
        <x:v>1505839.0584197282</x:v>
      </x:c>
    </x:row>
    <x:row r="366">
      <x:c r="A366" s="2" t="s">
        <x:v>31</x:v>
      </x:c>
      <x:c r="B366" s="2">
        <x:v>11226</x:v>
      </x:c>
      <x:c r="C366" s="2">
        <x:v>11810</x:v>
      </x:c>
      <x:c r="D366" s="2" t="s">
        <x:v>24</x:v>
      </x:c>
      <x:c r="E366" s="2">
        <x:v>35</x:v>
      </x:c>
      <x:c r="F366" s="2">
        <x:v>240</x:v>
      </x:c>
      <x:c r="G366" s="3">
        <x:v>6274.3294100822004</x:v>
      </x:c>
      <x:c r="H366" s="3">
        <x:v>1505839.0584197282</x:v>
      </x:c>
    </x:row>
    <x:row r="367">
      <x:c r="A367" s="2" t="s">
        <x:v>31</x:v>
      </x:c>
      <x:c r="B367" s="2">
        <x:v>11227</x:v>
      </x:c>
      <x:c r="C367" s="2">
        <x:v>11811</x:v>
      </x:c>
      <x:c r="D367" s="2" t="s">
        <x:v>24</x:v>
      </x:c>
      <x:c r="E367" s="2">
        <x:v>40</x:v>
      </x:c>
      <x:c r="F367" s="2">
        <x:v>240</x:v>
      </x:c>
      <x:c r="G367" s="3">
        <x:v>6274.3294100822004</x:v>
      </x:c>
      <x:c r="H367" s="3">
        <x:v>1505839.0584197282</x:v>
      </x:c>
    </x:row>
    <x:row r="368">
      <x:c r="A368" s="2" t="s">
        <x:v>31</x:v>
      </x:c>
      <x:c r="B368" s="2">
        <x:v>11228</x:v>
      </x:c>
      <x:c r="C368" s="2">
        <x:v>11812</x:v>
      </x:c>
      <x:c r="D368" s="2" t="s">
        <x:v>24</x:v>
      </x:c>
      <x:c r="E368" s="2">
        <x:v>36</x:v>
      </x:c>
      <x:c r="F368" s="2">
        <x:v>240</x:v>
      </x:c>
      <x:c r="G368" s="3">
        <x:v>6274.3294100822004</x:v>
      </x:c>
      <x:c r="H368" s="3">
        <x:v>1505839.0584197282</x:v>
      </x:c>
    </x:row>
    <x:row r="369">
      <x:c r="A369" s="2" t="s">
        <x:v>31</x:v>
      </x:c>
      <x:c r="B369" s="2">
        <x:v>11229</x:v>
      </x:c>
      <x:c r="C369" s="2">
        <x:v>11813</x:v>
      </x:c>
      <x:c r="D369" s="2" t="s">
        <x:v>24</x:v>
      </x:c>
      <x:c r="E369" s="2">
        <x:v>37</x:v>
      </x:c>
      <x:c r="F369" s="2">
        <x:v>240</x:v>
      </x:c>
      <x:c r="G369" s="3">
        <x:v>6274.3294100822004</x:v>
      </x:c>
      <x:c r="H369" s="3">
        <x:v>1505839.0584197282</x:v>
      </x:c>
    </x:row>
    <x:row r="370">
      <x:c r="A370" s="2" t="s">
        <x:v>31</x:v>
      </x:c>
      <x:c r="B370" s="2">
        <x:v>11230</x:v>
      </x:c>
      <x:c r="C370" s="2">
        <x:v>11814</x:v>
      </x:c>
      <x:c r="D370" s="2" t="s">
        <x:v>24</x:v>
      </x:c>
      <x:c r="E370" s="2">
        <x:v>35</x:v>
      </x:c>
      <x:c r="F370" s="2">
        <x:v>240</x:v>
      </x:c>
      <x:c r="G370" s="3">
        <x:v>6274.3294100822004</x:v>
      </x:c>
      <x:c r="H370" s="3">
        <x:v>1505839.0584197282</x:v>
      </x:c>
    </x:row>
    <x:row r="371">
      <x:c r="A371" s="2" t="s">
        <x:v>31</x:v>
      </x:c>
      <x:c r="B371" s="2">
        <x:v>11231</x:v>
      </x:c>
      <x:c r="C371" s="2">
        <x:v>11815</x:v>
      </x:c>
      <x:c r="D371" s="2" t="s">
        <x:v>24</x:v>
      </x:c>
      <x:c r="E371" s="2">
        <x:v>38</x:v>
      </x:c>
      <x:c r="F371" s="2">
        <x:v>240</x:v>
      </x:c>
      <x:c r="G371" s="3">
        <x:v>6274.3294100822004</x:v>
      </x:c>
      <x:c r="H371" s="3">
        <x:v>1505839.0584197282</x:v>
      </x:c>
    </x:row>
    <x:row r="372">
      <x:c r="A372" s="2" t="s">
        <x:v>31</x:v>
      </x:c>
      <x:c r="B372" s="2">
        <x:v>11232</x:v>
      </x:c>
      <x:c r="C372" s="2">
        <x:v>11816</x:v>
      </x:c>
      <x:c r="D372" s="2" t="s">
        <x:v>24</x:v>
      </x:c>
      <x:c r="E372" s="2">
        <x:v>40</x:v>
      </x:c>
      <x:c r="F372" s="2">
        <x:v>240</x:v>
      </x:c>
      <x:c r="G372" s="3">
        <x:v>6274.3294100822004</x:v>
      </x:c>
      <x:c r="H372" s="3">
        <x:v>1505839.0584197282</x:v>
      </x:c>
    </x:row>
    <x:row r="373">
      <x:c r="A373" s="2" t="s">
        <x:v>31</x:v>
      </x:c>
      <x:c r="B373" s="2">
        <x:v>11233</x:v>
      </x:c>
      <x:c r="C373" s="2">
        <x:v>11817</x:v>
      </x:c>
      <x:c r="D373" s="2" t="s">
        <x:v>24</x:v>
      </x:c>
      <x:c r="E373" s="2">
        <x:v>39</x:v>
      </x:c>
      <x:c r="F373" s="2">
        <x:v>240</x:v>
      </x:c>
      <x:c r="G373" s="3">
        <x:v>6274.3294100822004</x:v>
      </x:c>
      <x:c r="H373" s="3">
        <x:v>1505839.0584197282</x:v>
      </x:c>
    </x:row>
    <x:row r="374">
      <x:c r="A374" s="2" t="s">
        <x:v>31</x:v>
      </x:c>
      <x:c r="B374" s="2">
        <x:v>11234</x:v>
      </x:c>
      <x:c r="C374" s="2">
        <x:v>11818</x:v>
      </x:c>
      <x:c r="D374" s="2" t="s">
        <x:v>24</x:v>
      </x:c>
      <x:c r="E374" s="2">
        <x:v>40</x:v>
      </x:c>
      <x:c r="F374" s="2">
        <x:v>240</x:v>
      </x:c>
      <x:c r="G374" s="3">
        <x:v>6274.3294100822004</x:v>
      </x:c>
      <x:c r="H374" s="3">
        <x:v>1505839.0584197282</x:v>
      </x:c>
    </x:row>
    <x:row r="375">
      <x:c r="A375" s="2" t="s">
        <x:v>31</x:v>
      </x:c>
      <x:c r="B375" s="2">
        <x:v>11235</x:v>
      </x:c>
      <x:c r="C375" s="2">
        <x:v>11819</x:v>
      </x:c>
      <x:c r="D375" s="2" t="s">
        <x:v>24</x:v>
      </x:c>
      <x:c r="E375" s="2">
        <x:v>40</x:v>
      </x:c>
      <x:c r="F375" s="2">
        <x:v>240</x:v>
      </x:c>
      <x:c r="G375" s="3">
        <x:v>6274.3294100822004</x:v>
      </x:c>
      <x:c r="H375" s="3">
        <x:v>1505839.0584197282</x:v>
      </x:c>
    </x:row>
    <x:row r="376">
      <x:c r="A376" s="2" t="s">
        <x:v>31</x:v>
      </x:c>
      <x:c r="B376" s="2">
        <x:v>11236</x:v>
      </x:c>
      <x:c r="C376" s="2">
        <x:v>11820</x:v>
      </x:c>
      <x:c r="D376" s="2" t="s">
        <x:v>24</x:v>
      </x:c>
      <x:c r="E376" s="2">
        <x:v>39</x:v>
      </x:c>
      <x:c r="F376" s="2">
        <x:v>240</x:v>
      </x:c>
      <x:c r="G376" s="3">
        <x:v>6274.3294100822004</x:v>
      </x:c>
      <x:c r="H376" s="3">
        <x:v>1505839.0584197282</x:v>
      </x:c>
    </x:row>
    <x:row r="377">
      <x:c r="A377" s="2" t="s">
        <x:v>31</x:v>
      </x:c>
      <x:c r="B377" s="2">
        <x:v>11237</x:v>
      </x:c>
      <x:c r="C377" s="2">
        <x:v>11821</x:v>
      </x:c>
      <x:c r="D377" s="2" t="s">
        <x:v>24</x:v>
      </x:c>
      <x:c r="E377" s="2">
        <x:v>37</x:v>
      </x:c>
      <x:c r="F377" s="2">
        <x:v>240</x:v>
      </x:c>
      <x:c r="G377" s="3">
        <x:v>6274.3294100822004</x:v>
      </x:c>
      <x:c r="H377" s="3">
        <x:v>1505839.0584197282</x:v>
      </x:c>
    </x:row>
    <x:row r="378">
      <x:c r="A378" s="2" t="s">
        <x:v>31</x:v>
      </x:c>
      <x:c r="B378" s="2">
        <x:v>11238</x:v>
      </x:c>
      <x:c r="C378" s="2">
        <x:v>11822</x:v>
      </x:c>
      <x:c r="D378" s="2" t="s">
        <x:v>24</x:v>
      </x:c>
      <x:c r="E378" s="2">
        <x:v>40</x:v>
      </x:c>
      <x:c r="F378" s="2">
        <x:v>240</x:v>
      </x:c>
      <x:c r="G378" s="3">
        <x:v>6274.3294100822004</x:v>
      </x:c>
      <x:c r="H378" s="3">
        <x:v>1505839.0584197282</x:v>
      </x:c>
    </x:row>
    <x:row r="379">
      <x:c r="A379" s="2" t="s">
        <x:v>31</x:v>
      </x:c>
      <x:c r="B379" s="2">
        <x:v>11239</x:v>
      </x:c>
      <x:c r="C379" s="2">
        <x:v>11823</x:v>
      </x:c>
      <x:c r="D379" s="2" t="s">
        <x:v>24</x:v>
      </x:c>
      <x:c r="E379" s="2">
        <x:v>37</x:v>
      </x:c>
      <x:c r="F379" s="2">
        <x:v>240</x:v>
      </x:c>
      <x:c r="G379" s="3">
        <x:v>6274.3294100822004</x:v>
      </x:c>
      <x:c r="H379" s="3">
        <x:v>1505839.0584197282</x:v>
      </x:c>
    </x:row>
    <x:row r="380">
      <x:c r="A380" s="2" t="s">
        <x:v>31</x:v>
      </x:c>
      <x:c r="B380" s="2">
        <x:v>11240</x:v>
      </x:c>
      <x:c r="C380" s="2">
        <x:v>11824</x:v>
      </x:c>
      <x:c r="D380" s="2" t="s">
        <x:v>24</x:v>
      </x:c>
      <x:c r="E380" s="2">
        <x:v>37</x:v>
      </x:c>
      <x:c r="F380" s="2">
        <x:v>240</x:v>
      </x:c>
      <x:c r="G380" s="3">
        <x:v>6274.3294100822004</x:v>
      </x:c>
      <x:c r="H380" s="3">
        <x:v>1505839.0584197282</x:v>
      </x:c>
    </x:row>
    <x:row r="381">
      <x:c r="A381" s="2" t="s">
        <x:v>31</x:v>
      </x:c>
      <x:c r="B381" s="2">
        <x:v>11241</x:v>
      </x:c>
      <x:c r="C381" s="2">
        <x:v>11825</x:v>
      </x:c>
      <x:c r="D381" s="2" t="s">
        <x:v>24</x:v>
      </x:c>
      <x:c r="E381" s="2">
        <x:v>35</x:v>
      </x:c>
      <x:c r="F381" s="2">
        <x:v>240</x:v>
      </x:c>
      <x:c r="G381" s="3">
        <x:v>6274.3294100822004</x:v>
      </x:c>
      <x:c r="H381" s="3">
        <x:v>1505839.0584197282</x:v>
      </x:c>
    </x:row>
    <x:row r="382">
      <x:c r="A382" s="2" t="s">
        <x:v>31</x:v>
      </x:c>
      <x:c r="B382" s="2">
        <x:v>11242</x:v>
      </x:c>
      <x:c r="C382" s="2">
        <x:v>11826</x:v>
      </x:c>
      <x:c r="D382" s="2" t="s">
        <x:v>24</x:v>
      </x:c>
      <x:c r="E382" s="2">
        <x:v>35</x:v>
      </x:c>
      <x:c r="F382" s="2">
        <x:v>240</x:v>
      </x:c>
      <x:c r="G382" s="3">
        <x:v>6274.3294100822004</x:v>
      </x:c>
      <x:c r="H382" s="3">
        <x:v>1505839.0584197282</x:v>
      </x:c>
    </x:row>
    <x:row r="383">
      <x:c r="A383" s="2" t="s">
        <x:v>31</x:v>
      </x:c>
      <x:c r="B383" s="2">
        <x:v>11243</x:v>
      </x:c>
      <x:c r="C383" s="2">
        <x:v>11827</x:v>
      </x:c>
      <x:c r="D383" s="2" t="s">
        <x:v>24</x:v>
      </x:c>
      <x:c r="E383" s="2">
        <x:v>36</x:v>
      </x:c>
      <x:c r="F383" s="2">
        <x:v>240</x:v>
      </x:c>
      <x:c r="G383" s="3">
        <x:v>6274.3294100822004</x:v>
      </x:c>
      <x:c r="H383" s="3">
        <x:v>1505839.0584197282</x:v>
      </x:c>
    </x:row>
    <x:row r="384">
      <x:c r="A384" s="2" t="s">
        <x:v>31</x:v>
      </x:c>
      <x:c r="B384" s="2">
        <x:v>11244</x:v>
      </x:c>
      <x:c r="C384" s="2">
        <x:v>11828</x:v>
      </x:c>
      <x:c r="D384" s="2" t="s">
        <x:v>24</x:v>
      </x:c>
      <x:c r="E384" s="2">
        <x:v>36</x:v>
      </x:c>
      <x:c r="F384" s="2">
        <x:v>240</x:v>
      </x:c>
      <x:c r="G384" s="3">
        <x:v>6274.3294100822004</x:v>
      </x:c>
      <x:c r="H384" s="3">
        <x:v>1505839.0584197282</x:v>
      </x:c>
    </x:row>
    <x:row r="385">
      <x:c r="A385" s="2" t="s">
        <x:v>31</x:v>
      </x:c>
      <x:c r="B385" s="2">
        <x:v>11245</x:v>
      </x:c>
      <x:c r="C385" s="2">
        <x:v>11829</x:v>
      </x:c>
      <x:c r="D385" s="2" t="s">
        <x:v>24</x:v>
      </x:c>
      <x:c r="E385" s="2">
        <x:v>37</x:v>
      </x:c>
      <x:c r="F385" s="2">
        <x:v>240</x:v>
      </x:c>
      <x:c r="G385" s="3">
        <x:v>6274.3294100822004</x:v>
      </x:c>
      <x:c r="H385" s="3">
        <x:v>1505839.0584197282</x:v>
      </x:c>
    </x:row>
    <x:row r="386">
      <x:c r="A386" s="2" t="s">
        <x:v>31</x:v>
      </x:c>
      <x:c r="B386" s="2">
        <x:v>11246</x:v>
      </x:c>
      <x:c r="C386" s="2">
        <x:v>11830</x:v>
      </x:c>
      <x:c r="D386" s="2" t="s">
        <x:v>24</x:v>
      </x:c>
      <x:c r="E386" s="2">
        <x:v>35</x:v>
      </x:c>
      <x:c r="F386" s="2">
        <x:v>240</x:v>
      </x:c>
      <x:c r="G386" s="3">
        <x:v>6274.3294100822004</x:v>
      </x:c>
      <x:c r="H386" s="3">
        <x:v>1505839.0584197282</x:v>
      </x:c>
    </x:row>
    <x:row r="387">
      <x:c r="A387" s="2" t="s">
        <x:v>31</x:v>
      </x:c>
      <x:c r="B387" s="2">
        <x:v>11247</x:v>
      </x:c>
      <x:c r="C387" s="2">
        <x:v>11831</x:v>
      </x:c>
      <x:c r="D387" s="2" t="s">
        <x:v>24</x:v>
      </x:c>
      <x:c r="E387" s="2">
        <x:v>39</x:v>
      </x:c>
      <x:c r="F387" s="2">
        <x:v>240</x:v>
      </x:c>
      <x:c r="G387" s="3">
        <x:v>6274.3294100822004</x:v>
      </x:c>
      <x:c r="H387" s="3">
        <x:v>1505839.0584197282</x:v>
      </x:c>
    </x:row>
    <x:row r="388">
      <x:c r="A388" s="2" t="s">
        <x:v>31</x:v>
      </x:c>
      <x:c r="B388" s="2">
        <x:v>11248</x:v>
      </x:c>
      <x:c r="C388" s="2">
        <x:v>11832</x:v>
      </x:c>
      <x:c r="D388" s="2" t="s">
        <x:v>24</x:v>
      </x:c>
      <x:c r="E388" s="2">
        <x:v>36</x:v>
      </x:c>
      <x:c r="F388" s="2">
        <x:v>240</x:v>
      </x:c>
      <x:c r="G388" s="3">
        <x:v>6274.3294100822004</x:v>
      </x:c>
      <x:c r="H388" s="3">
        <x:v>1505839.0584197282</x:v>
      </x:c>
    </x:row>
    <x:row r="389">
      <x:c r="A389" s="2" t="s">
        <x:v>31</x:v>
      </x:c>
      <x:c r="B389" s="2">
        <x:v>11249</x:v>
      </x:c>
      <x:c r="C389" s="2">
        <x:v>11833</x:v>
      </x:c>
      <x:c r="D389" s="2" t="s">
        <x:v>24</x:v>
      </x:c>
      <x:c r="E389" s="2">
        <x:v>40</x:v>
      </x:c>
      <x:c r="F389" s="2">
        <x:v>240</x:v>
      </x:c>
      <x:c r="G389" s="3">
        <x:v>6274.3294100822004</x:v>
      </x:c>
      <x:c r="H389" s="3">
        <x:v>1505839.0584197282</x:v>
      </x:c>
    </x:row>
    <x:row r="390">
      <x:c r="A390" s="2" t="s">
        <x:v>31</x:v>
      </x:c>
      <x:c r="B390" s="2">
        <x:v>11250</x:v>
      </x:c>
      <x:c r="C390" s="2">
        <x:v>11834</x:v>
      </x:c>
      <x:c r="D390" s="2" t="s">
        <x:v>24</x:v>
      </x:c>
      <x:c r="E390" s="2">
        <x:v>40</x:v>
      </x:c>
      <x:c r="F390" s="2">
        <x:v>240</x:v>
      </x:c>
      <x:c r="G390" s="3">
        <x:v>6274.3294100822004</x:v>
      </x:c>
      <x:c r="H390" s="3">
        <x:v>1505839.0584197282</x:v>
      </x:c>
    </x:row>
    <x:row r="391">
      <x:c r="A391" s="2" t="s">
        <x:v>31</x:v>
      </x:c>
      <x:c r="B391" s="2">
        <x:v>11251</x:v>
      </x:c>
      <x:c r="C391" s="2">
        <x:v>11835</x:v>
      </x:c>
      <x:c r="D391" s="2" t="s">
        <x:v>24</x:v>
      </x:c>
      <x:c r="E391" s="2">
        <x:v>40</x:v>
      </x:c>
      <x:c r="F391" s="2">
        <x:v>240</x:v>
      </x:c>
      <x:c r="G391" s="3">
        <x:v>6274.3294100822004</x:v>
      </x:c>
      <x:c r="H391" s="3">
        <x:v>1505839.0584197282</x:v>
      </x:c>
    </x:row>
    <x:row r="392">
      <x:c r="A392" s="2" t="s">
        <x:v>31</x:v>
      </x:c>
      <x:c r="B392" s="2">
        <x:v>11252</x:v>
      </x:c>
      <x:c r="C392" s="2">
        <x:v>11836</x:v>
      </x:c>
      <x:c r="D392" s="2" t="s">
        <x:v>24</x:v>
      </x:c>
      <x:c r="E392" s="2">
        <x:v>40</x:v>
      </x:c>
      <x:c r="F392" s="2">
        <x:v>240</x:v>
      </x:c>
      <x:c r="G392" s="3">
        <x:v>6274.3294100822004</x:v>
      </x:c>
      <x:c r="H392" s="3">
        <x:v>1505839.0584197282</x:v>
      </x:c>
    </x:row>
    <x:row r="393">
      <x:c r="A393" s="2" t="s">
        <x:v>31</x:v>
      </x:c>
      <x:c r="B393" s="2">
        <x:v>11253</x:v>
      </x:c>
      <x:c r="C393" s="2">
        <x:v>11837</x:v>
      </x:c>
      <x:c r="D393" s="2" t="s">
        <x:v>24</x:v>
      </x:c>
      <x:c r="E393" s="2">
        <x:v>37</x:v>
      </x:c>
      <x:c r="F393" s="2">
        <x:v>240</x:v>
      </x:c>
      <x:c r="G393" s="3">
        <x:v>6274.3294100822004</x:v>
      </x:c>
      <x:c r="H393" s="3">
        <x:v>1505839.0584197282</x:v>
      </x:c>
    </x:row>
    <x:row r="394">
      <x:c r="A394" s="2" t="s">
        <x:v>31</x:v>
      </x:c>
      <x:c r="B394" s="2">
        <x:v>11254</x:v>
      </x:c>
      <x:c r="C394" s="2">
        <x:v>11838</x:v>
      </x:c>
      <x:c r="D394" s="2" t="s">
        <x:v>24</x:v>
      </x:c>
      <x:c r="E394" s="2">
        <x:v>37</x:v>
      </x:c>
      <x:c r="F394" s="2">
        <x:v>240</x:v>
      </x:c>
      <x:c r="G394" s="3">
        <x:v>6274.3294100822004</x:v>
      </x:c>
      <x:c r="H394" s="3">
        <x:v>1505839.0584197282</x:v>
      </x:c>
    </x:row>
    <x:row r="395">
      <x:c r="A395" s="2" t="s">
        <x:v>31</x:v>
      </x:c>
      <x:c r="B395" s="2">
        <x:v>11255</x:v>
      </x:c>
      <x:c r="C395" s="2">
        <x:v>11839</x:v>
      </x:c>
      <x:c r="D395" s="2" t="s">
        <x:v>24</x:v>
      </x:c>
      <x:c r="E395" s="2">
        <x:v>38</x:v>
      </x:c>
      <x:c r="F395" s="2">
        <x:v>240</x:v>
      </x:c>
      <x:c r="G395" s="3">
        <x:v>6274.3294100822004</x:v>
      </x:c>
      <x:c r="H395" s="3">
        <x:v>1505839.0584197282</x:v>
      </x:c>
    </x:row>
    <x:row r="396">
      <x:c r="A396" s="2" t="s">
        <x:v>31</x:v>
      </x:c>
      <x:c r="B396" s="2">
        <x:v>11256</x:v>
      </x:c>
      <x:c r="C396" s="2">
        <x:v>11840</x:v>
      </x:c>
      <x:c r="D396" s="2" t="s">
        <x:v>24</x:v>
      </x:c>
      <x:c r="E396" s="2">
        <x:v>39</x:v>
      </x:c>
      <x:c r="F396" s="2">
        <x:v>240</x:v>
      </x:c>
      <x:c r="G396" s="3">
        <x:v>6274.3294100822004</x:v>
      </x:c>
      <x:c r="H396" s="3">
        <x:v>1505839.0584197282</x:v>
      </x:c>
    </x:row>
    <x:row r="397">
      <x:c r="A397" s="2" t="s">
        <x:v>31</x:v>
      </x:c>
      <x:c r="B397" s="2">
        <x:v>11257</x:v>
      </x:c>
      <x:c r="C397" s="2">
        <x:v>11841</x:v>
      </x:c>
      <x:c r="D397" s="2" t="s">
        <x:v>24</x:v>
      </x:c>
      <x:c r="E397" s="2">
        <x:v>37</x:v>
      </x:c>
      <x:c r="F397" s="2">
        <x:v>240</x:v>
      </x:c>
      <x:c r="G397" s="3">
        <x:v>6274.3294100822004</x:v>
      </x:c>
      <x:c r="H397" s="3">
        <x:v>1505839.0584197282</x:v>
      </x:c>
    </x:row>
    <x:row r="398">
      <x:c r="A398" s="2" t="s">
        <x:v>31</x:v>
      </x:c>
      <x:c r="B398" s="2">
        <x:v>11258</x:v>
      </x:c>
      <x:c r="C398" s="2">
        <x:v>11842</x:v>
      </x:c>
      <x:c r="D398" s="2" t="s">
        <x:v>24</x:v>
      </x:c>
      <x:c r="E398" s="2">
        <x:v>40</x:v>
      </x:c>
      <x:c r="F398" s="2">
        <x:v>240</x:v>
      </x:c>
      <x:c r="G398" s="3">
        <x:v>6274.3294100822004</x:v>
      </x:c>
      <x:c r="H398" s="3">
        <x:v>1505839.0584197282</x:v>
      </x:c>
    </x:row>
    <x:row r="399">
      <x:c r="A399" s="2" t="s">
        <x:v>31</x:v>
      </x:c>
      <x:c r="B399" s="2">
        <x:v>11259</x:v>
      </x:c>
      <x:c r="C399" s="2">
        <x:v>11843</x:v>
      </x:c>
      <x:c r="D399" s="2" t="s">
        <x:v>24</x:v>
      </x:c>
      <x:c r="E399" s="2">
        <x:v>38</x:v>
      </x:c>
      <x:c r="F399" s="2">
        <x:v>240</x:v>
      </x:c>
      <x:c r="G399" s="3">
        <x:v>6274.3294100822004</x:v>
      </x:c>
      <x:c r="H399" s="3">
        <x:v>1505839.0584197282</x:v>
      </x:c>
    </x:row>
    <x:row r="400">
      <x:c r="A400" s="2" t="s">
        <x:v>31</x:v>
      </x:c>
      <x:c r="B400" s="2">
        <x:v>11260</x:v>
      </x:c>
      <x:c r="C400" s="2">
        <x:v>11844</x:v>
      </x:c>
      <x:c r="D400" s="2" t="s">
        <x:v>24</x:v>
      </x:c>
      <x:c r="E400" s="2">
        <x:v>38</x:v>
      </x:c>
      <x:c r="F400" s="2">
        <x:v>240</x:v>
      </x:c>
      <x:c r="G400" s="3">
        <x:v>6274.3294100822004</x:v>
      </x:c>
      <x:c r="H400" s="3">
        <x:v>1505839.0584197282</x:v>
      </x:c>
    </x:row>
    <x:row r="401">
      <x:c r="A401" s="2" t="s">
        <x:v>31</x:v>
      </x:c>
      <x:c r="B401" s="2">
        <x:v>11261</x:v>
      </x:c>
      <x:c r="C401" s="2">
        <x:v>11845</x:v>
      </x:c>
      <x:c r="D401" s="2" t="s">
        <x:v>24</x:v>
      </x:c>
      <x:c r="E401" s="2">
        <x:v>35</x:v>
      </x:c>
      <x:c r="F401" s="2">
        <x:v>240</x:v>
      </x:c>
      <x:c r="G401" s="3">
        <x:v>6274.3294100822004</x:v>
      </x:c>
      <x:c r="H401" s="3">
        <x:v>1505839.0584197282</x:v>
      </x:c>
    </x:row>
    <x:row r="402">
      <x:c r="A402" s="2" t="s">
        <x:v>31</x:v>
      </x:c>
      <x:c r="B402" s="2">
        <x:v>11262</x:v>
      </x:c>
      <x:c r="C402" s="2">
        <x:v>11846</x:v>
      </x:c>
      <x:c r="D402" s="2" t="s">
        <x:v>24</x:v>
      </x:c>
      <x:c r="E402" s="2">
        <x:v>35</x:v>
      </x:c>
      <x:c r="F402" s="2">
        <x:v>240</x:v>
      </x:c>
      <x:c r="G402" s="3">
        <x:v>6274.3294100822004</x:v>
      </x:c>
      <x:c r="H402" s="3">
        <x:v>1505839.0584197282</x:v>
      </x:c>
    </x:row>
    <x:row r="403">
      <x:c r="A403" s="2" t="s">
        <x:v>31</x:v>
      </x:c>
      <x:c r="B403" s="2">
        <x:v>11263</x:v>
      </x:c>
      <x:c r="C403" s="2">
        <x:v>11847</x:v>
      </x:c>
      <x:c r="D403" s="2" t="s">
        <x:v>24</x:v>
      </x:c>
      <x:c r="E403" s="2">
        <x:v>35</x:v>
      </x:c>
      <x:c r="F403" s="2">
        <x:v>240</x:v>
      </x:c>
      <x:c r="G403" s="3">
        <x:v>6274.3294100822004</x:v>
      </x:c>
      <x:c r="H403" s="3">
        <x:v>1505839.0584197282</x:v>
      </x:c>
    </x:row>
    <x:row r="404">
      <x:c r="A404" s="2" t="s">
        <x:v>31</x:v>
      </x:c>
      <x:c r="B404" s="2">
        <x:v>11264</x:v>
      </x:c>
      <x:c r="C404" s="2">
        <x:v>11848</x:v>
      </x:c>
      <x:c r="D404" s="2" t="s">
        <x:v>24</x:v>
      </x:c>
      <x:c r="E404" s="2">
        <x:v>35</x:v>
      </x:c>
      <x:c r="F404" s="2">
        <x:v>240</x:v>
      </x:c>
      <x:c r="G404" s="3">
        <x:v>6274.3294100822004</x:v>
      </x:c>
      <x:c r="H404" s="3">
        <x:v>1505839.0584197282</x:v>
      </x:c>
    </x:row>
    <x:row r="405">
      <x:c r="A405" s="2" t="s">
        <x:v>31</x:v>
      </x:c>
      <x:c r="B405" s="2">
        <x:v>11265</x:v>
      </x:c>
      <x:c r="C405" s="2">
        <x:v>11849</x:v>
      </x:c>
      <x:c r="D405" s="2" t="s">
        <x:v>24</x:v>
      </x:c>
      <x:c r="E405" s="2">
        <x:v>35</x:v>
      </x:c>
      <x:c r="F405" s="2">
        <x:v>240</x:v>
      </x:c>
      <x:c r="G405" s="3">
        <x:v>6274.3294100822004</x:v>
      </x:c>
      <x:c r="H405" s="3">
        <x:v>1505839.0584197282</x:v>
      </x:c>
    </x:row>
    <x:row r="406">
      <x:c r="A406" s="2" t="s">
        <x:v>31</x:v>
      </x:c>
      <x:c r="B406" s="2">
        <x:v>11266</x:v>
      </x:c>
      <x:c r="C406" s="2">
        <x:v>11850</x:v>
      </x:c>
      <x:c r="D406" s="2" t="s">
        <x:v>24</x:v>
      </x:c>
      <x:c r="E406" s="2">
        <x:v>35</x:v>
      </x:c>
      <x:c r="F406" s="2">
        <x:v>240</x:v>
      </x:c>
      <x:c r="G406" s="3">
        <x:v>6274.3294100822004</x:v>
      </x:c>
      <x:c r="H406" s="3">
        <x:v>1505839.0584197282</x:v>
      </x:c>
    </x:row>
    <x:row r="407">
      <x:c r="A407" s="2" t="s">
        <x:v>31</x:v>
      </x:c>
      <x:c r="B407" s="2">
        <x:v>11267</x:v>
      </x:c>
      <x:c r="C407" s="2">
        <x:v>11851</x:v>
      </x:c>
      <x:c r="D407" s="2" t="s">
        <x:v>24</x:v>
      </x:c>
      <x:c r="E407" s="2">
        <x:v>37</x:v>
      </x:c>
      <x:c r="F407" s="2">
        <x:v>240</x:v>
      </x:c>
      <x:c r="G407" s="3">
        <x:v>6274.3294100822004</x:v>
      </x:c>
      <x:c r="H407" s="3">
        <x:v>1505839.0584197282</x:v>
      </x:c>
    </x:row>
    <x:row r="408">
      <x:c r="A408" s="2" t="s">
        <x:v>31</x:v>
      </x:c>
      <x:c r="B408" s="2">
        <x:v>11268</x:v>
      </x:c>
      <x:c r="C408" s="2">
        <x:v>11852</x:v>
      </x:c>
      <x:c r="D408" s="2" t="s">
        <x:v>24</x:v>
      </x:c>
      <x:c r="E408" s="2">
        <x:v>36</x:v>
      </x:c>
      <x:c r="F408" s="2">
        <x:v>240</x:v>
      </x:c>
      <x:c r="G408" s="3">
        <x:v>6274.3294100822004</x:v>
      </x:c>
      <x:c r="H408" s="3">
        <x:v>1505839.0584197282</x:v>
      </x:c>
    </x:row>
    <x:row r="409">
      <x:c r="A409" s="2" t="s">
        <x:v>31</x:v>
      </x:c>
      <x:c r="B409" s="2">
        <x:v>11269</x:v>
      </x:c>
      <x:c r="C409" s="2">
        <x:v>11853</x:v>
      </x:c>
      <x:c r="D409" s="2" t="s">
        <x:v>24</x:v>
      </x:c>
      <x:c r="E409" s="2">
        <x:v>35</x:v>
      </x:c>
      <x:c r="F409" s="2">
        <x:v>240</x:v>
      </x:c>
      <x:c r="G409" s="3">
        <x:v>6274.3294100822004</x:v>
      </x:c>
      <x:c r="H409" s="3">
        <x:v>1505839.0584197282</x:v>
      </x:c>
    </x:row>
    <x:row r="410">
      <x:c r="A410" s="2" t="s">
        <x:v>31</x:v>
      </x:c>
      <x:c r="B410" s="2">
        <x:v>11270</x:v>
      </x:c>
      <x:c r="C410" s="2">
        <x:v>11854</x:v>
      </x:c>
      <x:c r="D410" s="2" t="s">
        <x:v>24</x:v>
      </x:c>
      <x:c r="E410" s="2">
        <x:v>35</x:v>
      </x:c>
      <x:c r="F410" s="2">
        <x:v>240</x:v>
      </x:c>
      <x:c r="G410" s="3">
        <x:v>6274.3294100822004</x:v>
      </x:c>
      <x:c r="H410" s="3">
        <x:v>1505839.0584197282</x:v>
      </x:c>
    </x:row>
    <x:row r="411">
      <x:c r="A411" s="2" t="s">
        <x:v>31</x:v>
      </x:c>
      <x:c r="B411" s="2">
        <x:v>11271</x:v>
      </x:c>
      <x:c r="C411" s="2">
        <x:v>11855</x:v>
      </x:c>
      <x:c r="D411" s="2" t="s">
        <x:v>24</x:v>
      </x:c>
      <x:c r="E411" s="2">
        <x:v>35</x:v>
      </x:c>
      <x:c r="F411" s="2">
        <x:v>240</x:v>
      </x:c>
      <x:c r="G411" s="3">
        <x:v>6274.3294100822004</x:v>
      </x:c>
      <x:c r="H411" s="3">
        <x:v>1505839.0584197282</x:v>
      </x:c>
    </x:row>
    <x:row r="412">
      <x:c r="A412" s="2" t="s">
        <x:v>31</x:v>
      </x:c>
      <x:c r="B412" s="2">
        <x:v>11272</x:v>
      </x:c>
      <x:c r="C412" s="2">
        <x:v>11856</x:v>
      </x:c>
      <x:c r="D412" s="2" t="s">
        <x:v>24</x:v>
      </x:c>
      <x:c r="E412" s="2">
        <x:v>35</x:v>
      </x:c>
      <x:c r="F412" s="2">
        <x:v>240</x:v>
      </x:c>
      <x:c r="G412" s="3">
        <x:v>6274.3294100822004</x:v>
      </x:c>
      <x:c r="H412" s="3">
        <x:v>1505839.0584197282</x:v>
      </x:c>
    </x:row>
    <x:row r="413">
      <x:c r="A413" s="2" t="s">
        <x:v>31</x:v>
      </x:c>
      <x:c r="B413" s="2">
        <x:v>11273</x:v>
      </x:c>
      <x:c r="C413" s="2">
        <x:v>11857</x:v>
      </x:c>
      <x:c r="D413" s="2" t="s">
        <x:v>24</x:v>
      </x:c>
      <x:c r="E413" s="2">
        <x:v>35</x:v>
      </x:c>
      <x:c r="F413" s="2">
        <x:v>240</x:v>
      </x:c>
      <x:c r="G413" s="3">
        <x:v>6274.3294100822004</x:v>
      </x:c>
      <x:c r="H413" s="3">
        <x:v>1505839.0584197282</x:v>
      </x:c>
    </x:row>
    <x:row r="414">
      <x:c r="A414" s="2" t="s">
        <x:v>31</x:v>
      </x:c>
      <x:c r="B414" s="2">
        <x:v>11274</x:v>
      </x:c>
      <x:c r="C414" s="2">
        <x:v>11858</x:v>
      </x:c>
      <x:c r="D414" s="2" t="s">
        <x:v>23</x:v>
      </x:c>
      <x:c r="E414" s="2">
        <x:v>22</x:v>
      </x:c>
      <x:c r="F414" s="2">
        <x:v>150</x:v>
      </x:c>
      <x:c r="G414" s="3">
        <x:v>6274.3294100822004</x:v>
      </x:c>
      <x:c r="H414" s="3">
        <x:v>941149.41151233006</x:v>
      </x:c>
    </x:row>
    <x:row r="415">
      <x:c r="A415" s="2" t="s">
        <x:v>31</x:v>
      </x:c>
      <x:c r="B415" s="2">
        <x:v>11275</x:v>
      </x:c>
      <x:c r="C415" s="2">
        <x:v>11859</x:v>
      </x:c>
      <x:c r="D415" s="2" t="s">
        <x:v>23</x:v>
      </x:c>
      <x:c r="E415" s="2">
        <x:v>23</x:v>
      </x:c>
      <x:c r="F415" s="2">
        <x:v>150</x:v>
      </x:c>
      <x:c r="G415" s="3">
        <x:v>6274.3294100822004</x:v>
      </x:c>
      <x:c r="H415" s="3">
        <x:v>941149.41151233006</x:v>
      </x:c>
    </x:row>
    <x:row r="416">
      <x:c r="A416" s="2" t="s">
        <x:v>31</x:v>
      </x:c>
      <x:c r="B416" s="2">
        <x:v>11276</x:v>
      </x:c>
      <x:c r="C416" s="2">
        <x:v>11860</x:v>
      </x:c>
      <x:c r="D416" s="2" t="s">
        <x:v>23</x:v>
      </x:c>
      <x:c r="E416" s="2">
        <x:v>24</x:v>
      </x:c>
      <x:c r="F416" s="2">
        <x:v>150</x:v>
      </x:c>
      <x:c r="G416" s="3">
        <x:v>6274.3294100822004</x:v>
      </x:c>
      <x:c r="H416" s="3">
        <x:v>941149.41151233006</x:v>
      </x:c>
    </x:row>
    <x:row r="417">
      <x:c r="A417" s="2" t="s">
        <x:v>31</x:v>
      </x:c>
      <x:c r="B417" s="2">
        <x:v>11277</x:v>
      </x:c>
      <x:c r="C417" s="2">
        <x:v>11861</x:v>
      </x:c>
      <x:c r="D417" s="2" t="s">
        <x:v>23</x:v>
      </x:c>
      <x:c r="E417" s="2">
        <x:v>23</x:v>
      </x:c>
      <x:c r="F417" s="2">
        <x:v>150</x:v>
      </x:c>
      <x:c r="G417" s="3">
        <x:v>6274.3294100822004</x:v>
      </x:c>
      <x:c r="H417" s="3">
        <x:v>941149.41151233006</x:v>
      </x:c>
    </x:row>
    <x:row r="418">
      <x:c r="A418" s="2" t="s">
        <x:v>31</x:v>
      </x:c>
      <x:c r="B418" s="2">
        <x:v>11278</x:v>
      </x:c>
      <x:c r="C418" s="2">
        <x:v>11862</x:v>
      </x:c>
      <x:c r="D418" s="2" t="s">
        <x:v>23</x:v>
      </x:c>
      <x:c r="E418" s="2">
        <x:v>22</x:v>
      </x:c>
      <x:c r="F418" s="2">
        <x:v>150</x:v>
      </x:c>
      <x:c r="G418" s="3">
        <x:v>6274.3294100822004</x:v>
      </x:c>
      <x:c r="H418" s="3">
        <x:v>941149.41151233006</x:v>
      </x:c>
    </x:row>
    <x:row r="419">
      <x:c r="A419" s="2" t="s">
        <x:v>31</x:v>
      </x:c>
      <x:c r="B419" s="2">
        <x:v>11279</x:v>
      </x:c>
      <x:c r="C419" s="2">
        <x:v>11863</x:v>
      </x:c>
      <x:c r="D419" s="2" t="s">
        <x:v>23</x:v>
      </x:c>
      <x:c r="E419" s="2">
        <x:v>23</x:v>
      </x:c>
      <x:c r="F419" s="2">
        <x:v>150</x:v>
      </x:c>
      <x:c r="G419" s="3">
        <x:v>6274.3294100822004</x:v>
      </x:c>
      <x:c r="H419" s="3">
        <x:v>941149.41151233006</x:v>
      </x:c>
    </x:row>
    <x:row r="420">
      <x:c r="A420" s="2" t="s">
        <x:v>31</x:v>
      </x:c>
      <x:c r="B420" s="2">
        <x:v>11280</x:v>
      </x:c>
      <x:c r="C420" s="2">
        <x:v>11864</x:v>
      </x:c>
      <x:c r="D420" s="2" t="s">
        <x:v>25</x:v>
      </x:c>
      <x:c r="E420" s="2">
        <x:v>48</x:v>
      </x:c>
      <x:c r="F420" s="2">
        <x:v>240</x:v>
      </x:c>
      <x:c r="G420" s="3">
        <x:v>6274.3294100822004</x:v>
      </x:c>
      <x:c r="H420" s="3">
        <x:v>1505839.0584197282</x:v>
      </x:c>
    </x:row>
    <x:row r="421">
      <x:c r="A421" s="2" t="s">
        <x:v>31</x:v>
      </x:c>
      <x:c r="B421" s="2">
        <x:v>11281</x:v>
      </x:c>
      <x:c r="C421" s="2">
        <x:v>11865</x:v>
      </x:c>
      <x:c r="D421" s="2" t="s">
        <x:v>25</x:v>
      </x:c>
      <x:c r="E421" s="2">
        <x:v>43</x:v>
      </x:c>
      <x:c r="F421" s="2">
        <x:v>240</x:v>
      </x:c>
      <x:c r="G421" s="3">
        <x:v>6274.3294100822004</x:v>
      </x:c>
      <x:c r="H421" s="3">
        <x:v>1505839.0584197282</x:v>
      </x:c>
    </x:row>
    <x:row r="422">
      <x:c r="A422" s="2" t="s">
        <x:v>31</x:v>
      </x:c>
      <x:c r="B422" s="2">
        <x:v>11282</x:v>
      </x:c>
      <x:c r="C422" s="2">
        <x:v>11866</x:v>
      </x:c>
      <x:c r="D422" s="2" t="s">
        <x:v>25</x:v>
      </x:c>
      <x:c r="E422" s="2">
        <x:v>46</x:v>
      </x:c>
      <x:c r="F422" s="2">
        <x:v>240</x:v>
      </x:c>
      <x:c r="G422" s="3">
        <x:v>6274.3294100822004</x:v>
      </x:c>
      <x:c r="H422" s="3">
        <x:v>1505839.0584197282</x:v>
      </x:c>
    </x:row>
    <x:row r="423">
      <x:c r="A423" s="2" t="s">
        <x:v>31</x:v>
      </x:c>
      <x:c r="B423" s="2">
        <x:v>11283</x:v>
      </x:c>
      <x:c r="C423" s="2">
        <x:v>11867</x:v>
      </x:c>
      <x:c r="D423" s="2" t="s">
        <x:v>25</x:v>
      </x:c>
      <x:c r="E423" s="2">
        <x:v>46</x:v>
      </x:c>
      <x:c r="F423" s="2">
        <x:v>240</x:v>
      </x:c>
      <x:c r="G423" s="3">
        <x:v>6274.3294100822004</x:v>
      </x:c>
      <x:c r="H423" s="3">
        <x:v>1505839.0584197282</x:v>
      </x:c>
    </x:row>
    <x:row r="424">
      <x:c r="A424" s="2" t="s">
        <x:v>31</x:v>
      </x:c>
      <x:c r="B424" s="2">
        <x:v>11284</x:v>
      </x:c>
      <x:c r="C424" s="2">
        <x:v>11868</x:v>
      </x:c>
      <x:c r="D424" s="2" t="s">
        <x:v>25</x:v>
      </x:c>
      <x:c r="E424" s="2">
        <x:v>45</x:v>
      </x:c>
      <x:c r="F424" s="2">
        <x:v>240</x:v>
      </x:c>
      <x:c r="G424" s="3">
        <x:v>6274.3294100822004</x:v>
      </x:c>
      <x:c r="H424" s="3">
        <x:v>1505839.0584197282</x:v>
      </x:c>
    </x:row>
    <x:row r="425">
      <x:c r="A425" s="2" t="s">
        <x:v>31</x:v>
      </x:c>
      <x:c r="B425" s="2">
        <x:v>11285</x:v>
      </x:c>
      <x:c r="C425" s="2">
        <x:v>11869</x:v>
      </x:c>
      <x:c r="D425" s="2" t="s">
        <x:v>25</x:v>
      </x:c>
      <x:c r="E425" s="2">
        <x:v>46</x:v>
      </x:c>
      <x:c r="F425" s="2">
        <x:v>240</x:v>
      </x:c>
      <x:c r="G425" s="3">
        <x:v>6274.3294100822004</x:v>
      </x:c>
      <x:c r="H425" s="3">
        <x:v>1505839.0584197282</x:v>
      </x:c>
    </x:row>
    <x:row r="426">
      <x:c r="A426" s="2" t="s">
        <x:v>31</x:v>
      </x:c>
      <x:c r="B426" s="2">
        <x:v>11286</x:v>
      </x:c>
      <x:c r="C426" s="2">
        <x:v>11870</x:v>
      </x:c>
      <x:c r="D426" s="2" t="s">
        <x:v>25</x:v>
      </x:c>
      <x:c r="E426" s="2">
        <x:v>45</x:v>
      </x:c>
      <x:c r="F426" s="2">
        <x:v>240</x:v>
      </x:c>
      <x:c r="G426" s="3">
        <x:v>6274.3294100822004</x:v>
      </x:c>
      <x:c r="H426" s="3">
        <x:v>1505839.0584197282</x:v>
      </x:c>
    </x:row>
    <x:row r="427">
      <x:c r="A427" s="2" t="s">
        <x:v>31</x:v>
      </x:c>
      <x:c r="B427" s="2">
        <x:v>11287</x:v>
      </x:c>
      <x:c r="C427" s="2">
        <x:v>11871</x:v>
      </x:c>
      <x:c r="D427" s="2" t="s">
        <x:v>25</x:v>
      </x:c>
      <x:c r="E427" s="2">
        <x:v>50</x:v>
      </x:c>
      <x:c r="F427" s="2">
        <x:v>240</x:v>
      </x:c>
      <x:c r="G427" s="3">
        <x:v>6274.3294100822004</x:v>
      </x:c>
      <x:c r="H427" s="3">
        <x:v>1505839.0584197282</x:v>
      </x:c>
    </x:row>
    <x:row r="428">
      <x:c r="A428" s="2" t="s">
        <x:v>31</x:v>
      </x:c>
      <x:c r="B428" s="2">
        <x:v>11288</x:v>
      </x:c>
      <x:c r="C428" s="2">
        <x:v>11872</x:v>
      </x:c>
      <x:c r="D428" s="2" t="s">
        <x:v>25</x:v>
      </x:c>
      <x:c r="E428" s="2">
        <x:v>46</x:v>
      </x:c>
      <x:c r="F428" s="2">
        <x:v>240</x:v>
      </x:c>
      <x:c r="G428" s="3">
        <x:v>6274.3294100822004</x:v>
      </x:c>
      <x:c r="H428" s="3">
        <x:v>1505839.0584197282</x:v>
      </x:c>
    </x:row>
    <x:row r="429">
      <x:c r="A429" s="2" t="s">
        <x:v>31</x:v>
      </x:c>
      <x:c r="B429" s="2">
        <x:v>11289</x:v>
      </x:c>
      <x:c r="C429" s="2">
        <x:v>11873</x:v>
      </x:c>
      <x:c r="D429" s="2" t="s">
        <x:v>25</x:v>
      </x:c>
      <x:c r="E429" s="2">
        <x:v>49</x:v>
      </x:c>
      <x:c r="F429" s="2">
        <x:v>240</x:v>
      </x:c>
      <x:c r="G429" s="3">
        <x:v>6274.3294100822004</x:v>
      </x:c>
      <x:c r="H429" s="3">
        <x:v>1505839.0584197282</x:v>
      </x:c>
    </x:row>
    <x:row r="430">
      <x:c r="A430" s="2" t="s">
        <x:v>31</x:v>
      </x:c>
      <x:c r="B430" s="2">
        <x:v>11290</x:v>
      </x:c>
      <x:c r="C430" s="2">
        <x:v>11874</x:v>
      </x:c>
      <x:c r="D430" s="2" t="s">
        <x:v>25</x:v>
      </x:c>
      <x:c r="E430" s="2">
        <x:v>48</x:v>
      </x:c>
      <x:c r="F430" s="2">
        <x:v>240</x:v>
      </x:c>
      <x:c r="G430" s="3">
        <x:v>6274.3294100822004</x:v>
      </x:c>
      <x:c r="H430" s="3">
        <x:v>1505839.0584197282</x:v>
      </x:c>
    </x:row>
    <x:row r="431">
      <x:c r="A431" s="2" t="s">
        <x:v>31</x:v>
      </x:c>
      <x:c r="B431" s="2">
        <x:v>11291</x:v>
      </x:c>
      <x:c r="C431" s="2">
        <x:v>11875</x:v>
      </x:c>
      <x:c r="D431" s="2" t="s">
        <x:v>25</x:v>
      </x:c>
      <x:c r="E431" s="2">
        <x:v>48</x:v>
      </x:c>
      <x:c r="F431" s="2">
        <x:v>240</x:v>
      </x:c>
      <x:c r="G431" s="3">
        <x:v>6274.3294100822004</x:v>
      </x:c>
      <x:c r="H431" s="3">
        <x:v>1505839.0584197282</x:v>
      </x:c>
    </x:row>
    <x:row r="432">
      <x:c r="A432" s="2" t="s">
        <x:v>31</x:v>
      </x:c>
      <x:c r="B432" s="2">
        <x:v>11292</x:v>
      </x:c>
      <x:c r="C432" s="2">
        <x:v>11876</x:v>
      </x:c>
      <x:c r="D432" s="2" t="s">
        <x:v>25</x:v>
      </x:c>
      <x:c r="E432" s="2">
        <x:v>45</x:v>
      </x:c>
      <x:c r="F432" s="2">
        <x:v>240</x:v>
      </x:c>
      <x:c r="G432" s="3">
        <x:v>6274.3294100822004</x:v>
      </x:c>
      <x:c r="H432" s="3">
        <x:v>1505839.0584197282</x:v>
      </x:c>
    </x:row>
    <x:row r="433">
      <x:c r="A433" s="2" t="s">
        <x:v>31</x:v>
      </x:c>
      <x:c r="B433" s="2">
        <x:v>11293</x:v>
      </x:c>
      <x:c r="C433" s="2">
        <x:v>11877</x:v>
      </x:c>
      <x:c r="D433" s="2" t="s">
        <x:v>25</x:v>
      </x:c>
      <x:c r="E433" s="2">
        <x:v>43</x:v>
      </x:c>
      <x:c r="F433" s="2">
        <x:v>240</x:v>
      </x:c>
      <x:c r="G433" s="3">
        <x:v>6274.3294100822004</x:v>
      </x:c>
      <x:c r="H433" s="3">
        <x:v>1505839.0584197282</x:v>
      </x:c>
    </x:row>
    <x:row r="434">
      <x:c r="A434" s="2" t="s">
        <x:v>31</x:v>
      </x:c>
      <x:c r="B434" s="2">
        <x:v>11294</x:v>
      </x:c>
      <x:c r="C434" s="2">
        <x:v>11878</x:v>
      </x:c>
      <x:c r="D434" s="2" t="s">
        <x:v>25</x:v>
      </x:c>
      <x:c r="E434" s="2">
        <x:v>44</x:v>
      </x:c>
      <x:c r="F434" s="2">
        <x:v>240</x:v>
      </x:c>
      <x:c r="G434" s="3">
        <x:v>6274.3294100822004</x:v>
      </x:c>
      <x:c r="H434" s="3">
        <x:v>1505839.0584197282</x:v>
      </x:c>
    </x:row>
    <x:row r="435">
      <x:c r="A435" s="2" t="s">
        <x:v>31</x:v>
      </x:c>
      <x:c r="B435" s="2">
        <x:v>11295</x:v>
      </x:c>
      <x:c r="C435" s="2">
        <x:v>11879</x:v>
      </x:c>
      <x:c r="D435" s="2" t="s">
        <x:v>25</x:v>
      </x:c>
      <x:c r="E435" s="2">
        <x:v>47</x:v>
      </x:c>
      <x:c r="F435" s="2">
        <x:v>240</x:v>
      </x:c>
      <x:c r="G435" s="3">
        <x:v>6274.3294100822004</x:v>
      </x:c>
      <x:c r="H435" s="3">
        <x:v>1505839.0584197282</x:v>
      </x:c>
    </x:row>
    <x:row r="436">
      <x:c r="A436" s="2" t="s">
        <x:v>31</x:v>
      </x:c>
      <x:c r="B436" s="2">
        <x:v>11296</x:v>
      </x:c>
      <x:c r="C436" s="2">
        <x:v>11880</x:v>
      </x:c>
      <x:c r="D436" s="2" t="s">
        <x:v>25</x:v>
      </x:c>
      <x:c r="E436" s="2">
        <x:v>49</x:v>
      </x:c>
      <x:c r="F436" s="2">
        <x:v>240</x:v>
      </x:c>
      <x:c r="G436" s="3">
        <x:v>6274.3294100822004</x:v>
      </x:c>
      <x:c r="H436" s="3">
        <x:v>1505839.0584197282</x:v>
      </x:c>
    </x:row>
    <x:row r="437">
      <x:c r="A437" s="2" t="s">
        <x:v>31</x:v>
      </x:c>
      <x:c r="B437" s="2">
        <x:v>11297</x:v>
      </x:c>
      <x:c r="C437" s="2">
        <x:v>11881</x:v>
      </x:c>
      <x:c r="D437" s="2" t="s">
        <x:v>25</x:v>
      </x:c>
      <x:c r="E437" s="2">
        <x:v>45</x:v>
      </x:c>
      <x:c r="F437" s="2">
        <x:v>240</x:v>
      </x:c>
      <x:c r="G437" s="3">
        <x:v>6274.3294100822004</x:v>
      </x:c>
      <x:c r="H437" s="3">
        <x:v>1505839.0584197282</x:v>
      </x:c>
    </x:row>
    <x:row r="438">
      <x:c r="A438" s="2" t="s">
        <x:v>31</x:v>
      </x:c>
      <x:c r="B438" s="2">
        <x:v>11298</x:v>
      </x:c>
      <x:c r="C438" s="2">
        <x:v>11882</x:v>
      </x:c>
      <x:c r="D438" s="2" t="s">
        <x:v>25</x:v>
      </x:c>
      <x:c r="E438" s="2">
        <x:v>44</x:v>
      </x:c>
      <x:c r="F438" s="2">
        <x:v>240</x:v>
      </x:c>
      <x:c r="G438" s="3">
        <x:v>6274.3294100822004</x:v>
      </x:c>
      <x:c r="H438" s="3">
        <x:v>1505839.0584197282</x:v>
      </x:c>
    </x:row>
    <x:row r="439">
      <x:c r="A439" s="2" t="s">
        <x:v>31</x:v>
      </x:c>
      <x:c r="B439" s="2">
        <x:v>11299</x:v>
      </x:c>
      <x:c r="C439" s="2">
        <x:v>11883</x:v>
      </x:c>
      <x:c r="D439" s="2" t="s">
        <x:v>25</x:v>
      </x:c>
      <x:c r="E439" s="2">
        <x:v>43</x:v>
      </x:c>
      <x:c r="F439" s="2">
        <x:v>240</x:v>
      </x:c>
      <x:c r="G439" s="3">
        <x:v>6274.3294100822004</x:v>
      </x:c>
      <x:c r="H439" s="3">
        <x:v>1505839.0584197282</x:v>
      </x:c>
    </x:row>
    <x:row r="440">
      <x:c r="A440" s="2" t="s">
        <x:v>31</x:v>
      </x:c>
      <x:c r="B440" s="2">
        <x:v>11300</x:v>
      </x:c>
      <x:c r="C440" s="2">
        <x:v>11884</x:v>
      </x:c>
      <x:c r="D440" s="2" t="s">
        <x:v>25</x:v>
      </x:c>
      <x:c r="E440" s="2">
        <x:v>46</x:v>
      </x:c>
      <x:c r="F440" s="2">
        <x:v>240</x:v>
      </x:c>
      <x:c r="G440" s="3">
        <x:v>6274.3294100822004</x:v>
      </x:c>
      <x:c r="H440" s="3">
        <x:v>1505839.0584197282</x:v>
      </x:c>
    </x:row>
    <x:row r="441">
      <x:c r="A441" s="2" t="s">
        <x:v>31</x:v>
      </x:c>
      <x:c r="B441" s="2">
        <x:v>11301</x:v>
      </x:c>
      <x:c r="C441" s="2">
        <x:v>11885</x:v>
      </x:c>
      <x:c r="D441" s="2" t="s">
        <x:v>25</x:v>
      </x:c>
      <x:c r="E441" s="2">
        <x:v>46</x:v>
      </x:c>
      <x:c r="F441" s="2">
        <x:v>240</x:v>
      </x:c>
      <x:c r="G441" s="3">
        <x:v>6274.3294100822004</x:v>
      </x:c>
      <x:c r="H441" s="3">
        <x:v>1505839.0584197282</x:v>
      </x:c>
    </x:row>
    <x:row r="442">
      <x:c r="A442" s="2" t="s">
        <x:v>31</x:v>
      </x:c>
      <x:c r="B442" s="2">
        <x:v>11302</x:v>
      </x:c>
      <x:c r="C442" s="2">
        <x:v>11886</x:v>
      </x:c>
      <x:c r="D442" s="2" t="s">
        <x:v>25</x:v>
      </x:c>
      <x:c r="E442" s="2">
        <x:v>49</x:v>
      </x:c>
      <x:c r="F442" s="2">
        <x:v>240</x:v>
      </x:c>
      <x:c r="G442" s="3">
        <x:v>6274.3294100822004</x:v>
      </x:c>
      <x:c r="H442" s="3">
        <x:v>1505839.0584197282</x:v>
      </x:c>
    </x:row>
    <x:row r="443">
      <x:c r="A443" s="2" t="s">
        <x:v>31</x:v>
      </x:c>
      <x:c r="B443" s="2">
        <x:v>11303</x:v>
      </x:c>
      <x:c r="C443" s="2">
        <x:v>11887</x:v>
      </x:c>
      <x:c r="D443" s="2" t="s">
        <x:v>25</x:v>
      </x:c>
      <x:c r="E443" s="2">
        <x:v>50</x:v>
      </x:c>
      <x:c r="F443" s="2">
        <x:v>240</x:v>
      </x:c>
      <x:c r="G443" s="3">
        <x:v>6274.3294100822004</x:v>
      </x:c>
      <x:c r="H443" s="3">
        <x:v>1505839.0584197282</x:v>
      </x:c>
    </x:row>
    <x:row r="444">
      <x:c r="A444" s="2" t="s">
        <x:v>31</x:v>
      </x:c>
      <x:c r="B444" s="2">
        <x:v>11304</x:v>
      </x:c>
      <x:c r="C444" s="2">
        <x:v>11888</x:v>
      </x:c>
      <x:c r="D444" s="2" t="s">
        <x:v>25</x:v>
      </x:c>
      <x:c r="E444" s="2">
        <x:v>48</x:v>
      </x:c>
      <x:c r="F444" s="2">
        <x:v>240</x:v>
      </x:c>
      <x:c r="G444" s="3">
        <x:v>6274.3294100822004</x:v>
      </x:c>
      <x:c r="H444" s="3">
        <x:v>1505839.0584197282</x:v>
      </x:c>
    </x:row>
    <x:row r="445">
      <x:c r="A445" s="2" t="s">
        <x:v>31</x:v>
      </x:c>
      <x:c r="B445" s="2">
        <x:v>11305</x:v>
      </x:c>
      <x:c r="C445" s="2">
        <x:v>11889</x:v>
      </x:c>
      <x:c r="D445" s="2" t="s">
        <x:v>25</x:v>
      </x:c>
      <x:c r="E445" s="2">
        <x:v>47</x:v>
      </x:c>
      <x:c r="F445" s="2">
        <x:v>240</x:v>
      </x:c>
      <x:c r="G445" s="3">
        <x:v>6274.3294100822004</x:v>
      </x:c>
      <x:c r="H445" s="3">
        <x:v>1505839.0584197282</x:v>
      </x:c>
    </x:row>
    <x:row r="446">
      <x:c r="A446" s="2" t="s">
        <x:v>31</x:v>
      </x:c>
      <x:c r="B446" s="2">
        <x:v>11306</x:v>
      </x:c>
      <x:c r="C446" s="2">
        <x:v>11890</x:v>
      </x:c>
      <x:c r="D446" s="2" t="s">
        <x:v>25</x:v>
      </x:c>
      <x:c r="E446" s="2">
        <x:v>50</x:v>
      </x:c>
      <x:c r="F446" s="2">
        <x:v>240</x:v>
      </x:c>
      <x:c r="G446" s="3">
        <x:v>6274.3294100822004</x:v>
      </x:c>
      <x:c r="H446" s="3">
        <x:v>1505839.0584197282</x:v>
      </x:c>
    </x:row>
    <x:row r="447">
      <x:c r="A447" s="2" t="s">
        <x:v>31</x:v>
      </x:c>
      <x:c r="B447" s="2">
        <x:v>11307</x:v>
      </x:c>
      <x:c r="C447" s="2">
        <x:v>11891</x:v>
      </x:c>
      <x:c r="D447" s="2" t="s">
        <x:v>25</x:v>
      </x:c>
      <x:c r="E447" s="2">
        <x:v>51</x:v>
      </x:c>
      <x:c r="F447" s="2">
        <x:v>240</x:v>
      </x:c>
      <x:c r="G447" s="3">
        <x:v>6274.3294100822004</x:v>
      </x:c>
      <x:c r="H447" s="3">
        <x:v>1505839.0584197282</x:v>
      </x:c>
    </x:row>
    <x:row r="448">
      <x:c r="A448" s="2" t="s">
        <x:v>31</x:v>
      </x:c>
      <x:c r="B448" s="2">
        <x:v>11366</x:v>
      </x:c>
      <x:c r="C448" s="2">
        <x:v>11892</x:v>
      </x:c>
      <x:c r="D448" s="2" t="s">
        <x:v>24</x:v>
      </x:c>
      <x:c r="E448" s="2">
        <x:v>37</x:v>
      </x:c>
      <x:c r="F448" s="2">
        <x:v>240</x:v>
      </x:c>
      <x:c r="G448" s="3">
        <x:v>6274.3294100822004</x:v>
      </x:c>
      <x:c r="H448" s="3">
        <x:v>1505839.0584197282</x:v>
      </x:c>
    </x:row>
    <x:row r="449">
      <x:c r="A449" s="2" t="s">
        <x:v>31</x:v>
      </x:c>
      <x:c r="B449" s="2">
        <x:v>11367</x:v>
      </x:c>
      <x:c r="C449" s="2">
        <x:v>11893</x:v>
      </x:c>
      <x:c r="D449" s="2" t="s">
        <x:v>24</x:v>
      </x:c>
      <x:c r="E449" s="2">
        <x:v>35</x:v>
      </x:c>
      <x:c r="F449" s="2">
        <x:v>240</x:v>
      </x:c>
      <x:c r="G449" s="3">
        <x:v>6274.3294100822004</x:v>
      </x:c>
      <x:c r="H449" s="3">
        <x:v>1505839.0584197282</x:v>
      </x:c>
    </x:row>
    <x:row r="450">
      <x:c r="A450" s="2" t="s">
        <x:v>31</x:v>
      </x:c>
      <x:c r="B450" s="2">
        <x:v>11368</x:v>
      </x:c>
      <x:c r="C450" s="2">
        <x:v>11894</x:v>
      </x:c>
      <x:c r="D450" s="2" t="s">
        <x:v>24</x:v>
      </x:c>
      <x:c r="E450" s="2">
        <x:v>36</x:v>
      </x:c>
      <x:c r="F450" s="2">
        <x:v>240</x:v>
      </x:c>
      <x:c r="G450" s="3">
        <x:v>6274.3294100822004</x:v>
      </x:c>
      <x:c r="H450" s="3">
        <x:v>1505839.0584197282</x:v>
      </x:c>
    </x:row>
    <x:row r="451">
      <x:c r="A451" s="2" t="s">
        <x:v>31</x:v>
      </x:c>
      <x:c r="B451" s="2">
        <x:v>11369</x:v>
      </x:c>
      <x:c r="C451" s="2">
        <x:v>11895</x:v>
      </x:c>
      <x:c r="D451" s="2" t="s">
        <x:v>24</x:v>
      </x:c>
      <x:c r="E451" s="2">
        <x:v>38</x:v>
      </x:c>
      <x:c r="F451" s="2">
        <x:v>240</x:v>
      </x:c>
      <x:c r="G451" s="3">
        <x:v>6274.3294100822004</x:v>
      </x:c>
      <x:c r="H451" s="3">
        <x:v>1505839.0584197282</x:v>
      </x:c>
    </x:row>
    <x:row r="452">
      <x:c r="A452" s="2" t="s">
        <x:v>31</x:v>
      </x:c>
      <x:c r="B452" s="2">
        <x:v>11370</x:v>
      </x:c>
      <x:c r="C452" s="2">
        <x:v>11896</x:v>
      </x:c>
      <x:c r="D452" s="2" t="s">
        <x:v>24</x:v>
      </x:c>
      <x:c r="E452" s="2">
        <x:v>38</x:v>
      </x:c>
      <x:c r="F452" s="2">
        <x:v>240</x:v>
      </x:c>
      <x:c r="G452" s="3">
        <x:v>6274.3294100822004</x:v>
      </x:c>
      <x:c r="H452" s="3">
        <x:v>1505839.0584197282</x:v>
      </x:c>
    </x:row>
    <x:row r="453">
      <x:c r="A453" s="2" t="s">
        <x:v>31</x:v>
      </x:c>
      <x:c r="B453" s="2">
        <x:v>11371</x:v>
      </x:c>
      <x:c r="C453" s="2">
        <x:v>11897</x:v>
      </x:c>
      <x:c r="D453" s="2" t="s">
        <x:v>24</x:v>
      </x:c>
      <x:c r="E453" s="2">
        <x:v>39</x:v>
      </x:c>
      <x:c r="F453" s="2">
        <x:v>240</x:v>
      </x:c>
      <x:c r="G453" s="3">
        <x:v>6274.3294100822004</x:v>
      </x:c>
      <x:c r="H453" s="3">
        <x:v>1505839.0584197282</x:v>
      </x:c>
    </x:row>
    <x:row r="454">
      <x:c r="A454" s="2" t="s">
        <x:v>31</x:v>
      </x:c>
      <x:c r="B454" s="2">
        <x:v>11372</x:v>
      </x:c>
      <x:c r="C454" s="2">
        <x:v>11898</x:v>
      </x:c>
      <x:c r="D454" s="2" t="s">
        <x:v>24</x:v>
      </x:c>
      <x:c r="E454" s="2">
        <x:v>35</x:v>
      </x:c>
      <x:c r="F454" s="2">
        <x:v>240</x:v>
      </x:c>
      <x:c r="G454" s="3">
        <x:v>6274.3294100822004</x:v>
      </x:c>
      <x:c r="H454" s="3">
        <x:v>1505839.0584197282</x:v>
      </x:c>
    </x:row>
    <x:row r="455">
      <x:c r="A455" s="2" t="s">
        <x:v>31</x:v>
      </x:c>
      <x:c r="B455" s="2">
        <x:v>11373</x:v>
      </x:c>
      <x:c r="C455" s="2">
        <x:v>11899</x:v>
      </x:c>
      <x:c r="D455" s="2" t="s">
        <x:v>24</x:v>
      </x:c>
      <x:c r="E455" s="2">
        <x:v>40</x:v>
      </x:c>
      <x:c r="F455" s="2">
        <x:v>240</x:v>
      </x:c>
      <x:c r="G455" s="3">
        <x:v>6274.3294100822004</x:v>
      </x:c>
      <x:c r="H455" s="3">
        <x:v>1505839.0584197282</x:v>
      </x:c>
    </x:row>
    <x:row r="456">
      <x:c r="A456" s="2" t="s">
        <x:v>31</x:v>
      </x:c>
      <x:c r="B456" s="2">
        <x:v>11374</x:v>
      </x:c>
      <x:c r="C456" s="2">
        <x:v>11900</x:v>
      </x:c>
      <x:c r="D456" s="2" t="s">
        <x:v>24</x:v>
      </x:c>
      <x:c r="E456" s="2">
        <x:v>38</x:v>
      </x:c>
      <x:c r="F456" s="2">
        <x:v>240</x:v>
      </x:c>
      <x:c r="G456" s="3">
        <x:v>6274.3294100822004</x:v>
      </x:c>
      <x:c r="H456" s="3">
        <x:v>1505839.0584197282</x:v>
      </x:c>
    </x:row>
    <x:row r="457">
      <x:c r="A457" s="2" t="s">
        <x:v>31</x:v>
      </x:c>
      <x:c r="B457" s="2">
        <x:v>11375</x:v>
      </x:c>
      <x:c r="C457" s="2">
        <x:v>11901</x:v>
      </x:c>
      <x:c r="D457" s="2" t="s">
        <x:v>24</x:v>
      </x:c>
      <x:c r="E457" s="2">
        <x:v>37</x:v>
      </x:c>
      <x:c r="F457" s="2">
        <x:v>240</x:v>
      </x:c>
      <x:c r="G457" s="3">
        <x:v>6274.3294100822004</x:v>
      </x:c>
      <x:c r="H457" s="3">
        <x:v>1505839.0584197282</x:v>
      </x:c>
    </x:row>
    <x:row r="458">
      <x:c r="A458" s="2" t="s">
        <x:v>31</x:v>
      </x:c>
      <x:c r="B458" s="2">
        <x:v>11376</x:v>
      </x:c>
      <x:c r="C458" s="2">
        <x:v>11902</x:v>
      </x:c>
      <x:c r="D458" s="2" t="s">
        <x:v>24</x:v>
      </x:c>
      <x:c r="E458" s="2">
        <x:v>41</x:v>
      </x:c>
      <x:c r="F458" s="2">
        <x:v>240</x:v>
      </x:c>
      <x:c r="G458" s="3">
        <x:v>6274.3294100822004</x:v>
      </x:c>
      <x:c r="H458" s="3">
        <x:v>1505839.0584197282</x:v>
      </x:c>
    </x:row>
    <x:row r="459">
      <x:c r="A459" s="2" t="s">
        <x:v>31</x:v>
      </x:c>
      <x:c r="B459" s="2">
        <x:v>11377</x:v>
      </x:c>
      <x:c r="C459" s="2">
        <x:v>11903</x:v>
      </x:c>
      <x:c r="D459" s="2" t="s">
        <x:v>24</x:v>
      </x:c>
      <x:c r="E459" s="2">
        <x:v>42</x:v>
      </x:c>
      <x:c r="F459" s="2">
        <x:v>240</x:v>
      </x:c>
      <x:c r="G459" s="3">
        <x:v>6274.3294100822004</x:v>
      </x:c>
      <x:c r="H459" s="3">
        <x:v>1505839.0584197282</x:v>
      </x:c>
    </x:row>
    <x:row r="460">
      <x:c r="A460" s="2" t="s">
        <x:v>31</x:v>
      </x:c>
      <x:c r="B460" s="2">
        <x:v>11378</x:v>
      </x:c>
      <x:c r="C460" s="2">
        <x:v>11904</x:v>
      </x:c>
      <x:c r="D460" s="2" t="s">
        <x:v>24</x:v>
      </x:c>
      <x:c r="E460" s="2">
        <x:v>40</x:v>
      </x:c>
      <x:c r="F460" s="2">
        <x:v>240</x:v>
      </x:c>
      <x:c r="G460" s="3">
        <x:v>6274.3294100822004</x:v>
      </x:c>
      <x:c r="H460" s="3">
        <x:v>1505839.0584197282</x:v>
      </x:c>
    </x:row>
    <x:row r="461">
      <x:c r="A461" s="2" t="s">
        <x:v>31</x:v>
      </x:c>
      <x:c r="B461" s="2">
        <x:v>11379</x:v>
      </x:c>
      <x:c r="C461" s="2">
        <x:v>11905</x:v>
      </x:c>
      <x:c r="D461" s="2" t="s">
        <x:v>24</x:v>
      </x:c>
      <x:c r="E461" s="2">
        <x:v>37</x:v>
      </x:c>
      <x:c r="F461" s="2">
        <x:v>240</x:v>
      </x:c>
      <x:c r="G461" s="3">
        <x:v>6274.3294100822004</x:v>
      </x:c>
      <x:c r="H461" s="3">
        <x:v>1505839.0584197282</x:v>
      </x:c>
    </x:row>
    <x:row r="462">
      <x:c r="A462" s="2" t="s">
        <x:v>31</x:v>
      </x:c>
      <x:c r="B462" s="2">
        <x:v>11380</x:v>
      </x:c>
      <x:c r="C462" s="2">
        <x:v>11906</x:v>
      </x:c>
      <x:c r="D462" s="2" t="s">
        <x:v>24</x:v>
      </x:c>
      <x:c r="E462" s="2">
        <x:v>41</x:v>
      </x:c>
      <x:c r="F462" s="2">
        <x:v>240</x:v>
      </x:c>
      <x:c r="G462" s="3">
        <x:v>6274.3294100822004</x:v>
      </x:c>
      <x:c r="H462" s="3">
        <x:v>1505839.0584197282</x:v>
      </x:c>
    </x:row>
    <x:row r="463">
      <x:c r="A463" s="2" t="s">
        <x:v>31</x:v>
      </x:c>
      <x:c r="B463" s="2">
        <x:v>11381</x:v>
      </x:c>
      <x:c r="C463" s="2">
        <x:v>11907</x:v>
      </x:c>
      <x:c r="D463" s="2" t="s">
        <x:v>24</x:v>
      </x:c>
      <x:c r="E463" s="2">
        <x:v>41</x:v>
      </x:c>
      <x:c r="F463" s="2">
        <x:v>240</x:v>
      </x:c>
      <x:c r="G463" s="3">
        <x:v>6274.3294100822004</x:v>
      </x:c>
      <x:c r="H463" s="3">
        <x:v>1505839.0584197282</x:v>
      </x:c>
    </x:row>
    <x:row r="464">
      <x:c r="A464" s="2" t="s">
        <x:v>31</x:v>
      </x:c>
      <x:c r="B464" s="2">
        <x:v>11382</x:v>
      </x:c>
      <x:c r="C464" s="2">
        <x:v>11908</x:v>
      </x:c>
      <x:c r="D464" s="2" t="s">
        <x:v>24</x:v>
      </x:c>
      <x:c r="E464" s="2">
        <x:v>35</x:v>
      </x:c>
      <x:c r="F464" s="2">
        <x:v>240</x:v>
      </x:c>
      <x:c r="G464" s="3">
        <x:v>6274.3294100822004</x:v>
      </x:c>
      <x:c r="H464" s="3">
        <x:v>1505839.0584197282</x:v>
      </x:c>
    </x:row>
    <x:row r="465">
      <x:c r="A465" s="2" t="s">
        <x:v>31</x:v>
      </x:c>
      <x:c r="B465" s="2">
        <x:v>11383</x:v>
      </x:c>
      <x:c r="C465" s="2">
        <x:v>11909</x:v>
      </x:c>
      <x:c r="D465" s="2" t="s">
        <x:v>24</x:v>
      </x:c>
      <x:c r="E465" s="2">
        <x:v>34</x:v>
      </x:c>
      <x:c r="F465" s="2">
        <x:v>240</x:v>
      </x:c>
      <x:c r="G465" s="3">
        <x:v>6274.3294100822004</x:v>
      </x:c>
      <x:c r="H465" s="3">
        <x:v>1505839.0584197282</x:v>
      </x:c>
    </x:row>
    <x:row r="466">
      <x:c r="A466" s="2" t="s">
        <x:v>31</x:v>
      </x:c>
      <x:c r="B466" s="2">
        <x:v>11384</x:v>
      </x:c>
      <x:c r="C466" s="2">
        <x:v>11910</x:v>
      </x:c>
      <x:c r="D466" s="2" t="s">
        <x:v>24</x:v>
      </x:c>
      <x:c r="E466" s="2">
        <x:v>37</x:v>
      </x:c>
      <x:c r="F466" s="2">
        <x:v>240</x:v>
      </x:c>
      <x:c r="G466" s="3">
        <x:v>6274.3294100822004</x:v>
      </x:c>
      <x:c r="H466" s="3">
        <x:v>1505839.0584197282</x:v>
      </x:c>
    </x:row>
    <x:row r="467">
      <x:c r="A467" s="2" t="s">
        <x:v>31</x:v>
      </x:c>
      <x:c r="B467" s="2">
        <x:v>11385</x:v>
      </x:c>
      <x:c r="C467" s="2">
        <x:v>11911</x:v>
      </x:c>
      <x:c r="D467" s="2" t="s">
        <x:v>24</x:v>
      </x:c>
      <x:c r="E467" s="2">
        <x:v>36</x:v>
      </x:c>
      <x:c r="F467" s="2">
        <x:v>240</x:v>
      </x:c>
      <x:c r="G467" s="3">
        <x:v>6274.3294100822004</x:v>
      </x:c>
      <x:c r="H467" s="3">
        <x:v>1505839.0584197282</x:v>
      </x:c>
    </x:row>
    <x:row r="468">
      <x:c r="A468" s="2" t="s">
        <x:v>31</x:v>
      </x:c>
      <x:c r="B468" s="2">
        <x:v>11386</x:v>
      </x:c>
      <x:c r="C468" s="2">
        <x:v>11912</x:v>
      </x:c>
      <x:c r="D468" s="2" t="s">
        <x:v>24</x:v>
      </x:c>
      <x:c r="E468" s="2">
        <x:v>34</x:v>
      </x:c>
      <x:c r="F468" s="2">
        <x:v>240</x:v>
      </x:c>
      <x:c r="G468" s="3">
        <x:v>6274.3294100822004</x:v>
      </x:c>
      <x:c r="H468" s="3">
        <x:v>1505839.0584197282</x:v>
      </x:c>
    </x:row>
    <x:row r="469">
      <x:c r="A469" s="2" t="s">
        <x:v>31</x:v>
      </x:c>
      <x:c r="B469" s="2">
        <x:v>11387</x:v>
      </x:c>
      <x:c r="C469" s="2">
        <x:v>11913</x:v>
      </x:c>
      <x:c r="D469" s="2" t="s">
        <x:v>24</x:v>
      </x:c>
      <x:c r="E469" s="2">
        <x:v>38</x:v>
      </x:c>
      <x:c r="F469" s="2">
        <x:v>240</x:v>
      </x:c>
      <x:c r="G469" s="3">
        <x:v>6274.3294100822004</x:v>
      </x:c>
      <x:c r="H469" s="3">
        <x:v>1505839.0584197282</x:v>
      </x:c>
    </x:row>
    <x:row r="470">
      <x:c r="A470" s="2" t="s">
        <x:v>31</x:v>
      </x:c>
      <x:c r="B470" s="2">
        <x:v>11388</x:v>
      </x:c>
      <x:c r="C470" s="2">
        <x:v>11914</x:v>
      </x:c>
      <x:c r="D470" s="2" t="s">
        <x:v>24</x:v>
      </x:c>
      <x:c r="E470" s="2">
        <x:v>36</x:v>
      </x:c>
      <x:c r="F470" s="2">
        <x:v>240</x:v>
      </x:c>
      <x:c r="G470" s="3">
        <x:v>6274.3294100822004</x:v>
      </x:c>
      <x:c r="H470" s="3">
        <x:v>1505839.0584197282</x:v>
      </x:c>
    </x:row>
    <x:row r="471">
      <x:c r="A471" s="2" t="s">
        <x:v>31</x:v>
      </x:c>
      <x:c r="B471" s="2">
        <x:v>11389</x:v>
      </x:c>
      <x:c r="C471" s="2">
        <x:v>11915</x:v>
      </x:c>
      <x:c r="D471" s="2" t="s">
        <x:v>24</x:v>
      </x:c>
      <x:c r="E471" s="2">
        <x:v>41</x:v>
      </x:c>
      <x:c r="F471" s="2">
        <x:v>240</x:v>
      </x:c>
      <x:c r="G471" s="3">
        <x:v>6274.3294100822004</x:v>
      </x:c>
      <x:c r="H471" s="3">
        <x:v>1505839.0584197282</x:v>
      </x:c>
    </x:row>
    <x:row r="472">
      <x:c r="A472" s="2" t="s">
        <x:v>31</x:v>
      </x:c>
      <x:c r="B472" s="2">
        <x:v>11390</x:v>
      </x:c>
      <x:c r="C472" s="2">
        <x:v>11916</x:v>
      </x:c>
      <x:c r="D472" s="2" t="s">
        <x:v>24</x:v>
      </x:c>
      <x:c r="E472" s="2">
        <x:v>36</x:v>
      </x:c>
      <x:c r="F472" s="2">
        <x:v>240</x:v>
      </x:c>
      <x:c r="G472" s="3">
        <x:v>6274.3294100822004</x:v>
      </x:c>
      <x:c r="H472" s="3">
        <x:v>1505839.0584197282</x:v>
      </x:c>
    </x:row>
    <x:row r="473">
      <x:c r="A473" s="2" t="s">
        <x:v>31</x:v>
      </x:c>
      <x:c r="B473" s="2">
        <x:v>11391</x:v>
      </x:c>
      <x:c r="C473" s="2">
        <x:v>11917</x:v>
      </x:c>
      <x:c r="D473" s="2" t="s">
        <x:v>24</x:v>
      </x:c>
      <x:c r="E473" s="2">
        <x:v>39</x:v>
      </x:c>
      <x:c r="F473" s="2">
        <x:v>240</x:v>
      </x:c>
      <x:c r="G473" s="3">
        <x:v>6274.3294100822004</x:v>
      </x:c>
      <x:c r="H473" s="3">
        <x:v>1505839.0584197282</x:v>
      </x:c>
    </x:row>
    <x:row r="474">
      <x:c r="A474" s="2" t="s">
        <x:v>31</x:v>
      </x:c>
      <x:c r="B474" s="2">
        <x:v>11392</x:v>
      </x:c>
      <x:c r="C474" s="2">
        <x:v>11918</x:v>
      </x:c>
      <x:c r="D474" s="2" t="s">
        <x:v>24</x:v>
      </x:c>
      <x:c r="E474" s="2">
        <x:v>37</x:v>
      </x:c>
      <x:c r="F474" s="2">
        <x:v>240</x:v>
      </x:c>
      <x:c r="G474" s="3">
        <x:v>6274.3294100822004</x:v>
      </x:c>
      <x:c r="H474" s="3">
        <x:v>1505839.0584197282</x:v>
      </x:c>
    </x:row>
    <x:row r="475">
      <x:c r="A475" s="2" t="s">
        <x:v>31</x:v>
      </x:c>
      <x:c r="B475" s="2">
        <x:v>11393</x:v>
      </x:c>
      <x:c r="C475" s="2">
        <x:v>11919</x:v>
      </x:c>
      <x:c r="D475" s="2" t="s">
        <x:v>24</x:v>
      </x:c>
      <x:c r="E475" s="2">
        <x:v>40</x:v>
      </x:c>
      <x:c r="F475" s="2">
        <x:v>240</x:v>
      </x:c>
      <x:c r="G475" s="3">
        <x:v>6274.3294100822004</x:v>
      </x:c>
      <x:c r="H475" s="3">
        <x:v>1505839.0584197282</x:v>
      </x:c>
    </x:row>
    <x:row r="476">
      <x:c r="A476" s="2" t="s">
        <x:v>31</x:v>
      </x:c>
      <x:c r="B476" s="2">
        <x:v>11394</x:v>
      </x:c>
      <x:c r="C476" s="2">
        <x:v>11920</x:v>
      </x:c>
      <x:c r="D476" s="2" t="s">
        <x:v>24</x:v>
      </x:c>
      <x:c r="E476" s="2">
        <x:v>41</x:v>
      </x:c>
      <x:c r="F476" s="2">
        <x:v>240</x:v>
      </x:c>
      <x:c r="G476" s="3">
        <x:v>6274.3294100822004</x:v>
      </x:c>
      <x:c r="H476" s="3">
        <x:v>1505839.0584197282</x:v>
      </x:c>
    </x:row>
    <x:row r="477">
      <x:c r="A477" s="2" t="s">
        <x:v>31</x:v>
      </x:c>
      <x:c r="B477" s="2">
        <x:v>11395</x:v>
      </x:c>
      <x:c r="C477" s="2">
        <x:v>11921</x:v>
      </x:c>
      <x:c r="D477" s="2" t="s">
        <x:v>24</x:v>
      </x:c>
      <x:c r="E477" s="2">
        <x:v>38</x:v>
      </x:c>
      <x:c r="F477" s="2">
        <x:v>240</x:v>
      </x:c>
      <x:c r="G477" s="3">
        <x:v>6274.3294100822004</x:v>
      </x:c>
      <x:c r="H477" s="3">
        <x:v>1505839.0584197282</x:v>
      </x:c>
    </x:row>
    <x:row r="478">
      <x:c r="A478" s="2" t="s">
        <x:v>31</x:v>
      </x:c>
      <x:c r="B478" s="2">
        <x:v>11396</x:v>
      </x:c>
      <x:c r="C478" s="2">
        <x:v>11922</x:v>
      </x:c>
      <x:c r="D478" s="2" t="s">
        <x:v>24</x:v>
      </x:c>
      <x:c r="E478" s="2">
        <x:v>39</x:v>
      </x:c>
      <x:c r="F478" s="2">
        <x:v>240</x:v>
      </x:c>
      <x:c r="G478" s="3">
        <x:v>6274.3294100822004</x:v>
      </x:c>
      <x:c r="H478" s="3">
        <x:v>1505839.0584197282</x:v>
      </x:c>
    </x:row>
    <x:row r="479">
      <x:c r="A479" s="2" t="s">
        <x:v>31</x:v>
      </x:c>
      <x:c r="B479" s="2">
        <x:v>11397</x:v>
      </x:c>
      <x:c r="C479" s="2">
        <x:v>11923</x:v>
      </x:c>
      <x:c r="D479" s="2" t="s">
        <x:v>27</x:v>
      </x:c>
      <x:c r="E479" s="2">
        <x:v>33</x:v>
      </x:c>
      <x:c r="F479" s="2">
        <x:v>240</x:v>
      </x:c>
      <x:c r="G479" s="3">
        <x:v>6274.3294100822004</x:v>
      </x:c>
      <x:c r="H479" s="3">
        <x:v>1505839.0584197282</x:v>
      </x:c>
    </x:row>
    <x:row r="480">
      <x:c r="A480" s="2" t="s">
        <x:v>31</x:v>
      </x:c>
      <x:c r="B480" s="2">
        <x:v>11398</x:v>
      </x:c>
      <x:c r="C480" s="2">
        <x:v>11924</x:v>
      </x:c>
      <x:c r="D480" s="2" t="s">
        <x:v>25</x:v>
      </x:c>
      <x:c r="E480" s="2">
        <x:v>53</x:v>
      </x:c>
      <x:c r="F480" s="2">
        <x:v>240</x:v>
      </x:c>
      <x:c r="G480" s="3">
        <x:v>6274.3294100822004</x:v>
      </x:c>
      <x:c r="H480" s="3">
        <x:v>1505839.0584197282</x:v>
      </x:c>
    </x:row>
    <x:row r="481">
      <x:c r="A481" s="2" t="s">
        <x:v>31</x:v>
      </x:c>
      <x:c r="B481" s="2">
        <x:v>11399</x:v>
      </x:c>
      <x:c r="C481" s="2">
        <x:v>11925</x:v>
      </x:c>
      <x:c r="D481" s="2" t="s">
        <x:v>10</x:v>
      </x:c>
      <x:c r="E481" s="2">
        <x:v>0</x:v>
      </x:c>
      <x:c r="F481" s="2">
        <x:v>120</x:v>
      </x:c>
      <x:c r="G481" s="3">
        <x:v>6274.3294100822004</x:v>
      </x:c>
      <x:c r="H481" s="3">
        <x:v>752919.52920986409</x:v>
      </x:c>
    </x:row>
    <x:row r="482">
      <x:c r="A482" s="2" t="s">
        <x:v>31</x:v>
      </x:c>
      <x:c r="B482" s="2">
        <x:v>11400</x:v>
      </x:c>
      <x:c r="C482" s="2">
        <x:v>11926</x:v>
      </x:c>
      <x:c r="D482" s="2" t="s">
        <x:v>5</x:v>
      </x:c>
      <x:c r="E482" s="2">
        <x:v>0</x:v>
      </x:c>
      <x:c r="F482" s="2">
        <x:v>300</x:v>
      </x:c>
      <x:c r="G482" s="3">
        <x:v>6274.3294100822004</x:v>
      </x:c>
      <x:c r="H482" s="3">
        <x:v>1882298.8230246601</x:v>
      </x:c>
    </x:row>
    <x:row r="483">
      <x:c r="A483" s="2" t="s">
        <x:v>38</x:v>
      </x:c>
      <x:c r="B483" s="2">
        <x:v>11308</x:v>
      </x:c>
      <x:c r="C483" s="2">
        <x:v>12325</x:v>
      </x:c>
      <x:c r="D483" s="2" t="s">
        <x:v>39</x:v>
      </x:c>
      <x:c r="E483" s="2">
        <x:v>92</x:v>
      </x:c>
      <x:c r="F483" s="2">
        <x:v>600</x:v>
      </x:c>
      <x:c r="G483" s="3">
        <x:v>6274.3294100822004</x:v>
      </x:c>
      <x:c r="H483" s="3">
        <x:v>3764597.6460493202</x:v>
      </x:c>
    </x:row>
    <x:row r="484">
      <x:c r="A484" s="2" t="s">
        <x:v>38</x:v>
      </x:c>
      <x:c r="B484" s="2">
        <x:v>11309</x:v>
      </x:c>
      <x:c r="C484" s="2">
        <x:v>12326</x:v>
      </x:c>
      <x:c r="D484" s="2" t="s">
        <x:v>35</x:v>
      </x:c>
      <x:c r="E484" s="2">
        <x:v>96</x:v>
      </x:c>
      <x:c r="F484" s="2">
        <x:v>600</x:v>
      </x:c>
      <x:c r="G484" s="3">
        <x:v>6274.3294100822004</x:v>
      </x:c>
      <x:c r="H484" s="3">
        <x:v>3764597.6460493202</x:v>
      </x:c>
    </x:row>
    <x:row r="485">
      <x:c r="A485" s="2" t="s">
        <x:v>38</x:v>
      </x:c>
      <x:c r="B485" s="2">
        <x:v>11310</x:v>
      </x:c>
      <x:c r="C485" s="2">
        <x:v>12327</x:v>
      </x:c>
      <x:c r="D485" s="2" t="s">
        <x:v>40</x:v>
      </x:c>
      <x:c r="E485" s="2">
        <x:v>92</x:v>
      </x:c>
      <x:c r="F485" s="2">
        <x:v>600</x:v>
      </x:c>
      <x:c r="G485" s="3">
        <x:v>6274.3294100822004</x:v>
      </x:c>
      <x:c r="H485" s="3">
        <x:v>3764597.6460493202</x:v>
      </x:c>
    </x:row>
    <x:row r="486">
      <x:c r="A486" s="2" t="s">
        <x:v>38</x:v>
      </x:c>
      <x:c r="B486" s="2">
        <x:v>11311</x:v>
      </x:c>
      <x:c r="C486" s="2">
        <x:v>12328</x:v>
      </x:c>
      <x:c r="D486" s="2" t="s">
        <x:v>40</x:v>
      </x:c>
      <x:c r="E486" s="2">
        <x:v>94</x:v>
      </x:c>
      <x:c r="F486" s="2">
        <x:v>600</x:v>
      </x:c>
      <x:c r="G486" s="3">
        <x:v>6274.3294100822004</x:v>
      </x:c>
      <x:c r="H486" s="3">
        <x:v>3764597.6460493202</x:v>
      </x:c>
    </x:row>
    <x:row r="487">
      <x:c r="A487" s="2" t="s">
        <x:v>38</x:v>
      </x:c>
      <x:c r="B487" s="2">
        <x:v>11312</x:v>
      </x:c>
      <x:c r="C487" s="2">
        <x:v>12329</x:v>
      </x:c>
      <x:c r="D487" s="2" t="s">
        <x:v>33</x:v>
      </x:c>
      <x:c r="E487" s="2">
        <x:v>96</x:v>
      </x:c>
      <x:c r="F487" s="2">
        <x:v>600</x:v>
      </x:c>
      <x:c r="G487" s="3">
        <x:v>6274.3294100822004</x:v>
      </x:c>
      <x:c r="H487" s="3">
        <x:v>3764597.6460493202</x:v>
      </x:c>
    </x:row>
    <x:row r="488">
      <x:c r="A488" s="2" t="s">
        <x:v>38</x:v>
      </x:c>
      <x:c r="B488" s="2">
        <x:v>11313</x:v>
      </x:c>
      <x:c r="C488" s="2">
        <x:v>12330</x:v>
      </x:c>
      <x:c r="D488" s="2" t="s">
        <x:v>33</x:v>
      </x:c>
      <x:c r="E488" s="2">
        <x:v>94</x:v>
      </x:c>
      <x:c r="F488" s="2">
        <x:v>600</x:v>
      </x:c>
      <x:c r="G488" s="3">
        <x:v>6274.3294100822004</x:v>
      </x:c>
      <x:c r="H488" s="3">
        <x:v>3764597.6460493202</x:v>
      </x:c>
    </x:row>
    <x:row r="489">
      <x:c r="A489" s="2" t="s">
        <x:v>38</x:v>
      </x:c>
      <x:c r="B489" s="2">
        <x:v>11314</x:v>
      </x:c>
      <x:c r="C489" s="2">
        <x:v>12331</x:v>
      </x:c>
      <x:c r="D489" s="2" t="s">
        <x:v>33</x:v>
      </x:c>
      <x:c r="E489" s="2">
        <x:v>97</x:v>
      </x:c>
      <x:c r="F489" s="2">
        <x:v>600</x:v>
      </x:c>
      <x:c r="G489" s="3">
        <x:v>6274.3294100822004</x:v>
      </x:c>
      <x:c r="H489" s="3">
        <x:v>3764597.6460493202</x:v>
      </x:c>
    </x:row>
    <x:row r="490">
      <x:c r="A490" s="2" t="s">
        <x:v>38</x:v>
      </x:c>
      <x:c r="B490" s="2">
        <x:v>11315</x:v>
      </x:c>
      <x:c r="C490" s="2">
        <x:v>12332</x:v>
      </x:c>
      <x:c r="D490" s="2" t="s">
        <x:v>33</x:v>
      </x:c>
      <x:c r="E490" s="2">
        <x:v>108</x:v>
      </x:c>
      <x:c r="F490" s="2">
        <x:v>600</x:v>
      </x:c>
      <x:c r="G490" s="3">
        <x:v>6274.3294100822004</x:v>
      </x:c>
      <x:c r="H490" s="3">
        <x:v>3764597.6460493202</x:v>
      </x:c>
    </x:row>
    <x:row r="491">
      <x:c r="A491" s="2" t="s">
        <x:v>38</x:v>
      </x:c>
      <x:c r="B491" s="2">
        <x:v>11316</x:v>
      </x:c>
      <x:c r="C491" s="2">
        <x:v>12333</x:v>
      </x:c>
      <x:c r="D491" s="2" t="s">
        <x:v>33</x:v>
      </x:c>
      <x:c r="E491" s="2">
        <x:v>101</x:v>
      </x:c>
      <x:c r="F491" s="2">
        <x:v>600</x:v>
      </x:c>
      <x:c r="G491" s="3">
        <x:v>6274.3294100822004</x:v>
      </x:c>
      <x:c r="H491" s="3">
        <x:v>3764597.6460493202</x:v>
      </x:c>
    </x:row>
    <x:row r="492">
      <x:c r="A492" s="2" t="s">
        <x:v>38</x:v>
      </x:c>
      <x:c r="B492" s="2">
        <x:v>11317</x:v>
      </x:c>
      <x:c r="C492" s="2">
        <x:v>12334</x:v>
      </x:c>
      <x:c r="D492" s="2" t="s">
        <x:v>33</x:v>
      </x:c>
      <x:c r="E492" s="2">
        <x:v>84</x:v>
      </x:c>
      <x:c r="F492" s="2">
        <x:v>600</x:v>
      </x:c>
      <x:c r="G492" s="3">
        <x:v>6274.3294100822004</x:v>
      </x:c>
      <x:c r="H492" s="3">
        <x:v>3764597.6460493202</x:v>
      </x:c>
    </x:row>
    <x:row r="493">
      <x:c r="A493" s="2" t="s">
        <x:v>38</x:v>
      </x:c>
      <x:c r="B493" s="2">
        <x:v>11318</x:v>
      </x:c>
      <x:c r="C493" s="2">
        <x:v>12335</x:v>
      </x:c>
      <x:c r="D493" s="2" t="s">
        <x:v>41</x:v>
      </x:c>
      <x:c r="E493" s="2">
        <x:v>80</x:v>
      </x:c>
      <x:c r="F493" s="2">
        <x:v>600</x:v>
      </x:c>
      <x:c r="G493" s="3">
        <x:v>6274.3294100822004</x:v>
      </x:c>
      <x:c r="H493" s="3">
        <x:v>3764597.6460493202</x:v>
      </x:c>
    </x:row>
    <x:row r="494">
      <x:c r="A494" s="2" t="s">
        <x:v>38</x:v>
      </x:c>
      <x:c r="B494" s="2">
        <x:v>11319</x:v>
      </x:c>
      <x:c r="C494" s="2">
        <x:v>12336</x:v>
      </x:c>
      <x:c r="D494" s="2" t="s">
        <x:v>41</x:v>
      </x:c>
      <x:c r="E494" s="2">
        <x:v>83</x:v>
      </x:c>
      <x:c r="F494" s="2">
        <x:v>600</x:v>
      </x:c>
      <x:c r="G494" s="3">
        <x:v>6274.3294100822004</x:v>
      </x:c>
      <x:c r="H494" s="3">
        <x:v>3764597.6460493202</x:v>
      </x:c>
    </x:row>
    <x:row r="495">
      <x:c r="A495" s="2" t="s">
        <x:v>38</x:v>
      </x:c>
      <x:c r="B495" s="2">
        <x:v>11320</x:v>
      </x:c>
      <x:c r="C495" s="2">
        <x:v>12337</x:v>
      </x:c>
      <x:c r="D495" s="2" t="s">
        <x:v>41</x:v>
      </x:c>
      <x:c r="E495" s="2">
        <x:v>88</x:v>
      </x:c>
      <x:c r="F495" s="2">
        <x:v>600</x:v>
      </x:c>
      <x:c r="G495" s="3">
        <x:v>6274.3294100822004</x:v>
      </x:c>
      <x:c r="H495" s="3">
        <x:v>3764597.6460493202</x:v>
      </x:c>
    </x:row>
    <x:row r="496">
      <x:c r="A496" s="2" t="s">
        <x:v>38</x:v>
      </x:c>
      <x:c r="B496" s="2">
        <x:v>11321</x:v>
      </x:c>
      <x:c r="C496" s="2">
        <x:v>12338</x:v>
      </x:c>
      <x:c r="D496" s="2" t="s">
        <x:v>41</x:v>
      </x:c>
      <x:c r="E496" s="2">
        <x:v>82</x:v>
      </x:c>
      <x:c r="F496" s="2">
        <x:v>600</x:v>
      </x:c>
      <x:c r="G496" s="3">
        <x:v>6274.3294100822004</x:v>
      </x:c>
      <x:c r="H496" s="3">
        <x:v>3764597.6460493202</x:v>
      </x:c>
    </x:row>
    <x:row r="497">
      <x:c r="A497" s="2" t="s">
        <x:v>38</x:v>
      </x:c>
      <x:c r="B497" s="2">
        <x:v>11322</x:v>
      </x:c>
      <x:c r="C497" s="2">
        <x:v>12339</x:v>
      </x:c>
      <x:c r="D497" s="2" t="s">
        <x:v>41</x:v>
      </x:c>
      <x:c r="E497" s="2">
        <x:v>89</x:v>
      </x:c>
      <x:c r="F497" s="2">
        <x:v>600</x:v>
      </x:c>
      <x:c r="G497" s="3">
        <x:v>6274.3294100822004</x:v>
      </x:c>
      <x:c r="H497" s="3">
        <x:v>3764597.6460493202</x:v>
      </x:c>
    </x:row>
    <x:row r="498">
      <x:c r="A498" s="2" t="s">
        <x:v>38</x:v>
      </x:c>
      <x:c r="B498" s="2">
        <x:v>11323</x:v>
      </x:c>
      <x:c r="C498" s="2">
        <x:v>12340</x:v>
      </x:c>
      <x:c r="D498" s="2" t="s">
        <x:v>41</x:v>
      </x:c>
      <x:c r="E498" s="2">
        <x:v>79</x:v>
      </x:c>
      <x:c r="F498" s="2">
        <x:v>600</x:v>
      </x:c>
      <x:c r="G498" s="3">
        <x:v>6274.3294100822004</x:v>
      </x:c>
      <x:c r="H498" s="3">
        <x:v>3764597.6460493202</x:v>
      </x:c>
    </x:row>
    <x:row r="499">
      <x:c r="A499" s="2" t="s">
        <x:v>38</x:v>
      </x:c>
      <x:c r="B499" s="2">
        <x:v>11324</x:v>
      </x:c>
      <x:c r="C499" s="2">
        <x:v>12341</x:v>
      </x:c>
      <x:c r="D499" s="2" t="s">
        <x:v>41</x:v>
      </x:c>
      <x:c r="E499" s="2">
        <x:v>88</x:v>
      </x:c>
      <x:c r="F499" s="2">
        <x:v>600</x:v>
      </x:c>
      <x:c r="G499" s="3">
        <x:v>6274.3294100822004</x:v>
      </x:c>
      <x:c r="H499" s="3">
        <x:v>3764597.6460493202</x:v>
      </x:c>
    </x:row>
    <x:row r="500">
      <x:c r="A500" s="2" t="s">
        <x:v>38</x:v>
      </x:c>
      <x:c r="B500" s="2">
        <x:v>11325</x:v>
      </x:c>
      <x:c r="C500" s="2">
        <x:v>12342</x:v>
      </x:c>
      <x:c r="D500" s="2" t="s">
        <x:v>41</x:v>
      </x:c>
      <x:c r="E500" s="2">
        <x:v>86</x:v>
      </x:c>
      <x:c r="F500" s="2">
        <x:v>600</x:v>
      </x:c>
      <x:c r="G500" s="3">
        <x:v>6274.3294100822004</x:v>
      </x:c>
      <x:c r="H500" s="3">
        <x:v>3764597.6460493202</x:v>
      </x:c>
    </x:row>
    <x:row r="501">
      <x:c r="A501" s="2" t="s">
        <x:v>38</x:v>
      </x:c>
      <x:c r="B501" s="2">
        <x:v>11326</x:v>
      </x:c>
      <x:c r="C501" s="2">
        <x:v>12343</x:v>
      </x:c>
      <x:c r="D501" s="2" t="s">
        <x:v>41</x:v>
      </x:c>
      <x:c r="E501" s="2">
        <x:v>74</x:v>
      </x:c>
      <x:c r="F501" s="2">
        <x:v>600</x:v>
      </x:c>
      <x:c r="G501" s="3">
        <x:v>6274.3294100822004</x:v>
      </x:c>
      <x:c r="H501" s="3">
        <x:v>3764597.6460493202</x:v>
      </x:c>
    </x:row>
    <x:row r="502">
      <x:c r="A502" s="2" t="s">
        <x:v>38</x:v>
      </x:c>
      <x:c r="B502" s="2">
        <x:v>11327</x:v>
      </x:c>
      <x:c r="C502" s="2">
        <x:v>12344</x:v>
      </x:c>
      <x:c r="D502" s="2" t="s">
        <x:v>41</x:v>
      </x:c>
      <x:c r="E502" s="2">
        <x:v>82</x:v>
      </x:c>
      <x:c r="F502" s="2">
        <x:v>600</x:v>
      </x:c>
      <x:c r="G502" s="3">
        <x:v>6274.3294100822004</x:v>
      </x:c>
      <x:c r="H502" s="3">
        <x:v>3764597.6460493202</x:v>
      </x:c>
    </x:row>
    <x:row r="503">
      <x:c r="A503" s="2" t="s">
        <x:v>38</x:v>
      </x:c>
      <x:c r="B503" s="2">
        <x:v>11328</x:v>
      </x:c>
      <x:c r="C503" s="2">
        <x:v>12345</x:v>
      </x:c>
      <x:c r="D503" s="2" t="s">
        <x:v>42</x:v>
      </x:c>
      <x:c r="E503" s="2">
        <x:v>114</x:v>
      </x:c>
      <x:c r="F503" s="2">
        <x:v>600</x:v>
      </x:c>
      <x:c r="G503" s="3">
        <x:v>6274.3294100822004</x:v>
      </x:c>
      <x:c r="H503" s="3">
        <x:v>3764597.6460493202</x:v>
      </x:c>
    </x:row>
    <x:row r="504">
      <x:c r="A504" s="2" t="s">
        <x:v>38</x:v>
      </x:c>
      <x:c r="B504" s="2">
        <x:v>11329</x:v>
      </x:c>
      <x:c r="C504" s="2">
        <x:v>12346</x:v>
      </x:c>
      <x:c r="D504" s="2" t="s">
        <x:v>42</x:v>
      </x:c>
      <x:c r="E504" s="2">
        <x:v>110</x:v>
      </x:c>
      <x:c r="F504" s="2">
        <x:v>600</x:v>
      </x:c>
      <x:c r="G504" s="3">
        <x:v>6274.3294100822004</x:v>
      </x:c>
      <x:c r="H504" s="3">
        <x:v>3764597.6460493202</x:v>
      </x:c>
    </x:row>
    <x:row r="505">
      <x:c r="A505" s="2" t="s">
        <x:v>38</x:v>
      </x:c>
      <x:c r="B505" s="2">
        <x:v>11330</x:v>
      </x:c>
      <x:c r="C505" s="2">
        <x:v>12347</x:v>
      </x:c>
      <x:c r="D505" s="2" t="s">
        <x:v>42</x:v>
      </x:c>
      <x:c r="E505" s="2">
        <x:v>111</x:v>
      </x:c>
      <x:c r="F505" s="2">
        <x:v>600</x:v>
      </x:c>
      <x:c r="G505" s="3">
        <x:v>6274.3294100822004</x:v>
      </x:c>
      <x:c r="H505" s="3">
        <x:v>3764597.6460493202</x:v>
      </x:c>
    </x:row>
    <x:row r="506">
      <x:c r="A506" s="2" t="s">
        <x:v>38</x:v>
      </x:c>
      <x:c r="B506" s="2">
        <x:v>11331</x:v>
      </x:c>
      <x:c r="C506" s="2">
        <x:v>12348</x:v>
      </x:c>
      <x:c r="D506" s="2" t="s">
        <x:v>22</x:v>
      </x:c>
      <x:c r="E506" s="2">
        <x:v>83</x:v>
      </x:c>
      <x:c r="F506" s="2">
        <x:v>600</x:v>
      </x:c>
      <x:c r="G506" s="3">
        <x:v>6274.3294100822004</x:v>
      </x:c>
      <x:c r="H506" s="3">
        <x:v>3764597.6460493202</x:v>
      </x:c>
    </x:row>
    <x:row r="507">
      <x:c r="A507" s="2" t="s">
        <x:v>38</x:v>
      </x:c>
      <x:c r="B507" s="2">
        <x:v>11332</x:v>
      </x:c>
      <x:c r="C507" s="2">
        <x:v>12349</x:v>
      </x:c>
      <x:c r="D507" s="2" t="s">
        <x:v>22</x:v>
      </x:c>
      <x:c r="E507" s="2">
        <x:v>93</x:v>
      </x:c>
      <x:c r="F507" s="2">
        <x:v>600</x:v>
      </x:c>
      <x:c r="G507" s="3">
        <x:v>6274.3294100822004</x:v>
      </x:c>
      <x:c r="H507" s="3">
        <x:v>3764597.6460493202</x:v>
      </x:c>
    </x:row>
    <x:row r="508">
      <x:c r="A508" s="2" t="s">
        <x:v>38</x:v>
      </x:c>
      <x:c r="B508" s="2">
        <x:v>11333</x:v>
      </x:c>
      <x:c r="C508" s="2">
        <x:v>12350</x:v>
      </x:c>
      <x:c r="D508" s="2" t="s">
        <x:v>22</x:v>
      </x:c>
      <x:c r="E508" s="2">
        <x:v>90</x:v>
      </x:c>
      <x:c r="F508" s="2">
        <x:v>600</x:v>
      </x:c>
      <x:c r="G508" s="3">
        <x:v>6274.3294100822004</x:v>
      </x:c>
      <x:c r="H508" s="3">
        <x:v>3764597.6460493202</x:v>
      </x:c>
    </x:row>
    <x:row r="509">
      <x:c r="A509" s="2" t="s">
        <x:v>38</x:v>
      </x:c>
      <x:c r="B509" s="2">
        <x:v>11334</x:v>
      </x:c>
      <x:c r="C509" s="2">
        <x:v>12351</x:v>
      </x:c>
      <x:c r="D509" s="2" t="s">
        <x:v>22</x:v>
      </x:c>
      <x:c r="E509" s="2">
        <x:v>85</x:v>
      </x:c>
      <x:c r="F509" s="2">
        <x:v>600</x:v>
      </x:c>
      <x:c r="G509" s="3">
        <x:v>6274.3294100822004</x:v>
      </x:c>
      <x:c r="H509" s="3">
        <x:v>3764597.6460493202</x:v>
      </x:c>
    </x:row>
    <x:row r="510">
      <x:c r="A510" s="2" t="s">
        <x:v>38</x:v>
      </x:c>
      <x:c r="B510" s="2">
        <x:v>11335</x:v>
      </x:c>
      <x:c r="C510" s="2">
        <x:v>12352</x:v>
      </x:c>
      <x:c r="D510" s="2" t="s">
        <x:v>22</x:v>
      </x:c>
      <x:c r="E510" s="2">
        <x:v>79</x:v>
      </x:c>
      <x:c r="F510" s="2">
        <x:v>600</x:v>
      </x:c>
      <x:c r="G510" s="3">
        <x:v>6274.3294100822004</x:v>
      </x:c>
      <x:c r="H510" s="3">
        <x:v>3764597.6460493202</x:v>
      </x:c>
    </x:row>
    <x:row r="511">
      <x:c r="A511" s="2" t="s">
        <x:v>38</x:v>
      </x:c>
      <x:c r="B511" s="2">
        <x:v>11336</x:v>
      </x:c>
      <x:c r="C511" s="2">
        <x:v>12353</x:v>
      </x:c>
      <x:c r="D511" s="2" t="s">
        <x:v>22</x:v>
      </x:c>
      <x:c r="E511" s="2">
        <x:v>89</x:v>
      </x:c>
      <x:c r="F511" s="2">
        <x:v>600</x:v>
      </x:c>
      <x:c r="G511" s="3">
        <x:v>6274.3294100822004</x:v>
      </x:c>
      <x:c r="H511" s="3">
        <x:v>3764597.6460493202</x:v>
      </x:c>
    </x:row>
    <x:row r="512">
      <x:c r="A512" s="2" t="s">
        <x:v>38</x:v>
      </x:c>
      <x:c r="B512" s="2">
        <x:v>3485</x:v>
      </x:c>
      <x:c r="C512" s="2">
        <x:v>12354</x:v>
      </x:c>
      <x:c r="D512" s="2" t="s">
        <x:v>43</x:v>
      </x:c>
      <x:c r="E512" s="2">
        <x:v>20</x:v>
      </x:c>
      <x:c r="F512" s="2">
        <x:v>120</x:v>
      </x:c>
      <x:c r="G512" s="3">
        <x:v>8522.3829248029997</x:v>
      </x:c>
      <x:c r="H512" s="3">
        <x:v>1022685.95097636</x:v>
      </x:c>
    </x:row>
    <x:row r="513">
      <x:c r="A513" s="2" t="s">
        <x:v>38</x:v>
      </x:c>
      <x:c r="B513" s="2">
        <x:v>3488</x:v>
      </x:c>
      <x:c r="C513" s="2">
        <x:v>12355</x:v>
      </x:c>
      <x:c r="D513" s="2" t="s">
        <x:v>43</x:v>
      </x:c>
      <x:c r="E513" s="2">
        <x:v>12</x:v>
      </x:c>
      <x:c r="F513" s="2">
        <x:v>75</x:v>
      </x:c>
      <x:c r="G513" s="3">
        <x:v>8522.3829248029997</x:v>
      </x:c>
      <x:c r="H513" s="3">
        <x:v>639178.71936022502</x:v>
      </x:c>
    </x:row>
    <x:row r="514">
      <x:c r="A514" s="2" t="s">
        <x:v>38</x:v>
      </x:c>
      <x:c r="B514" s="2">
        <x:v>3501</x:v>
      </x:c>
      <x:c r="C514" s="2">
        <x:v>12356</x:v>
      </x:c>
      <x:c r="D514" s="2" t="s">
        <x:v>44</x:v>
      </x:c>
      <x:c r="E514" s="2">
        <x:v>18</x:v>
      </x:c>
      <x:c r="F514" s="2">
        <x:v>120</x:v>
      </x:c>
      <x:c r="G514" s="3">
        <x:v>8522.3829248029997</x:v>
      </x:c>
      <x:c r="H514" s="3">
        <x:v>1022685.95097636</x:v>
      </x:c>
    </x:row>
    <x:row r="515">
      <x:c r="A515" s="2" t="s">
        <x:v>38</x:v>
      </x:c>
      <x:c r="B515" s="2">
        <x:v>3502</x:v>
      </x:c>
      <x:c r="C515" s="2">
        <x:v>12357</x:v>
      </x:c>
      <x:c r="D515" s="2" t="s">
        <x:v>44</x:v>
      </x:c>
      <x:c r="E515" s="2">
        <x:v>18</x:v>
      </x:c>
      <x:c r="F515" s="2">
        <x:v>120</x:v>
      </x:c>
      <x:c r="G515" s="3">
        <x:v>8522.3829248029997</x:v>
      </x:c>
      <x:c r="H515" s="3">
        <x:v>1022685.95097636</x:v>
      </x:c>
    </x:row>
    <x:row r="516">
      <x:c r="A516" s="2" t="s">
        <x:v>38</x:v>
      </x:c>
      <x:c r="B516" s="2">
        <x:v>3503</x:v>
      </x:c>
      <x:c r="C516" s="2">
        <x:v>12358</x:v>
      </x:c>
      <x:c r="D516" s="2" t="s">
        <x:v>44</x:v>
      </x:c>
      <x:c r="E516" s="2">
        <x:v>18</x:v>
      </x:c>
      <x:c r="F516" s="2">
        <x:v>120</x:v>
      </x:c>
      <x:c r="G516" s="3">
        <x:v>8522.3829248029997</x:v>
      </x:c>
      <x:c r="H516" s="3">
        <x:v>1022685.95097636</x:v>
      </x:c>
    </x:row>
    <x:row r="517">
      <x:c r="A517" s="2" t="s">
        <x:v>38</x:v>
      </x:c>
      <x:c r="B517" s="2">
        <x:v>3504</x:v>
      </x:c>
      <x:c r="C517" s="2">
        <x:v>12359</x:v>
      </x:c>
      <x:c r="D517" s="2" t="s">
        <x:v>44</x:v>
      </x:c>
      <x:c r="E517" s="2">
        <x:v>18</x:v>
      </x:c>
      <x:c r="F517" s="2">
        <x:v>120</x:v>
      </x:c>
      <x:c r="G517" s="3">
        <x:v>8397.3829248029997</x:v>
      </x:c>
      <x:c r="H517" s="3">
        <x:v>1007685.95097636</x:v>
      </x:c>
    </x:row>
    <x:row r="518">
      <x:c r="A518" s="2" t="s">
        <x:v>38</x:v>
      </x:c>
      <x:c r="B518" s="2">
        <x:v>3506</x:v>
      </x:c>
      <x:c r="C518" s="2">
        <x:v>12360</x:v>
      </x:c>
      <x:c r="D518" s="2" t="s">
        <x:v>44</x:v>
      </x:c>
      <x:c r="E518" s="2">
        <x:v>18</x:v>
      </x:c>
      <x:c r="F518" s="2">
        <x:v>120</x:v>
      </x:c>
      <x:c r="G518" s="3">
        <x:v>8397.3829248029997</x:v>
      </x:c>
      <x:c r="H518" s="3">
        <x:v>1007685.95097636</x:v>
      </x:c>
    </x:row>
    <x:row r="519">
      <x:c r="A519" s="2" t="s">
        <x:v>38</x:v>
      </x:c>
      <x:c r="B519" s="2">
        <x:v>3514</x:v>
      </x:c>
      <x:c r="C519" s="2">
        <x:v>12361</x:v>
      </x:c>
      <x:c r="D519" s="2" t="s">
        <x:v>44</x:v>
      </x:c>
      <x:c r="E519" s="2">
        <x:v>19</x:v>
      </x:c>
      <x:c r="F519" s="2">
        <x:v>120</x:v>
      </x:c>
      <x:c r="G519" s="3">
        <x:v>8522.3829248029997</x:v>
      </x:c>
      <x:c r="H519" s="3">
        <x:v>1022685.95097636</x:v>
      </x:c>
    </x:row>
    <x:row r="520">
      <x:c r="A520" s="2" t="s">
        <x:v>38</x:v>
      </x:c>
      <x:c r="B520" s="2">
        <x:v>3515</x:v>
      </x:c>
      <x:c r="C520" s="2">
        <x:v>12362</x:v>
      </x:c>
      <x:c r="D520" s="2" t="s">
        <x:v>44</x:v>
      </x:c>
      <x:c r="E520" s="2">
        <x:v>19</x:v>
      </x:c>
      <x:c r="F520" s="2">
        <x:v>120</x:v>
      </x:c>
      <x:c r="G520" s="3">
        <x:v>8522.3829248029997</x:v>
      </x:c>
      <x:c r="H520" s="3">
        <x:v>1022685.95097636</x:v>
      </x:c>
    </x:row>
    <x:row r="521">
      <x:c r="A521" s="2" t="s">
        <x:v>38</x:v>
      </x:c>
      <x:c r="B521" s="2">
        <x:v>3518</x:v>
      </x:c>
      <x:c r="C521" s="2">
        <x:v>12363</x:v>
      </x:c>
      <x:c r="D521" s="2" t="s">
        <x:v>44</x:v>
      </x:c>
      <x:c r="E521" s="2">
        <x:v>19</x:v>
      </x:c>
      <x:c r="F521" s="2">
        <x:v>120</x:v>
      </x:c>
      <x:c r="G521" s="3">
        <x:v>8397.3829248029997</x:v>
      </x:c>
      <x:c r="H521" s="3">
        <x:v>1007685.95097636</x:v>
      </x:c>
    </x:row>
    <x:row r="522">
      <x:c r="A522" s="2" t="s">
        <x:v>38</x:v>
      </x:c>
      <x:c r="B522" s="2">
        <x:v>3524</x:v>
      </x:c>
      <x:c r="C522" s="2">
        <x:v>12364</x:v>
      </x:c>
      <x:c r="D522" s="2" t="s">
        <x:v>44</x:v>
      </x:c>
      <x:c r="E522" s="2">
        <x:v>19</x:v>
      </x:c>
      <x:c r="F522" s="2">
        <x:v>120</x:v>
      </x:c>
      <x:c r="G522" s="3">
        <x:v>8522.3829248029997</x:v>
      </x:c>
      <x:c r="H522" s="3">
        <x:v>1022685.95097636</x:v>
      </x:c>
    </x:row>
    <x:row r="523">
      <x:c r="A523" s="2" t="s">
        <x:v>38</x:v>
      </x:c>
      <x:c r="B523" s="2">
        <x:v>3528</x:v>
      </x:c>
      <x:c r="C523" s="2">
        <x:v>12365</x:v>
      </x:c>
      <x:c r="D523" s="2" t="s">
        <x:v>44</x:v>
      </x:c>
      <x:c r="E523" s="2">
        <x:v>19</x:v>
      </x:c>
      <x:c r="F523" s="2">
        <x:v>120</x:v>
      </x:c>
      <x:c r="G523" s="3">
        <x:v>8522.3829248029997</x:v>
      </x:c>
      <x:c r="H523" s="3">
        <x:v>1022685.95097636</x:v>
      </x:c>
    </x:row>
    <x:row r="524">
      <x:c r="A524" s="2" t="s">
        <x:v>38</x:v>
      </x:c>
      <x:c r="B524" s="2">
        <x:v>3529</x:v>
      </x:c>
      <x:c r="C524" s="2">
        <x:v>12366</x:v>
      </x:c>
      <x:c r="D524" s="2" t="s">
        <x:v>44</x:v>
      </x:c>
      <x:c r="E524" s="2">
        <x:v>19</x:v>
      </x:c>
      <x:c r="F524" s="2">
        <x:v>120</x:v>
      </x:c>
      <x:c r="G524" s="3">
        <x:v>8522.3829248029997</x:v>
      </x:c>
      <x:c r="H524" s="3">
        <x:v>1022685.95097636</x:v>
      </x:c>
    </x:row>
    <x:row r="525">
      <x:c r="A525" s="2" t="s">
        <x:v>38</x:v>
      </x:c>
      <x:c r="B525" s="2">
        <x:v>3531</x:v>
      </x:c>
      <x:c r="C525" s="2">
        <x:v>12367</x:v>
      </x:c>
      <x:c r="D525" s="2" t="s">
        <x:v>44</x:v>
      </x:c>
      <x:c r="E525" s="2">
        <x:v>19</x:v>
      </x:c>
      <x:c r="F525" s="2">
        <x:v>120</x:v>
      </x:c>
      <x:c r="G525" s="3">
        <x:v>8355.7162581363009</x:v>
      </x:c>
      <x:c r="H525" s="3">
        <x:v>1002685.9509763562</x:v>
      </x:c>
    </x:row>
    <x:row r="526">
      <x:c r="A526" s="2" t="s">
        <x:v>38</x:v>
      </x:c>
      <x:c r="B526" s="2">
        <x:v>3546</x:v>
      </x:c>
      <x:c r="C526" s="2">
        <x:v>12368</x:v>
      </x:c>
      <x:c r="D526" s="2" t="s">
        <x:v>44</x:v>
      </x:c>
      <x:c r="E526" s="2">
        <x:v>19</x:v>
      </x:c>
      <x:c r="F526" s="2">
        <x:v>120</x:v>
      </x:c>
      <x:c r="G526" s="3">
        <x:v>8522.3829248029997</x:v>
      </x:c>
      <x:c r="H526" s="3">
        <x:v>1022685.95097636</x:v>
      </x:c>
    </x:row>
    <x:row r="527">
      <x:c r="A527" s="2" t="s">
        <x:v>38</x:v>
      </x:c>
      <x:c r="B527" s="2">
        <x:v>3547</x:v>
      </x:c>
      <x:c r="C527" s="2">
        <x:v>12369</x:v>
      </x:c>
      <x:c r="D527" s="2" t="s">
        <x:v>44</x:v>
      </x:c>
      <x:c r="E527" s="2">
        <x:v>19</x:v>
      </x:c>
      <x:c r="F527" s="2">
        <x:v>120</x:v>
      </x:c>
      <x:c r="G527" s="3">
        <x:v>8397.3829248029997</x:v>
      </x:c>
      <x:c r="H527" s="3">
        <x:v>1007685.95097636</x:v>
      </x:c>
    </x:row>
    <x:row r="528">
      <x:c r="A528" s="2" t="s">
        <x:v>38</x:v>
      </x:c>
      <x:c r="B528" s="2">
        <x:v>3550</x:v>
      </x:c>
      <x:c r="C528" s="2">
        <x:v>12370</x:v>
      </x:c>
      <x:c r="D528" s="2" t="s">
        <x:v>44</x:v>
      </x:c>
      <x:c r="E528" s="2">
        <x:v>19</x:v>
      </x:c>
      <x:c r="F528" s="2">
        <x:v>120</x:v>
      </x:c>
      <x:c r="G528" s="3">
        <x:v>8522.3829248029997</x:v>
      </x:c>
      <x:c r="H528" s="3">
        <x:v>1022685.95097636</x:v>
      </x:c>
    </x:row>
    <x:row r="529">
      <x:c r="A529" s="2" t="s">
        <x:v>38</x:v>
      </x:c>
      <x:c r="B529" s="2">
        <x:v>3553</x:v>
      </x:c>
      <x:c r="C529" s="2">
        <x:v>12371</x:v>
      </x:c>
      <x:c r="D529" s="2" t="s">
        <x:v>44</x:v>
      </x:c>
      <x:c r="E529" s="2">
        <x:v>20</x:v>
      </x:c>
      <x:c r="F529" s="2">
        <x:v>120</x:v>
      </x:c>
      <x:c r="G529" s="3">
        <x:v>8522.3829248029997</x:v>
      </x:c>
      <x:c r="H529" s="3">
        <x:v>1022685.95097636</x:v>
      </x:c>
    </x:row>
    <x:row r="530">
      <x:c r="A530" s="2" t="s">
        <x:v>38</x:v>
      </x:c>
      <x:c r="B530" s="2">
        <x:v>3555</x:v>
      </x:c>
      <x:c r="C530" s="2">
        <x:v>12372</x:v>
      </x:c>
      <x:c r="D530" s="2" t="s">
        <x:v>44</x:v>
      </x:c>
      <x:c r="E530" s="2">
        <x:v>20</x:v>
      </x:c>
      <x:c r="F530" s="2">
        <x:v>120</x:v>
      </x:c>
      <x:c r="G530" s="3">
        <x:v>8522.3829248029997</x:v>
      </x:c>
      <x:c r="H530" s="3">
        <x:v>1022685.95097636</x:v>
      </x:c>
    </x:row>
    <x:row r="531">
      <x:c r="A531" s="2" t="s">
        <x:v>38</x:v>
      </x:c>
      <x:c r="B531" s="2">
        <x:v>3556</x:v>
      </x:c>
      <x:c r="C531" s="2">
        <x:v>12373</x:v>
      </x:c>
      <x:c r="D531" s="2" t="s">
        <x:v>44</x:v>
      </x:c>
      <x:c r="E531" s="2">
        <x:v>20</x:v>
      </x:c>
      <x:c r="F531" s="2">
        <x:v>120</x:v>
      </x:c>
      <x:c r="G531" s="3">
        <x:v>8522.3829248029997</x:v>
      </x:c>
      <x:c r="H531" s="3">
        <x:v>1022685.95097636</x:v>
      </x:c>
    </x:row>
    <x:row r="532">
      <x:c r="A532" s="2" t="s">
        <x:v>38</x:v>
      </x:c>
      <x:c r="B532" s="2">
        <x:v>3559</x:v>
      </x:c>
      <x:c r="C532" s="2">
        <x:v>12374</x:v>
      </x:c>
      <x:c r="D532" s="2" t="s">
        <x:v>44</x:v>
      </x:c>
      <x:c r="E532" s="2">
        <x:v>20</x:v>
      </x:c>
      <x:c r="F532" s="2">
        <x:v>120</x:v>
      </x:c>
      <x:c r="G532" s="3">
        <x:v>8522.3829248029997</x:v>
      </x:c>
      <x:c r="H532" s="3">
        <x:v>1022685.95097636</x:v>
      </x:c>
    </x:row>
    <x:row r="533">
      <x:c r="A533" s="2" t="s">
        <x:v>38</x:v>
      </x:c>
      <x:c r="B533" s="2">
        <x:v>3568</x:v>
      </x:c>
      <x:c r="C533" s="2">
        <x:v>12375</x:v>
      </x:c>
      <x:c r="D533" s="2" t="s">
        <x:v>44</x:v>
      </x:c>
      <x:c r="E533" s="2">
        <x:v>20</x:v>
      </x:c>
      <x:c r="F533" s="2">
        <x:v>120</x:v>
      </x:c>
      <x:c r="G533" s="3">
        <x:v>8522.3829248029997</x:v>
      </x:c>
      <x:c r="H533" s="3">
        <x:v>1022685.95097636</x:v>
      </x:c>
    </x:row>
    <x:row r="534">
      <x:c r="A534" s="2" t="s">
        <x:v>38</x:v>
      </x:c>
      <x:c r="B534" s="2">
        <x:v>3569</x:v>
      </x:c>
      <x:c r="C534" s="2">
        <x:v>12376</x:v>
      </x:c>
      <x:c r="D534" s="2" t="s">
        <x:v>44</x:v>
      </x:c>
      <x:c r="E534" s="2">
        <x:v>20</x:v>
      </x:c>
      <x:c r="F534" s="2">
        <x:v>120</x:v>
      </x:c>
      <x:c r="G534" s="3">
        <x:v>8522.3829248029997</x:v>
      </x:c>
      <x:c r="H534" s="3">
        <x:v>1022685.95097636</x:v>
      </x:c>
    </x:row>
    <x:row r="535">
      <x:c r="A535" s="2" t="s">
        <x:v>38</x:v>
      </x:c>
      <x:c r="B535" s="2">
        <x:v>3572</x:v>
      </x:c>
      <x:c r="C535" s="2">
        <x:v>12377</x:v>
      </x:c>
      <x:c r="D535" s="2" t="s">
        <x:v>44</x:v>
      </x:c>
      <x:c r="E535" s="2">
        <x:v>20</x:v>
      </x:c>
      <x:c r="F535" s="2">
        <x:v>120</x:v>
      </x:c>
      <x:c r="G535" s="3">
        <x:v>8397.3829248029997</x:v>
      </x:c>
      <x:c r="H535" s="3">
        <x:v>1007685.95097636</x:v>
      </x:c>
    </x:row>
    <x:row r="536">
      <x:c r="A536" s="2" t="s">
        <x:v>38</x:v>
      </x:c>
      <x:c r="B536" s="2">
        <x:v>3573</x:v>
      </x:c>
      <x:c r="C536" s="2">
        <x:v>12378</x:v>
      </x:c>
      <x:c r="D536" s="2" t="s">
        <x:v>44</x:v>
      </x:c>
      <x:c r="E536" s="2">
        <x:v>20</x:v>
      </x:c>
      <x:c r="F536" s="2">
        <x:v>120</x:v>
      </x:c>
      <x:c r="G536" s="3">
        <x:v>8397.3829248029997</x:v>
      </x:c>
      <x:c r="H536" s="3">
        <x:v>1007685.95097636</x:v>
      </x:c>
    </x:row>
    <x:row r="537">
      <x:c r="A537" s="2" t="s">
        <x:v>38</x:v>
      </x:c>
      <x:c r="B537" s="2">
        <x:v>3575</x:v>
      </x:c>
      <x:c r="C537" s="2">
        <x:v>12379</x:v>
      </x:c>
      <x:c r="D537" s="2" t="s">
        <x:v>44</x:v>
      </x:c>
      <x:c r="E537" s="2">
        <x:v>20</x:v>
      </x:c>
      <x:c r="F537" s="2">
        <x:v>120</x:v>
      </x:c>
      <x:c r="G537" s="3">
        <x:v>8397.3829248029997</x:v>
      </x:c>
      <x:c r="H537" s="3">
        <x:v>1007685.95097636</x:v>
      </x:c>
    </x:row>
    <x:row r="538">
      <x:c r="A538" s="2" t="s">
        <x:v>38</x:v>
      </x:c>
      <x:c r="B538" s="2">
        <x:v>3576</x:v>
      </x:c>
      <x:c r="C538" s="2">
        <x:v>12380</x:v>
      </x:c>
      <x:c r="D538" s="2" t="s">
        <x:v>44</x:v>
      </x:c>
      <x:c r="E538" s="2">
        <x:v>25</x:v>
      </x:c>
      <x:c r="F538" s="2">
        <x:v>175</x:v>
      </x:c>
      <x:c r="G538" s="3">
        <x:v>8397.3829248029997</x:v>
      </x:c>
      <x:c r="H538" s="3">
        <x:v>1469542.0118405249</x:v>
      </x:c>
    </x:row>
    <x:row r="539">
      <x:c r="A539" s="2" t="s">
        <x:v>38</x:v>
      </x:c>
      <x:c r="B539" s="2">
        <x:v>3577</x:v>
      </x:c>
      <x:c r="C539" s="2">
        <x:v>12381</x:v>
      </x:c>
      <x:c r="D539" s="2" t="s">
        <x:v>45</x:v>
      </x:c>
      <x:c r="E539" s="2">
        <x:v>19</x:v>
      </x:c>
      <x:c r="F539" s="2">
        <x:v>120</x:v>
      </x:c>
      <x:c r="G539" s="3">
        <x:v>8522.3829248029997</x:v>
      </x:c>
      <x:c r="H539" s="3">
        <x:v>1022685.95097636</x:v>
      </x:c>
    </x:row>
    <x:row r="540">
      <x:c r="A540" s="2" t="s">
        <x:v>38</x:v>
      </x:c>
      <x:c r="B540" s="2">
        <x:v>3578</x:v>
      </x:c>
      <x:c r="C540" s="2">
        <x:v>12382</x:v>
      </x:c>
      <x:c r="D540" s="2" t="s">
        <x:v>45</x:v>
      </x:c>
      <x:c r="E540" s="2">
        <x:v>20</x:v>
      </x:c>
      <x:c r="F540" s="2">
        <x:v>120</x:v>
      </x:c>
      <x:c r="G540" s="3">
        <x:v>8522.3829248029997</x:v>
      </x:c>
      <x:c r="H540" s="3">
        <x:v>1022685.95097636</x:v>
      </x:c>
    </x:row>
    <x:row r="541">
      <x:c r="A541" s="2" t="s">
        <x:v>38</x:v>
      </x:c>
      <x:c r="B541" s="2">
        <x:v>3579</x:v>
      </x:c>
      <x:c r="C541" s="2">
        <x:v>12383</x:v>
      </x:c>
      <x:c r="D541" s="2" t="s">
        <x:v>45</x:v>
      </x:c>
      <x:c r="E541" s="2">
        <x:v>20</x:v>
      </x:c>
      <x:c r="F541" s="2">
        <x:v>120</x:v>
      </x:c>
      <x:c r="G541" s="3">
        <x:v>8397.3829248029997</x:v>
      </x:c>
      <x:c r="H541" s="3">
        <x:v>1007685.95097636</x:v>
      </x:c>
    </x:row>
    <x:row r="542">
      <x:c r="A542" s="2" t="s">
        <x:v>38</x:v>
      </x:c>
      <x:c r="B542" s="2">
        <x:v>3582</x:v>
      </x:c>
      <x:c r="C542" s="2">
        <x:v>12384</x:v>
      </x:c>
      <x:c r="D542" s="2" t="s">
        <x:v>45</x:v>
      </x:c>
      <x:c r="E542" s="2">
        <x:v>20</x:v>
      </x:c>
      <x:c r="F542" s="2">
        <x:v>120</x:v>
      </x:c>
      <x:c r="G542" s="3">
        <x:v>8522.3829248029997</x:v>
      </x:c>
      <x:c r="H542" s="3">
        <x:v>1022685.95097636</x:v>
      </x:c>
    </x:row>
    <x:row r="543">
      <x:c r="A543" s="2" t="s">
        <x:v>38</x:v>
      </x:c>
      <x:c r="B543" s="2">
        <x:v>3583</x:v>
      </x:c>
      <x:c r="C543" s="2">
        <x:v>12385</x:v>
      </x:c>
      <x:c r="D543" s="2" t="s">
        <x:v>45</x:v>
      </x:c>
      <x:c r="E543" s="2">
        <x:v>20</x:v>
      </x:c>
      <x:c r="F543" s="2">
        <x:v>120</x:v>
      </x:c>
      <x:c r="G543" s="3">
        <x:v>8522.3829248029997</x:v>
      </x:c>
      <x:c r="H543" s="3">
        <x:v>1022685.95097636</x:v>
      </x:c>
    </x:row>
    <x:row r="544">
      <x:c r="A544" s="2" t="s">
        <x:v>38</x:v>
      </x:c>
      <x:c r="B544" s="2">
        <x:v>3586</x:v>
      </x:c>
      <x:c r="C544" s="2">
        <x:v>12386</x:v>
      </x:c>
      <x:c r="D544" s="2" t="s">
        <x:v>45</x:v>
      </x:c>
      <x:c r="E544" s="2">
        <x:v>14</x:v>
      </x:c>
      <x:c r="F544" s="2">
        <x:v>103</x:v>
      </x:c>
      <x:c r="G544" s="3">
        <x:v>8522.3829248029997</x:v>
      </x:c>
      <x:c r="H544" s="3">
        <x:v>877805.44125470892</x:v>
      </x:c>
    </x:row>
    <x:row r="545">
      <x:c r="A545" s="2" t="s">
        <x:v>38</x:v>
      </x:c>
      <x:c r="B545" s="2">
        <x:v>3588</x:v>
      </x:c>
      <x:c r="C545" s="2">
        <x:v>12387</x:v>
      </x:c>
      <x:c r="D545" s="2" t="s">
        <x:v>46</x:v>
      </x:c>
      <x:c r="E545" s="2">
        <x:v>25</x:v>
      </x:c>
      <x:c r="F545" s="2">
        <x:v>150</x:v>
      </x:c>
      <x:c r="G545" s="3">
        <x:v>8272.3829248029997</x:v>
      </x:c>
      <x:c r="H545" s="3">
        <x:v>1240857.43872045</x:v>
      </x:c>
    </x:row>
    <x:row r="546">
      <x:c r="A546" s="2" t="s">
        <x:v>38</x:v>
      </x:c>
      <x:c r="B546" s="2">
        <x:v>3590</x:v>
      </x:c>
      <x:c r="C546" s="2">
        <x:v>12388</x:v>
      </x:c>
      <x:c r="D546" s="2" t="s">
        <x:v>46</x:v>
      </x:c>
      <x:c r="E546" s="2">
        <x:v>26</x:v>
      </x:c>
      <x:c r="F546" s="2">
        <x:v>150</x:v>
      </x:c>
      <x:c r="G546" s="3">
        <x:v>8172.3829248029997</x:v>
      </x:c>
      <x:c r="H546" s="3">
        <x:v>1225857.43872045</x:v>
      </x:c>
    </x:row>
    <x:row r="547">
      <x:c r="A547" s="2" t="s">
        <x:v>38</x:v>
      </x:c>
      <x:c r="B547" s="2">
        <x:v>3591</x:v>
      </x:c>
      <x:c r="C547" s="2">
        <x:v>12389</x:v>
      </x:c>
      <x:c r="D547" s="2" t="s">
        <x:v>46</x:v>
      </x:c>
      <x:c r="E547" s="2">
        <x:v>26</x:v>
      </x:c>
      <x:c r="F547" s="2">
        <x:v>150</x:v>
      </x:c>
      <x:c r="G547" s="3">
        <x:v>8272.3829248029997</x:v>
      </x:c>
      <x:c r="H547" s="3">
        <x:v>1240857.43872045</x:v>
      </x:c>
    </x:row>
    <x:row r="548">
      <x:c r="A548" s="2" t="s">
        <x:v>38</x:v>
      </x:c>
      <x:c r="B548" s="2">
        <x:v>3592</x:v>
      </x:c>
      <x:c r="C548" s="2">
        <x:v>12390</x:v>
      </x:c>
      <x:c r="D548" s="2" t="s">
        <x:v>46</x:v>
      </x:c>
      <x:c r="E548" s="2">
        <x:v>24</x:v>
      </x:c>
      <x:c r="F548" s="2">
        <x:v>150</x:v>
      </x:c>
      <x:c r="G548" s="3">
        <x:v>8272.3829248029997</x:v>
      </x:c>
      <x:c r="H548" s="3">
        <x:v>1240857.43872045</x:v>
      </x:c>
    </x:row>
    <x:row r="549">
      <x:c r="A549" s="2" t="s">
        <x:v>38</x:v>
      </x:c>
      <x:c r="B549" s="2">
        <x:v>3593</x:v>
      </x:c>
      <x:c r="C549" s="2">
        <x:v>12391</x:v>
      </x:c>
      <x:c r="D549" s="2" t="s">
        <x:v>46</x:v>
      </x:c>
      <x:c r="E549" s="2">
        <x:v>23</x:v>
      </x:c>
      <x:c r="F549" s="2">
        <x:v>150</x:v>
      </x:c>
      <x:c r="G549" s="3">
        <x:v>8272.3829248029997</x:v>
      </x:c>
      <x:c r="H549" s="3">
        <x:v>1240857.43872045</x:v>
      </x:c>
    </x:row>
    <x:row r="550">
      <x:c r="A550" s="2" t="s">
        <x:v>38</x:v>
      </x:c>
      <x:c r="B550" s="2">
        <x:v>3594</x:v>
      </x:c>
      <x:c r="C550" s="2">
        <x:v>12392</x:v>
      </x:c>
      <x:c r="D550" s="2" t="s">
        <x:v>46</x:v>
      </x:c>
      <x:c r="E550" s="2">
        <x:v>25</x:v>
      </x:c>
      <x:c r="F550" s="2">
        <x:v>150</x:v>
      </x:c>
      <x:c r="G550" s="3">
        <x:v>8272.3829248029997</x:v>
      </x:c>
      <x:c r="H550" s="3">
        <x:v>1240857.43872045</x:v>
      </x:c>
    </x:row>
    <x:row r="551">
      <x:c r="A551" s="2" t="s">
        <x:v>38</x:v>
      </x:c>
      <x:c r="B551" s="2">
        <x:v>3595</x:v>
      </x:c>
      <x:c r="C551" s="2">
        <x:v>12393</x:v>
      </x:c>
      <x:c r="D551" s="2" t="s">
        <x:v>47</x:v>
      </x:c>
      <x:c r="E551" s="2">
        <x:v>0</x:v>
      </x:c>
      <x:c r="F551" s="2">
        <x:v>120</x:v>
      </x:c>
      <x:c r="G551" s="3">
        <x:v>8397.3829248029997</x:v>
      </x:c>
      <x:c r="H551" s="3">
        <x:v>1007685.95097636</x:v>
      </x:c>
    </x:row>
    <x:row r="552">
      <x:c r="A552" s="2" t="s">
        <x:v>38</x:v>
      </x:c>
      <x:c r="B552" s="2">
        <x:v>3597</x:v>
      </x:c>
      <x:c r="C552" s="2">
        <x:v>12394</x:v>
      </x:c>
      <x:c r="D552" s="2" t="s">
        <x:v>47</x:v>
      </x:c>
      <x:c r="E552" s="2">
        <x:v>0</x:v>
      </x:c>
      <x:c r="F552" s="2">
        <x:v>120</x:v>
      </x:c>
      <x:c r="G552" s="3">
        <x:v>8522.3829248029997</x:v>
      </x:c>
      <x:c r="H552" s="3">
        <x:v>1022685.95097636</x:v>
      </x:c>
    </x:row>
    <x:row r="553">
      <x:c r="A553" s="2" t="s">
        <x:v>38</x:v>
      </x:c>
      <x:c r="B553" s="2">
        <x:v>3601</x:v>
      </x:c>
      <x:c r="C553" s="2">
        <x:v>12395</x:v>
      </x:c>
      <x:c r="D553" s="2" t="s">
        <x:v>47</x:v>
      </x:c>
      <x:c r="E553" s="2">
        <x:v>0</x:v>
      </x:c>
      <x:c r="F553" s="2">
        <x:v>120</x:v>
      </x:c>
      <x:c r="G553" s="3">
        <x:v>8397.3829248029997</x:v>
      </x:c>
      <x:c r="H553" s="3">
        <x:v>1007685.95097636</x:v>
      </x:c>
    </x:row>
    <x:row r="554">
      <x:c r="A554" s="2" t="s">
        <x:v>38</x:v>
      </x:c>
      <x:c r="B554" s="2">
        <x:v>6547</x:v>
      </x:c>
      <x:c r="C554" s="2">
        <x:v>12396</x:v>
      </x:c>
      <x:c r="D554" s="2" t="s">
        <x:v>48</x:v>
      </x:c>
      <x:c r="E554" s="2">
        <x:v>19</x:v>
      </x:c>
      <x:c r="F554" s="2">
        <x:v>120</x:v>
      </x:c>
      <x:c r="G554" s="3">
        <x:v>8522.3829248029997</x:v>
      </x:c>
      <x:c r="H554" s="3">
        <x:v>1022685.95097636</x:v>
      </x:c>
    </x:row>
    <x:row r="555">
      <x:c r="A555" s="2" t="s">
        <x:v>38</x:v>
      </x:c>
      <x:c r="B555" s="2">
        <x:v>6552</x:v>
      </x:c>
      <x:c r="C555" s="2">
        <x:v>12397</x:v>
      </x:c>
      <x:c r="D555" s="2" t="s">
        <x:v>48</x:v>
      </x:c>
      <x:c r="E555" s="2">
        <x:v>19</x:v>
      </x:c>
      <x:c r="F555" s="2">
        <x:v>120</x:v>
      </x:c>
      <x:c r="G555" s="3">
        <x:v>8522.3829248029997</x:v>
      </x:c>
      <x:c r="H555" s="3">
        <x:v>1022685.95097636</x:v>
      </x:c>
    </x:row>
    <x:row r="556">
      <x:c r="A556" s="2" t="s">
        <x:v>38</x:v>
      </x:c>
      <x:c r="B556" s="2">
        <x:v>6553</x:v>
      </x:c>
      <x:c r="C556" s="2">
        <x:v>12398</x:v>
      </x:c>
      <x:c r="D556" s="2" t="s">
        <x:v>48</x:v>
      </x:c>
      <x:c r="E556" s="2">
        <x:v>19</x:v>
      </x:c>
      <x:c r="F556" s="2">
        <x:v>120</x:v>
      </x:c>
      <x:c r="G556" s="3">
        <x:v>8522.3829248029997</x:v>
      </x:c>
      <x:c r="H556" s="3">
        <x:v>1022685.95097636</x:v>
      </x:c>
    </x:row>
    <x:row r="557">
      <x:c r="A557" s="2" t="s">
        <x:v>38</x:v>
      </x:c>
      <x:c r="B557" s="2">
        <x:v>6554</x:v>
      </x:c>
      <x:c r="C557" s="2">
        <x:v>12399</x:v>
      </x:c>
      <x:c r="D557" s="2" t="s">
        <x:v>48</x:v>
      </x:c>
      <x:c r="E557" s="2">
        <x:v>19</x:v>
      </x:c>
      <x:c r="F557" s="2">
        <x:v>120</x:v>
      </x:c>
      <x:c r="G557" s="3">
        <x:v>8522.3829248029997</x:v>
      </x:c>
      <x:c r="H557" s="3">
        <x:v>1022685.95097636</x:v>
      </x:c>
    </x:row>
    <x:row r="558">
      <x:c r="A558" s="2" t="s">
        <x:v>38</x:v>
      </x:c>
      <x:c r="B558" s="2">
        <x:v>6555</x:v>
      </x:c>
      <x:c r="C558" s="2">
        <x:v>12400</x:v>
      </x:c>
      <x:c r="D558" s="2" t="s">
        <x:v>48</x:v>
      </x:c>
      <x:c r="E558" s="2">
        <x:v>19</x:v>
      </x:c>
      <x:c r="F558" s="2">
        <x:v>120</x:v>
      </x:c>
      <x:c r="G558" s="3">
        <x:v>8522.3829248029997</x:v>
      </x:c>
      <x:c r="H558" s="3">
        <x:v>1022685.95097636</x:v>
      </x:c>
    </x:row>
    <x:row r="559">
      <x:c r="A559" s="2" t="s">
        <x:v>38</x:v>
      </x:c>
      <x:c r="B559" s="2">
        <x:v>6560</x:v>
      </x:c>
      <x:c r="C559" s="2">
        <x:v>12401</x:v>
      </x:c>
      <x:c r="D559" s="2" t="s">
        <x:v>48</x:v>
      </x:c>
      <x:c r="E559" s="2">
        <x:v>19</x:v>
      </x:c>
      <x:c r="F559" s="2">
        <x:v>120</x:v>
      </x:c>
      <x:c r="G559" s="3">
        <x:v>8397.3829248029997</x:v>
      </x:c>
      <x:c r="H559" s="3">
        <x:v>1007685.95097636</x:v>
      </x:c>
    </x:row>
    <x:row r="560">
      <x:c r="A560" s="2" t="s">
        <x:v>38</x:v>
      </x:c>
      <x:c r="B560" s="2">
        <x:v>6565</x:v>
      </x:c>
      <x:c r="C560" s="2">
        <x:v>12402</x:v>
      </x:c>
      <x:c r="D560" s="2" t="s">
        <x:v>48</x:v>
      </x:c>
      <x:c r="E560" s="2">
        <x:v>19</x:v>
      </x:c>
      <x:c r="F560" s="2">
        <x:v>120</x:v>
      </x:c>
      <x:c r="G560" s="3">
        <x:v>8522.3829248029997</x:v>
      </x:c>
      <x:c r="H560" s="3">
        <x:v>1022685.95097636</x:v>
      </x:c>
    </x:row>
    <x:row r="561">
      <x:c r="A561" s="2" t="s">
        <x:v>38</x:v>
      </x:c>
      <x:c r="B561" s="2">
        <x:v>6566</x:v>
      </x:c>
      <x:c r="C561" s="2">
        <x:v>12403</x:v>
      </x:c>
      <x:c r="D561" s="2" t="s">
        <x:v>48</x:v>
      </x:c>
      <x:c r="E561" s="2">
        <x:v>19</x:v>
      </x:c>
      <x:c r="F561" s="2">
        <x:v>120</x:v>
      </x:c>
      <x:c r="G561" s="3">
        <x:v>8522.3829248029997</x:v>
      </x:c>
      <x:c r="H561" s="3">
        <x:v>1022685.95097636</x:v>
      </x:c>
    </x:row>
    <x:row r="562">
      <x:c r="A562" s="2" t="s">
        <x:v>38</x:v>
      </x:c>
      <x:c r="B562" s="2">
        <x:v>6567</x:v>
      </x:c>
      <x:c r="C562" s="2">
        <x:v>12404</x:v>
      </x:c>
      <x:c r="D562" s="2" t="s">
        <x:v>48</x:v>
      </x:c>
      <x:c r="E562" s="2">
        <x:v>19</x:v>
      </x:c>
      <x:c r="F562" s="2">
        <x:v>120</x:v>
      </x:c>
      <x:c r="G562" s="3">
        <x:v>8397.3829248029997</x:v>
      </x:c>
      <x:c r="H562" s="3">
        <x:v>1007685.95097636</x:v>
      </x:c>
    </x:row>
    <x:row r="563">
      <x:c r="A563" s="2" t="s">
        <x:v>38</x:v>
      </x:c>
      <x:c r="B563" s="2">
        <x:v>6568</x:v>
      </x:c>
      <x:c r="C563" s="2">
        <x:v>12405</x:v>
      </x:c>
      <x:c r="D563" s="2" t="s">
        <x:v>48</x:v>
      </x:c>
      <x:c r="E563" s="2">
        <x:v>19</x:v>
      </x:c>
      <x:c r="F563" s="2">
        <x:v>120</x:v>
      </x:c>
      <x:c r="G563" s="3">
        <x:v>8522.3829248029997</x:v>
      </x:c>
      <x:c r="H563" s="3">
        <x:v>1022685.95097636</x:v>
      </x:c>
    </x:row>
    <x:row r="564">
      <x:c r="A564" s="2" t="s">
        <x:v>38</x:v>
      </x:c>
      <x:c r="B564" s="2">
        <x:v>6569</x:v>
      </x:c>
      <x:c r="C564" s="2">
        <x:v>12406</x:v>
      </x:c>
      <x:c r="D564" s="2" t="s">
        <x:v>48</x:v>
      </x:c>
      <x:c r="E564" s="2">
        <x:v>19</x:v>
      </x:c>
      <x:c r="F564" s="2">
        <x:v>120</x:v>
      </x:c>
      <x:c r="G564" s="3">
        <x:v>8522.3829248029997</x:v>
      </x:c>
      <x:c r="H564" s="3">
        <x:v>1022685.95097636</x:v>
      </x:c>
    </x:row>
    <x:row r="565">
      <x:c r="A565" s="2" t="s">
        <x:v>38</x:v>
      </x:c>
      <x:c r="B565" s="2">
        <x:v>6570</x:v>
      </x:c>
      <x:c r="C565" s="2">
        <x:v>12407</x:v>
      </x:c>
      <x:c r="D565" s="2" t="s">
        <x:v>48</x:v>
      </x:c>
      <x:c r="E565" s="2">
        <x:v>19</x:v>
      </x:c>
      <x:c r="F565" s="2">
        <x:v>120</x:v>
      </x:c>
      <x:c r="G565" s="3">
        <x:v>8397.3829248029997</x:v>
      </x:c>
      <x:c r="H565" s="3">
        <x:v>1007685.95097636</x:v>
      </x:c>
    </x:row>
    <x:row r="566">
      <x:c r="A566" s="2" t="s">
        <x:v>38</x:v>
      </x:c>
      <x:c r="B566" s="2">
        <x:v>6571</x:v>
      </x:c>
      <x:c r="C566" s="2">
        <x:v>12408</x:v>
      </x:c>
      <x:c r="D566" s="2" t="s">
        <x:v>48</x:v>
      </x:c>
      <x:c r="E566" s="2">
        <x:v>19</x:v>
      </x:c>
      <x:c r="F566" s="2">
        <x:v>120</x:v>
      </x:c>
      <x:c r="G566" s="3">
        <x:v>8397.3829248029997</x:v>
      </x:c>
      <x:c r="H566" s="3">
        <x:v>1007685.95097636</x:v>
      </x:c>
    </x:row>
    <x:row r="567">
      <x:c r="A567" s="2" t="s">
        <x:v>38</x:v>
      </x:c>
      <x:c r="B567" s="2">
        <x:v>6572</x:v>
      </x:c>
      <x:c r="C567" s="2">
        <x:v>12409</x:v>
      </x:c>
      <x:c r="D567" s="2" t="s">
        <x:v>48</x:v>
      </x:c>
      <x:c r="E567" s="2">
        <x:v>19</x:v>
      </x:c>
      <x:c r="F567" s="2">
        <x:v>120</x:v>
      </x:c>
      <x:c r="G567" s="3">
        <x:v>8397.3829248029997</x:v>
      </x:c>
      <x:c r="H567" s="3">
        <x:v>1007685.95097636</x:v>
      </x:c>
    </x:row>
    <x:row r="568">
      <x:c r="A568" s="2" t="s">
        <x:v>38</x:v>
      </x:c>
      <x:c r="B568" s="2">
        <x:v>6573</x:v>
      </x:c>
      <x:c r="C568" s="2">
        <x:v>12410</x:v>
      </x:c>
      <x:c r="D568" s="2" t="s">
        <x:v>48</x:v>
      </x:c>
      <x:c r="E568" s="2">
        <x:v>19</x:v>
      </x:c>
      <x:c r="F568" s="2">
        <x:v>120</x:v>
      </x:c>
      <x:c r="G568" s="3">
        <x:v>8355.7162581363009</x:v>
      </x:c>
      <x:c r="H568" s="3">
        <x:v>1002685.9509763562</x:v>
      </x:c>
    </x:row>
    <x:row r="569">
      <x:c r="A569" s="2" t="s">
        <x:v>38</x:v>
      </x:c>
      <x:c r="B569" s="2">
        <x:v>6574</x:v>
      </x:c>
      <x:c r="C569" s="2">
        <x:v>12411</x:v>
      </x:c>
      <x:c r="D569" s="2" t="s">
        <x:v>48</x:v>
      </x:c>
      <x:c r="E569" s="2">
        <x:v>19</x:v>
      </x:c>
      <x:c r="F569" s="2">
        <x:v>120</x:v>
      </x:c>
      <x:c r="G569" s="3">
        <x:v>8522.3829248029997</x:v>
      </x:c>
      <x:c r="H569" s="3">
        <x:v>1022685.95097636</x:v>
      </x:c>
    </x:row>
    <x:row r="570">
      <x:c r="A570" s="2" t="s">
        <x:v>38</x:v>
      </x:c>
      <x:c r="B570" s="2">
        <x:v>6577</x:v>
      </x:c>
      <x:c r="C570" s="2">
        <x:v>12412</x:v>
      </x:c>
      <x:c r="D570" s="2" t="s">
        <x:v>48</x:v>
      </x:c>
      <x:c r="E570" s="2">
        <x:v>19</x:v>
      </x:c>
      <x:c r="F570" s="2">
        <x:v>120</x:v>
      </x:c>
      <x:c r="G570" s="3">
        <x:v>8522.3829248029997</x:v>
      </x:c>
      <x:c r="H570" s="3">
        <x:v>1022685.95097636</x:v>
      </x:c>
    </x:row>
    <x:row r="571">
      <x:c r="A571" s="2" t="s">
        <x:v>38</x:v>
      </x:c>
      <x:c r="B571" s="2">
        <x:v>6579</x:v>
      </x:c>
      <x:c r="C571" s="2">
        <x:v>12413</x:v>
      </x:c>
      <x:c r="D571" s="2" t="s">
        <x:v>48</x:v>
      </x:c>
      <x:c r="E571" s="2">
        <x:v>19</x:v>
      </x:c>
      <x:c r="F571" s="2">
        <x:v>120</x:v>
      </x:c>
      <x:c r="G571" s="3">
        <x:v>8522.3829248029997</x:v>
      </x:c>
      <x:c r="H571" s="3">
        <x:v>1022685.95097636</x:v>
      </x:c>
    </x:row>
    <x:row r="572">
      <x:c r="A572" s="2" t="s">
        <x:v>38</x:v>
      </x:c>
      <x:c r="B572" s="2">
        <x:v>6580</x:v>
      </x:c>
      <x:c r="C572" s="2">
        <x:v>12414</x:v>
      </x:c>
      <x:c r="D572" s="2" t="s">
        <x:v>48</x:v>
      </x:c>
      <x:c r="E572" s="2">
        <x:v>19</x:v>
      </x:c>
      <x:c r="F572" s="2">
        <x:v>120</x:v>
      </x:c>
      <x:c r="G572" s="3">
        <x:v>8522.3829248029997</x:v>
      </x:c>
      <x:c r="H572" s="3">
        <x:v>1022685.95097636</x:v>
      </x:c>
    </x:row>
    <x:row r="573">
      <x:c r="A573" s="2" t="s">
        <x:v>38</x:v>
      </x:c>
      <x:c r="B573" s="2">
        <x:v>6584</x:v>
      </x:c>
      <x:c r="C573" s="2">
        <x:v>12415</x:v>
      </x:c>
      <x:c r="D573" s="2" t="s">
        <x:v>48</x:v>
      </x:c>
      <x:c r="E573" s="2">
        <x:v>19</x:v>
      </x:c>
      <x:c r="F573" s="2">
        <x:v>120</x:v>
      </x:c>
      <x:c r="G573" s="3">
        <x:v>8522.3829248029997</x:v>
      </x:c>
      <x:c r="H573" s="3">
        <x:v>1022685.95097636</x:v>
      </x:c>
    </x:row>
    <x:row r="574">
      <x:c r="A574" s="2" t="s">
        <x:v>38</x:v>
      </x:c>
      <x:c r="B574" s="2">
        <x:v>6585</x:v>
      </x:c>
      <x:c r="C574" s="2">
        <x:v>12416</x:v>
      </x:c>
      <x:c r="D574" s="2" t="s">
        <x:v>48</x:v>
      </x:c>
      <x:c r="E574" s="2">
        <x:v>19</x:v>
      </x:c>
      <x:c r="F574" s="2">
        <x:v>120</x:v>
      </x:c>
      <x:c r="G574" s="3">
        <x:v>8522.3829248029997</x:v>
      </x:c>
      <x:c r="H574" s="3">
        <x:v>1022685.95097636</x:v>
      </x:c>
    </x:row>
    <x:row r="575">
      <x:c r="A575" s="2" t="s">
        <x:v>38</x:v>
      </x:c>
      <x:c r="B575" s="2">
        <x:v>6586</x:v>
      </x:c>
      <x:c r="C575" s="2">
        <x:v>12417</x:v>
      </x:c>
      <x:c r="D575" s="2" t="s">
        <x:v>48</x:v>
      </x:c>
      <x:c r="E575" s="2">
        <x:v>19</x:v>
      </x:c>
      <x:c r="F575" s="2">
        <x:v>120</x:v>
      </x:c>
      <x:c r="G575" s="3">
        <x:v>8522.3829248029997</x:v>
      </x:c>
      <x:c r="H575" s="3">
        <x:v>1022685.95097636</x:v>
      </x:c>
    </x:row>
    <x:row r="576">
      <x:c r="A576" s="2" t="s">
        <x:v>38</x:v>
      </x:c>
      <x:c r="B576" s="2">
        <x:v>6587</x:v>
      </x:c>
      <x:c r="C576" s="2">
        <x:v>12418</x:v>
      </x:c>
      <x:c r="D576" s="2" t="s">
        <x:v>48</x:v>
      </x:c>
      <x:c r="E576" s="2">
        <x:v>19</x:v>
      </x:c>
      <x:c r="F576" s="2">
        <x:v>120</x:v>
      </x:c>
      <x:c r="G576" s="3">
        <x:v>8522.3829248029997</x:v>
      </x:c>
      <x:c r="H576" s="3">
        <x:v>1022685.95097636</x:v>
      </x:c>
    </x:row>
    <x:row r="577">
      <x:c r="A577" s="2" t="s">
        <x:v>38</x:v>
      </x:c>
      <x:c r="B577" s="2">
        <x:v>6588</x:v>
      </x:c>
      <x:c r="C577" s="2">
        <x:v>12419</x:v>
      </x:c>
      <x:c r="D577" s="2" t="s">
        <x:v>48</x:v>
      </x:c>
      <x:c r="E577" s="2">
        <x:v>19</x:v>
      </x:c>
      <x:c r="F577" s="2">
        <x:v>120</x:v>
      </x:c>
      <x:c r="G577" s="3">
        <x:v>8522.3829248029997</x:v>
      </x:c>
      <x:c r="H577" s="3">
        <x:v>1022685.95097636</x:v>
      </x:c>
    </x:row>
    <x:row r="578">
      <x:c r="A578" s="2" t="s">
        <x:v>38</x:v>
      </x:c>
      <x:c r="B578" s="2">
        <x:v>6589</x:v>
      </x:c>
      <x:c r="C578" s="2">
        <x:v>12420</x:v>
      </x:c>
      <x:c r="D578" s="2" t="s">
        <x:v>48</x:v>
      </x:c>
      <x:c r="E578" s="2">
        <x:v>19</x:v>
      </x:c>
      <x:c r="F578" s="2">
        <x:v>120</x:v>
      </x:c>
      <x:c r="G578" s="3">
        <x:v>8397.3829248029997</x:v>
      </x:c>
      <x:c r="H578" s="3">
        <x:v>1007685.95097636</x:v>
      </x:c>
    </x:row>
    <x:row r="579">
      <x:c r="A579" s="2" t="s">
        <x:v>38</x:v>
      </x:c>
      <x:c r="B579" s="2">
        <x:v>6590</x:v>
      </x:c>
      <x:c r="C579" s="2">
        <x:v>12421</x:v>
      </x:c>
      <x:c r="D579" s="2" t="s">
        <x:v>48</x:v>
      </x:c>
      <x:c r="E579" s="2">
        <x:v>19</x:v>
      </x:c>
      <x:c r="F579" s="2">
        <x:v>120</x:v>
      </x:c>
      <x:c r="G579" s="3">
        <x:v>8522.3829248029997</x:v>
      </x:c>
      <x:c r="H579" s="3">
        <x:v>1022685.95097636</x:v>
      </x:c>
    </x:row>
    <x:row r="580">
      <x:c r="A580" s="2" t="s">
        <x:v>38</x:v>
      </x:c>
      <x:c r="B580" s="2">
        <x:v>6591</x:v>
      </x:c>
      <x:c r="C580" s="2">
        <x:v>12422</x:v>
      </x:c>
      <x:c r="D580" s="2" t="s">
        <x:v>48</x:v>
      </x:c>
      <x:c r="E580" s="2">
        <x:v>19</x:v>
      </x:c>
      <x:c r="F580" s="2">
        <x:v>120</x:v>
      </x:c>
      <x:c r="G580" s="3">
        <x:v>8480.7162581363009</x:v>
      </x:c>
      <x:c r="H580" s="3">
        <x:v>1017685.9509763562</x:v>
      </x:c>
    </x:row>
    <x:row r="581">
      <x:c r="A581" s="2" t="s">
        <x:v>38</x:v>
      </x:c>
      <x:c r="B581" s="2">
        <x:v>6594</x:v>
      </x:c>
      <x:c r="C581" s="2">
        <x:v>12423</x:v>
      </x:c>
      <x:c r="D581" s="2" t="s">
        <x:v>48</x:v>
      </x:c>
      <x:c r="E581" s="2">
        <x:v>19</x:v>
      </x:c>
      <x:c r="F581" s="2">
        <x:v>120</x:v>
      </x:c>
      <x:c r="G581" s="3">
        <x:v>8397.3829248029997</x:v>
      </x:c>
      <x:c r="H581" s="3">
        <x:v>1007685.95097636</x:v>
      </x:c>
    </x:row>
    <x:row r="582">
      <x:c r="A582" s="2" t="s">
        <x:v>38</x:v>
      </x:c>
      <x:c r="B582" s="2">
        <x:v>6595</x:v>
      </x:c>
      <x:c r="C582" s="2">
        <x:v>12424</x:v>
      </x:c>
      <x:c r="D582" s="2" t="s">
        <x:v>48</x:v>
      </x:c>
      <x:c r="E582" s="2">
        <x:v>19</x:v>
      </x:c>
      <x:c r="F582" s="2">
        <x:v>120</x:v>
      </x:c>
      <x:c r="G582" s="3">
        <x:v>8397.3829248029997</x:v>
      </x:c>
      <x:c r="H582" s="3">
        <x:v>1007685.95097636</x:v>
      </x:c>
    </x:row>
    <x:row r="583">
      <x:c r="A583" s="2" t="s">
        <x:v>38</x:v>
      </x:c>
      <x:c r="B583" s="2">
        <x:v>6596</x:v>
      </x:c>
      <x:c r="C583" s="2">
        <x:v>12425</x:v>
      </x:c>
      <x:c r="D583" s="2" t="s">
        <x:v>48</x:v>
      </x:c>
      <x:c r="E583" s="2">
        <x:v>19</x:v>
      </x:c>
      <x:c r="F583" s="2">
        <x:v>120</x:v>
      </x:c>
      <x:c r="G583" s="3">
        <x:v>8397.3829248029997</x:v>
      </x:c>
      <x:c r="H583" s="3">
        <x:v>1007685.95097636</x:v>
      </x:c>
    </x:row>
    <x:row r="584">
      <x:c r="A584" s="2" t="s">
        <x:v>38</x:v>
      </x:c>
      <x:c r="B584" s="2">
        <x:v>6597</x:v>
      </x:c>
      <x:c r="C584" s="2">
        <x:v>12426</x:v>
      </x:c>
      <x:c r="D584" s="2" t="s">
        <x:v>48</x:v>
      </x:c>
      <x:c r="E584" s="2">
        <x:v>19</x:v>
      </x:c>
      <x:c r="F584" s="2">
        <x:v>120</x:v>
      </x:c>
      <x:c r="G584" s="3">
        <x:v>8522.3829248029997</x:v>
      </x:c>
      <x:c r="H584" s="3">
        <x:v>1022685.95097636</x:v>
      </x:c>
    </x:row>
    <x:row r="585">
      <x:c r="A585" s="2" t="s">
        <x:v>38</x:v>
      </x:c>
      <x:c r="B585" s="2">
        <x:v>6598</x:v>
      </x:c>
      <x:c r="C585" s="2">
        <x:v>12427</x:v>
      </x:c>
      <x:c r="D585" s="2" t="s">
        <x:v>48</x:v>
      </x:c>
      <x:c r="E585" s="2">
        <x:v>19</x:v>
      </x:c>
      <x:c r="F585" s="2">
        <x:v>120</x:v>
      </x:c>
      <x:c r="G585" s="3">
        <x:v>8397.3829248029997</x:v>
      </x:c>
      <x:c r="H585" s="3">
        <x:v>1007685.95097636</x:v>
      </x:c>
    </x:row>
    <x:row r="586">
      <x:c r="A586" s="2" t="s">
        <x:v>38</x:v>
      </x:c>
      <x:c r="B586" s="2">
        <x:v>6599</x:v>
      </x:c>
      <x:c r="C586" s="2">
        <x:v>12428</x:v>
      </x:c>
      <x:c r="D586" s="2" t="s">
        <x:v>48</x:v>
      </x:c>
      <x:c r="E586" s="2">
        <x:v>19</x:v>
      </x:c>
      <x:c r="F586" s="2">
        <x:v>120</x:v>
      </x:c>
      <x:c r="G586" s="3">
        <x:v>8522.3829248029997</x:v>
      </x:c>
      <x:c r="H586" s="3">
        <x:v>1022685.95097636</x:v>
      </x:c>
    </x:row>
    <x:row r="587">
      <x:c r="A587" s="2" t="s">
        <x:v>38</x:v>
      </x:c>
      <x:c r="B587" s="2">
        <x:v>6600</x:v>
      </x:c>
      <x:c r="C587" s="2">
        <x:v>12429</x:v>
      </x:c>
      <x:c r="D587" s="2" t="s">
        <x:v>48</x:v>
      </x:c>
      <x:c r="E587" s="2">
        <x:v>19</x:v>
      </x:c>
      <x:c r="F587" s="2">
        <x:v>120</x:v>
      </x:c>
      <x:c r="G587" s="3">
        <x:v>8397.3829248029997</x:v>
      </x:c>
      <x:c r="H587" s="3">
        <x:v>1007685.95097636</x:v>
      </x:c>
    </x:row>
    <x:row r="588">
      <x:c r="A588" s="2" t="s">
        <x:v>38</x:v>
      </x:c>
      <x:c r="B588" s="2">
        <x:v>6601</x:v>
      </x:c>
      <x:c r="C588" s="2">
        <x:v>12430</x:v>
      </x:c>
      <x:c r="D588" s="2" t="s">
        <x:v>48</x:v>
      </x:c>
      <x:c r="E588" s="2">
        <x:v>19</x:v>
      </x:c>
      <x:c r="F588" s="2">
        <x:v>120</x:v>
      </x:c>
      <x:c r="G588" s="3">
        <x:v>8397.3829248029997</x:v>
      </x:c>
      <x:c r="H588" s="3">
        <x:v>1007685.95097636</x:v>
      </x:c>
    </x:row>
    <x:row r="589">
      <x:c r="A589" s="2" t="s">
        <x:v>38</x:v>
      </x:c>
      <x:c r="B589" s="2">
        <x:v>6602</x:v>
      </x:c>
      <x:c r="C589" s="2">
        <x:v>12431</x:v>
      </x:c>
      <x:c r="D589" s="2" t="s">
        <x:v>48</x:v>
      </x:c>
      <x:c r="E589" s="2">
        <x:v>19</x:v>
      </x:c>
      <x:c r="F589" s="2">
        <x:v>120</x:v>
      </x:c>
      <x:c r="G589" s="3">
        <x:v>8522.3829248029997</x:v>
      </x:c>
      <x:c r="H589" s="3">
        <x:v>1022685.95097636</x:v>
      </x:c>
    </x:row>
    <x:row r="590">
      <x:c r="A590" s="2" t="s">
        <x:v>38</x:v>
      </x:c>
      <x:c r="B590" s="2">
        <x:v>6603</x:v>
      </x:c>
      <x:c r="C590" s="2">
        <x:v>12432</x:v>
      </x:c>
      <x:c r="D590" s="2" t="s">
        <x:v>48</x:v>
      </x:c>
      <x:c r="E590" s="2">
        <x:v>19</x:v>
      </x:c>
      <x:c r="F590" s="2">
        <x:v>120</x:v>
      </x:c>
      <x:c r="G590" s="3">
        <x:v>8522.3829248029997</x:v>
      </x:c>
      <x:c r="H590" s="3">
        <x:v>1022685.95097636</x:v>
      </x:c>
    </x:row>
    <x:row r="591">
      <x:c r="A591" s="2" t="s">
        <x:v>38</x:v>
      </x:c>
      <x:c r="B591" s="2">
        <x:v>6604</x:v>
      </x:c>
      <x:c r="C591" s="2">
        <x:v>12433</x:v>
      </x:c>
      <x:c r="D591" s="2" t="s">
        <x:v>48</x:v>
      </x:c>
      <x:c r="E591" s="2">
        <x:v>19</x:v>
      </x:c>
      <x:c r="F591" s="2">
        <x:v>120</x:v>
      </x:c>
      <x:c r="G591" s="3">
        <x:v>8480.7162581363009</x:v>
      </x:c>
      <x:c r="H591" s="3">
        <x:v>1017685.9509763562</x:v>
      </x:c>
    </x:row>
    <x:row r="592">
      <x:c r="A592" s="2" t="s">
        <x:v>38</x:v>
      </x:c>
      <x:c r="B592" s="2">
        <x:v>6606</x:v>
      </x:c>
      <x:c r="C592" s="2">
        <x:v>12434</x:v>
      </x:c>
      <x:c r="D592" s="2" t="s">
        <x:v>48</x:v>
      </x:c>
      <x:c r="E592" s="2">
        <x:v>19</x:v>
      </x:c>
      <x:c r="F592" s="2">
        <x:v>120</x:v>
      </x:c>
      <x:c r="G592" s="3">
        <x:v>8522.3829248029997</x:v>
      </x:c>
      <x:c r="H592" s="3">
        <x:v>1022685.95097636</x:v>
      </x:c>
    </x:row>
    <x:row r="593">
      <x:c r="A593" s="2" t="s">
        <x:v>38</x:v>
      </x:c>
      <x:c r="B593" s="2">
        <x:v>6607</x:v>
      </x:c>
      <x:c r="C593" s="2">
        <x:v>12435</x:v>
      </x:c>
      <x:c r="D593" s="2" t="s">
        <x:v>48</x:v>
      </x:c>
      <x:c r="E593" s="2">
        <x:v>19</x:v>
      </x:c>
      <x:c r="F593" s="2">
        <x:v>120</x:v>
      </x:c>
      <x:c r="G593" s="3">
        <x:v>8397.3829248029997</x:v>
      </x:c>
      <x:c r="H593" s="3">
        <x:v>1007685.95097636</x:v>
      </x:c>
    </x:row>
    <x:row r="594">
      <x:c r="A594" s="2" t="s">
        <x:v>38</x:v>
      </x:c>
      <x:c r="B594" s="2">
        <x:v>6608</x:v>
      </x:c>
      <x:c r="C594" s="2">
        <x:v>12436</x:v>
      </x:c>
      <x:c r="D594" s="2" t="s">
        <x:v>48</x:v>
      </x:c>
      <x:c r="E594" s="2">
        <x:v>19</x:v>
      </x:c>
      <x:c r="F594" s="2">
        <x:v>120</x:v>
      </x:c>
      <x:c r="G594" s="3">
        <x:v>8522.3829248029997</x:v>
      </x:c>
      <x:c r="H594" s="3">
        <x:v>1022685.95097636</x:v>
      </x:c>
    </x:row>
    <x:row r="595">
      <x:c r="A595" s="2" t="s">
        <x:v>38</x:v>
      </x:c>
      <x:c r="B595" s="2">
        <x:v>6610</x:v>
      </x:c>
      <x:c r="C595" s="2">
        <x:v>12437</x:v>
      </x:c>
      <x:c r="D595" s="2" t="s">
        <x:v>48</x:v>
      </x:c>
      <x:c r="E595" s="2">
        <x:v>19</x:v>
      </x:c>
      <x:c r="F595" s="2">
        <x:v>120</x:v>
      </x:c>
      <x:c r="G595" s="3">
        <x:v>8522.3829248029997</x:v>
      </x:c>
      <x:c r="H595" s="3">
        <x:v>1022685.95097636</x:v>
      </x:c>
    </x:row>
    <x:row r="596">
      <x:c r="A596" s="2" t="s">
        <x:v>38</x:v>
      </x:c>
      <x:c r="B596" s="2">
        <x:v>6611</x:v>
      </x:c>
      <x:c r="C596" s="2">
        <x:v>12438</x:v>
      </x:c>
      <x:c r="D596" s="2" t="s">
        <x:v>48</x:v>
      </x:c>
      <x:c r="E596" s="2">
        <x:v>19</x:v>
      </x:c>
      <x:c r="F596" s="2">
        <x:v>120</x:v>
      </x:c>
      <x:c r="G596" s="3">
        <x:v>8522.3829248029997</x:v>
      </x:c>
      <x:c r="H596" s="3">
        <x:v>1022685.95097636</x:v>
      </x:c>
    </x:row>
    <x:row r="597">
      <x:c r="A597" s="2" t="s">
        <x:v>38</x:v>
      </x:c>
      <x:c r="B597" s="2">
        <x:v>6612</x:v>
      </x:c>
      <x:c r="C597" s="2">
        <x:v>12439</x:v>
      </x:c>
      <x:c r="D597" s="2" t="s">
        <x:v>48</x:v>
      </x:c>
      <x:c r="E597" s="2">
        <x:v>19</x:v>
      </x:c>
      <x:c r="F597" s="2">
        <x:v>120</x:v>
      </x:c>
      <x:c r="G597" s="3">
        <x:v>8522.3829248029997</x:v>
      </x:c>
      <x:c r="H597" s="3">
        <x:v>1022685.95097636</x:v>
      </x:c>
    </x:row>
    <x:row r="598">
      <x:c r="A598" s="2" t="s">
        <x:v>38</x:v>
      </x:c>
      <x:c r="B598" s="2">
        <x:v>6613</x:v>
      </x:c>
      <x:c r="C598" s="2">
        <x:v>12440</x:v>
      </x:c>
      <x:c r="D598" s="2" t="s">
        <x:v>48</x:v>
      </x:c>
      <x:c r="E598" s="2">
        <x:v>19</x:v>
      </x:c>
      <x:c r="F598" s="2">
        <x:v>120</x:v>
      </x:c>
      <x:c r="G598" s="3">
        <x:v>8522.3829248029997</x:v>
      </x:c>
      <x:c r="H598" s="3">
        <x:v>1022685.95097636</x:v>
      </x:c>
    </x:row>
    <x:row r="599">
      <x:c r="A599" s="2" t="s">
        <x:v>38</x:v>
      </x:c>
      <x:c r="B599" s="2">
        <x:v>6614</x:v>
      </x:c>
      <x:c r="C599" s="2">
        <x:v>12441</x:v>
      </x:c>
      <x:c r="D599" s="2" t="s">
        <x:v>48</x:v>
      </x:c>
      <x:c r="E599" s="2">
        <x:v>19</x:v>
      </x:c>
      <x:c r="F599" s="2">
        <x:v>120</x:v>
      </x:c>
      <x:c r="G599" s="3">
        <x:v>8522.3829248029997</x:v>
      </x:c>
      <x:c r="H599" s="3">
        <x:v>1022685.95097636</x:v>
      </x:c>
    </x:row>
    <x:row r="600">
      <x:c r="A600" s="2" t="s">
        <x:v>38</x:v>
      </x:c>
      <x:c r="B600" s="2">
        <x:v>6615</x:v>
      </x:c>
      <x:c r="C600" s="2">
        <x:v>12442</x:v>
      </x:c>
      <x:c r="D600" s="2" t="s">
        <x:v>48</x:v>
      </x:c>
      <x:c r="E600" s="2">
        <x:v>19</x:v>
      </x:c>
      <x:c r="F600" s="2">
        <x:v>120</x:v>
      </x:c>
      <x:c r="G600" s="3">
        <x:v>8522.3829248029997</x:v>
      </x:c>
      <x:c r="H600" s="3">
        <x:v>1022685.95097636</x:v>
      </x:c>
    </x:row>
    <x:row r="601">
      <x:c r="A601" s="2" t="s">
        <x:v>38</x:v>
      </x:c>
      <x:c r="B601" s="2">
        <x:v>6616</x:v>
      </x:c>
      <x:c r="C601" s="2">
        <x:v>12443</x:v>
      </x:c>
      <x:c r="D601" s="2" t="s">
        <x:v>48</x:v>
      </x:c>
      <x:c r="E601" s="2">
        <x:v>19</x:v>
      </x:c>
      <x:c r="F601" s="2">
        <x:v>120</x:v>
      </x:c>
      <x:c r="G601" s="3">
        <x:v>8522.3829248029997</x:v>
      </x:c>
      <x:c r="H601" s="3">
        <x:v>1022685.95097636</x:v>
      </x:c>
    </x:row>
    <x:row r="602">
      <x:c r="A602" s="2" t="s">
        <x:v>38</x:v>
      </x:c>
      <x:c r="B602" s="2">
        <x:v>6617</x:v>
      </x:c>
      <x:c r="C602" s="2">
        <x:v>12444</x:v>
      </x:c>
      <x:c r="D602" s="2" t="s">
        <x:v>48</x:v>
      </x:c>
      <x:c r="E602" s="2">
        <x:v>19</x:v>
      </x:c>
      <x:c r="F602" s="2">
        <x:v>120</x:v>
      </x:c>
      <x:c r="G602" s="3">
        <x:v>8522.3829248029997</x:v>
      </x:c>
      <x:c r="H602" s="3">
        <x:v>1022685.95097636</x:v>
      </x:c>
    </x:row>
    <x:row r="603">
      <x:c r="A603" s="2" t="s">
        <x:v>38</x:v>
      </x:c>
      <x:c r="B603" s="2">
        <x:v>6618</x:v>
      </x:c>
      <x:c r="C603" s="2">
        <x:v>12445</x:v>
      </x:c>
      <x:c r="D603" s="2" t="s">
        <x:v>48</x:v>
      </x:c>
      <x:c r="E603" s="2">
        <x:v>19</x:v>
      </x:c>
      <x:c r="F603" s="2">
        <x:v>120</x:v>
      </x:c>
      <x:c r="G603" s="3">
        <x:v>8397.3829248029997</x:v>
      </x:c>
      <x:c r="H603" s="3">
        <x:v>1007685.95097636</x:v>
      </x:c>
    </x:row>
    <x:row r="604">
      <x:c r="A604" s="2" t="s">
        <x:v>38</x:v>
      </x:c>
      <x:c r="B604" s="2">
        <x:v>6619</x:v>
      </x:c>
      <x:c r="C604" s="2">
        <x:v>12446</x:v>
      </x:c>
      <x:c r="D604" s="2" t="s">
        <x:v>48</x:v>
      </x:c>
      <x:c r="E604" s="2">
        <x:v>20</x:v>
      </x:c>
      <x:c r="F604" s="2">
        <x:v>120</x:v>
      </x:c>
      <x:c r="G604" s="3">
        <x:v>8397.3829248029997</x:v>
      </x:c>
      <x:c r="H604" s="3">
        <x:v>1007685.95097636</x:v>
      </x:c>
    </x:row>
    <x:row r="605">
      <x:c r="A605" s="2" t="s">
        <x:v>38</x:v>
      </x:c>
      <x:c r="B605" s="2">
        <x:v>6620</x:v>
      </x:c>
      <x:c r="C605" s="2">
        <x:v>12447</x:v>
      </x:c>
      <x:c r="D605" s="2" t="s">
        <x:v>48</x:v>
      </x:c>
      <x:c r="E605" s="2">
        <x:v>14</x:v>
      </x:c>
      <x:c r="F605" s="2">
        <x:v>95</x:v>
      </x:c>
      <x:c r="G605" s="3">
        <x:v>8397.3829248029997</x:v>
      </x:c>
      <x:c r="H605" s="3">
        <x:v>797751.37785628496</x:v>
      </x:c>
    </x:row>
    <x:row r="606">
      <x:c r="A606" s="2" t="s">
        <x:v>38</x:v>
      </x:c>
      <x:c r="B606" s="2">
        <x:v>10391</x:v>
      </x:c>
      <x:c r="C606" s="2">
        <x:v>12448</x:v>
      </x:c>
      <x:c r="D606" s="2" t="s">
        <x:v>27</x:v>
      </x:c>
      <x:c r="E606" s="2">
        <x:v>67</x:v>
      </x:c>
      <x:c r="F606" s="2">
        <x:v>600</x:v>
      </x:c>
      <x:c r="G606" s="3">
        <x:v>6932.7020186918999</x:v>
      </x:c>
      <x:c r="H606" s="3">
        <x:v>4159621.2112151398</x:v>
      </x:c>
    </x:row>
    <x:row r="607">
      <x:c r="A607" s="2" t="s">
        <x:v>38</x:v>
      </x:c>
      <x:c r="B607" s="2">
        <x:v>10392</x:v>
      </x:c>
      <x:c r="C607" s="2">
        <x:v>12449</x:v>
      </x:c>
      <x:c r="D607" s="2" t="s">
        <x:v>27</x:v>
      </x:c>
      <x:c r="E607" s="2">
        <x:v>62</x:v>
      </x:c>
      <x:c r="F607" s="2">
        <x:v>600</x:v>
      </x:c>
      <x:c r="G607" s="3">
        <x:v>6941.0353520252002</x:v>
      </x:c>
      <x:c r="H607" s="3">
        <x:v>4164621.2112151203</x:v>
      </x:c>
    </x:row>
    <x:row r="608">
      <x:c r="A608" s="2" t="s">
        <x:v>38</x:v>
      </x:c>
      <x:c r="B608" s="2">
        <x:v>10393</x:v>
      </x:c>
      <x:c r="C608" s="2">
        <x:v>12450</x:v>
      </x:c>
      <x:c r="D608" s="2" t="s">
        <x:v>27</x:v>
      </x:c>
      <x:c r="E608" s="2">
        <x:v>91</x:v>
      </x:c>
      <x:c r="F608" s="2">
        <x:v>600</x:v>
      </x:c>
      <x:c r="G608" s="3">
        <x:v>6932.7020186918999</x:v>
      </x:c>
      <x:c r="H608" s="3">
        <x:v>4159621.2112151398</x:v>
      </x:c>
    </x:row>
    <x:row r="609">
      <x:c r="A609" s="2" t="s">
        <x:v>38</x:v>
      </x:c>
      <x:c r="B609" s="2">
        <x:v>10394</x:v>
      </x:c>
      <x:c r="C609" s="2">
        <x:v>12451</x:v>
      </x:c>
      <x:c r="D609" s="2" t="s">
        <x:v>27</x:v>
      </x:c>
      <x:c r="E609" s="2">
        <x:v>80</x:v>
      </x:c>
      <x:c r="F609" s="2">
        <x:v>600</x:v>
      </x:c>
      <x:c r="G609" s="3">
        <x:v>6941.0353520252002</x:v>
      </x:c>
      <x:c r="H609" s="3">
        <x:v>4164621.2112151203</x:v>
      </x:c>
    </x:row>
    <x:row r="610">
      <x:c r="A610" s="2" t="s">
        <x:v>38</x:v>
      </x:c>
      <x:c r="B610" s="2">
        <x:v>10395</x:v>
      </x:c>
      <x:c r="C610" s="2">
        <x:v>12452</x:v>
      </x:c>
      <x:c r="D610" s="2" t="s">
        <x:v>27</x:v>
      </x:c>
      <x:c r="E610" s="2">
        <x:v>73</x:v>
      </x:c>
      <x:c r="F610" s="2">
        <x:v>600</x:v>
      </x:c>
      <x:c r="G610" s="3">
        <x:v>6816.0353520252002</x:v>
      </x:c>
      <x:c r="H610" s="3">
        <x:v>4089621.2112151203</x:v>
      </x:c>
    </x:row>
    <x:row r="611">
      <x:c r="A611" s="2" t="s">
        <x:v>38</x:v>
      </x:c>
      <x:c r="B611" s="2">
        <x:v>10400</x:v>
      </x:c>
      <x:c r="C611" s="2">
        <x:v>12453</x:v>
      </x:c>
      <x:c r="D611" s="2" t="s">
        <x:v>49</x:v>
      </x:c>
      <x:c r="E611" s="2">
        <x:v>20</x:v>
      </x:c>
      <x:c r="F611" s="2">
        <x:v>120</x:v>
      </x:c>
      <x:c r="G611" s="3">
        <x:v>6941.0353520252002</x:v>
      </x:c>
      <x:c r="H611" s="3">
        <x:v>832924.24224302405</x:v>
      </x:c>
    </x:row>
    <x:row r="612">
      <x:c r="A612" s="2" t="s">
        <x:v>38</x:v>
      </x:c>
      <x:c r="B612" s="2">
        <x:v>10405</x:v>
      </x:c>
      <x:c r="C612" s="2">
        <x:v>12454</x:v>
      </x:c>
      <x:c r="D612" s="2" t="s">
        <x:v>49</x:v>
      </x:c>
      <x:c r="E612" s="2">
        <x:v>24</x:v>
      </x:c>
      <x:c r="F612" s="2">
        <x:v>120</x:v>
      </x:c>
      <x:c r="G612" s="3">
        <x:v>6941.0353520252002</x:v>
      </x:c>
      <x:c r="H612" s="3">
        <x:v>832924.24224302405</x:v>
      </x:c>
    </x:row>
    <x:row r="613">
      <x:c r="A613" s="2" t="s">
        <x:v>38</x:v>
      </x:c>
      <x:c r="B613" s="2">
        <x:v>10406</x:v>
      </x:c>
      <x:c r="C613" s="2">
        <x:v>12455</x:v>
      </x:c>
      <x:c r="D613" s="2" t="s">
        <x:v>49</x:v>
      </x:c>
      <x:c r="E613" s="2">
        <x:v>23</x:v>
      </x:c>
      <x:c r="F613" s="2">
        <x:v>120</x:v>
      </x:c>
      <x:c r="G613" s="3">
        <x:v>6816.0353520252002</x:v>
      </x:c>
      <x:c r="H613" s="3">
        <x:v>817924.24224302405</x:v>
      </x:c>
    </x:row>
    <x:row r="614">
      <x:c r="A614" s="2" t="s">
        <x:v>38</x:v>
      </x:c>
      <x:c r="B614" s="2">
        <x:v>10410</x:v>
      </x:c>
      <x:c r="C614" s="2">
        <x:v>12456</x:v>
      </x:c>
      <x:c r="D614" s="2" t="s">
        <x:v>49</x:v>
      </x:c>
      <x:c r="E614" s="2">
        <x:v>101</x:v>
      </x:c>
      <x:c r="F614" s="2">
        <x:v>600</x:v>
      </x:c>
      <x:c r="G614" s="3">
        <x:v>6807.7020186918999</x:v>
      </x:c>
      <x:c r="H614" s="3">
        <x:v>4084621.2112151398</x:v>
      </x:c>
    </x:row>
    <x:row r="615">
      <x:c r="A615" s="2" t="s">
        <x:v>38</x:v>
      </x:c>
      <x:c r="B615" s="2">
        <x:v>10411</x:v>
      </x:c>
      <x:c r="C615" s="2">
        <x:v>12457</x:v>
      </x:c>
      <x:c r="D615" s="2" t="s">
        <x:v>49</x:v>
      </x:c>
      <x:c r="E615" s="2">
        <x:v>109</x:v>
      </x:c>
      <x:c r="F615" s="2">
        <x:v>600</x:v>
      </x:c>
      <x:c r="G615" s="3">
        <x:v>6799.3686853585004</x:v>
      </x:c>
      <x:c r="H615" s="3">
        <x:v>4079621.2112151003</x:v>
      </x:c>
    </x:row>
    <x:row r="616">
      <x:c r="A616" s="2" t="s">
        <x:v>38</x:v>
      </x:c>
      <x:c r="B616" s="2">
        <x:v>10412</x:v>
      </x:c>
      <x:c r="C616" s="2">
        <x:v>12458</x:v>
      </x:c>
      <x:c r="D616" s="2" t="s">
        <x:v>49</x:v>
      </x:c>
      <x:c r="E616" s="2">
        <x:v>110</x:v>
      </x:c>
      <x:c r="F616" s="2">
        <x:v>600</x:v>
      </x:c>
      <x:c r="G616" s="3">
        <x:v>6941.0353520252002</x:v>
      </x:c>
      <x:c r="H616" s="3">
        <x:v>4164621.2112151203</x:v>
      </x:c>
    </x:row>
    <x:row r="617">
      <x:c r="A617" s="2" t="s">
        <x:v>38</x:v>
      </x:c>
      <x:c r="B617" s="2">
        <x:v>10413</x:v>
      </x:c>
      <x:c r="C617" s="2">
        <x:v>12459</x:v>
      </x:c>
      <x:c r="D617" s="2" t="s">
        <x:v>49</x:v>
      </x:c>
      <x:c r="E617" s="2">
        <x:v>101</x:v>
      </x:c>
      <x:c r="F617" s="2">
        <x:v>600</x:v>
      </x:c>
      <x:c r="G617" s="3">
        <x:v>6941.0353520252002</x:v>
      </x:c>
      <x:c r="H617" s="3">
        <x:v>4164621.2112151203</x:v>
      </x:c>
    </x:row>
    <x:row r="618">
      <x:c r="A618" s="2" t="s">
        <x:v>38</x:v>
      </x:c>
      <x:c r="B618" s="2">
        <x:v>10414</x:v>
      </x:c>
      <x:c r="C618" s="2">
        <x:v>12460</x:v>
      </x:c>
      <x:c r="D618" s="2" t="s">
        <x:v>2</x:v>
      </x:c>
      <x:c r="E618" s="2">
        <x:v>101</x:v>
      </x:c>
      <x:c r="F618" s="2">
        <x:v>600</x:v>
      </x:c>
      <x:c r="G618" s="3">
        <x:v>6941.0353520252002</x:v>
      </x:c>
      <x:c r="H618" s="3">
        <x:v>4164621.2112151203</x:v>
      </x:c>
    </x:row>
    <x:row r="619">
      <x:c r="A619" s="2" t="s">
        <x:v>38</x:v>
      </x:c>
      <x:c r="B619" s="2">
        <x:v>10415</x:v>
      </x:c>
      <x:c r="C619" s="2">
        <x:v>12461</x:v>
      </x:c>
      <x:c r="D619" s="2" t="s">
        <x:v>49</x:v>
      </x:c>
      <x:c r="E619" s="2">
        <x:v>117</x:v>
      </x:c>
      <x:c r="F619" s="2">
        <x:v>600</x:v>
      </x:c>
      <x:c r="G619" s="3">
        <x:v>6941.0353520252002</x:v>
      </x:c>
      <x:c r="H619" s="3">
        <x:v>4164621.2112151203</x:v>
      </x:c>
    </x:row>
    <x:row r="620">
      <x:c r="A620" s="2" t="s">
        <x:v>38</x:v>
      </x:c>
      <x:c r="B620" s="2">
        <x:v>10416</x:v>
      </x:c>
      <x:c r="C620" s="2">
        <x:v>12462</x:v>
      </x:c>
      <x:c r="D620" s="2" t="s">
        <x:v>49</x:v>
      </x:c>
      <x:c r="E620" s="2">
        <x:v>113</x:v>
      </x:c>
      <x:c r="F620" s="2">
        <x:v>600</x:v>
      </x:c>
      <x:c r="G620" s="3">
        <x:v>6932.7020186918999</x:v>
      </x:c>
      <x:c r="H620" s="3">
        <x:v>4159621.2112151398</x:v>
      </x:c>
    </x:row>
    <x:row r="621">
      <x:c r="A621" s="2" t="s">
        <x:v>38</x:v>
      </x:c>
      <x:c r="B621" s="2">
        <x:v>10417</x:v>
      </x:c>
      <x:c r="C621" s="2">
        <x:v>12463</x:v>
      </x:c>
      <x:c r="D621" s="2" t="s">
        <x:v>49</x:v>
      </x:c>
      <x:c r="E621" s="2">
        <x:v>80</x:v>
      </x:c>
      <x:c r="F621" s="2">
        <x:v>600</x:v>
      </x:c>
      <x:c r="G621" s="3">
        <x:v>6941.0353520252002</x:v>
      </x:c>
      <x:c r="H621" s="3">
        <x:v>4164621.2112151203</x:v>
      </x:c>
    </x:row>
    <x:row r="622">
      <x:c r="A622" s="2" t="s">
        <x:v>38</x:v>
      </x:c>
      <x:c r="B622" s="2">
        <x:v>10418</x:v>
      </x:c>
      <x:c r="C622" s="2">
        <x:v>12464</x:v>
      </x:c>
      <x:c r="D622" s="2" t="s">
        <x:v>49</x:v>
      </x:c>
      <x:c r="E622" s="2">
        <x:v>111</x:v>
      </x:c>
      <x:c r="F622" s="2">
        <x:v>600</x:v>
      </x:c>
      <x:c r="G622" s="3">
        <x:v>6807.7020186918999</x:v>
      </x:c>
      <x:c r="H622" s="3">
        <x:v>4084621.2112151398</x:v>
      </x:c>
    </x:row>
    <x:row r="623">
      <x:c r="A623" s="2" t="s">
        <x:v>38</x:v>
      </x:c>
      <x:c r="B623" s="2">
        <x:v>10419</x:v>
      </x:c>
      <x:c r="C623" s="2">
        <x:v>12465</x:v>
      </x:c>
      <x:c r="D623" s="2" t="s">
        <x:v>49</x:v>
      </x:c>
      <x:c r="E623" s="2">
        <x:v>121</x:v>
      </x:c>
      <x:c r="F623" s="2">
        <x:v>600</x:v>
      </x:c>
      <x:c r="G623" s="3">
        <x:v>6799.3686853585004</x:v>
      </x:c>
      <x:c r="H623" s="3">
        <x:v>4079621.2112151003</x:v>
      </x:c>
    </x:row>
    <x:row r="624">
      <x:c r="A624" s="2" t="s">
        <x:v>38</x:v>
      </x:c>
      <x:c r="B624" s="2">
        <x:v>10420</x:v>
      </x:c>
      <x:c r="C624" s="2">
        <x:v>12466</x:v>
      </x:c>
      <x:c r="D624" s="2" t="s">
        <x:v>49</x:v>
      </x:c>
      <x:c r="E624" s="2">
        <x:v>118</x:v>
      </x:c>
      <x:c r="F624" s="2">
        <x:v>600</x:v>
      </x:c>
      <x:c r="G624" s="3">
        <x:v>6916.0353520252002</x:v>
      </x:c>
      <x:c r="H624" s="3">
        <x:v>4149621.2112151203</x:v>
      </x:c>
    </x:row>
    <x:row r="625">
      <x:c r="A625" s="2" t="s">
        <x:v>38</x:v>
      </x:c>
      <x:c r="B625" s="2">
        <x:v>10421</x:v>
      </x:c>
      <x:c r="C625" s="2">
        <x:v>12467</x:v>
      </x:c>
      <x:c r="D625" s="2" t="s">
        <x:v>49</x:v>
      </x:c>
      <x:c r="E625" s="2">
        <x:v>111</x:v>
      </x:c>
      <x:c r="F625" s="2">
        <x:v>600</x:v>
      </x:c>
      <x:c r="G625" s="3">
        <x:v>6916.0353520252002</x:v>
      </x:c>
      <x:c r="H625" s="3">
        <x:v>4149621.2112151203</x:v>
      </x:c>
    </x:row>
    <x:row r="626">
      <x:c r="A626" s="2" t="s">
        <x:v>38</x:v>
      </x:c>
      <x:c r="B626" s="2">
        <x:v>10422</x:v>
      </x:c>
      <x:c r="C626" s="2">
        <x:v>12468</x:v>
      </x:c>
      <x:c r="D626" s="2" t="s">
        <x:v>49</x:v>
      </x:c>
      <x:c r="E626" s="2">
        <x:v>97</x:v>
      </x:c>
      <x:c r="F626" s="2">
        <x:v>600</x:v>
      </x:c>
      <x:c r="G626" s="3">
        <x:v>6807.7020186918999</x:v>
      </x:c>
      <x:c r="H626" s="3">
        <x:v>4084621.2112151398</x:v>
      </x:c>
    </x:row>
    <x:row r="627">
      <x:c r="A627" s="2" t="s">
        <x:v>38</x:v>
      </x:c>
      <x:c r="B627" s="2">
        <x:v>10423</x:v>
      </x:c>
      <x:c r="C627" s="2">
        <x:v>12469</x:v>
      </x:c>
      <x:c r="D627" s="2" t="s">
        <x:v>49</x:v>
      </x:c>
      <x:c r="E627" s="2">
        <x:v>106</x:v>
      </x:c>
      <x:c r="F627" s="2">
        <x:v>600</x:v>
      </x:c>
      <x:c r="G627" s="3">
        <x:v>6807.7020186918999</x:v>
      </x:c>
      <x:c r="H627" s="3">
        <x:v>4084621.2112151398</x:v>
      </x:c>
    </x:row>
    <x:row r="628">
      <x:c r="A628" s="2" t="s">
        <x:v>38</x:v>
      </x:c>
      <x:c r="B628" s="2">
        <x:v>10424</x:v>
      </x:c>
      <x:c r="C628" s="2">
        <x:v>12470</x:v>
      </x:c>
      <x:c r="D628" s="2" t="s">
        <x:v>2</x:v>
      </x:c>
      <x:c r="E628" s="2">
        <x:v>95</x:v>
      </x:c>
      <x:c r="F628" s="2">
        <x:v>600</x:v>
      </x:c>
      <x:c r="G628" s="3">
        <x:v>6941.0353520252002</x:v>
      </x:c>
      <x:c r="H628" s="3">
        <x:v>4164621.2112151203</x:v>
      </x:c>
    </x:row>
    <x:row r="629">
      <x:c r="A629" s="2" t="s">
        <x:v>38</x:v>
      </x:c>
      <x:c r="B629" s="2">
        <x:v>10425</x:v>
      </x:c>
      <x:c r="C629" s="2">
        <x:v>12471</x:v>
      </x:c>
      <x:c r="D629" s="2" t="s">
        <x:v>2</x:v>
      </x:c>
      <x:c r="E629" s="2">
        <x:v>99</x:v>
      </x:c>
      <x:c r="F629" s="2">
        <x:v>600</x:v>
      </x:c>
      <x:c r="G629" s="3">
        <x:v>6816.0353520252002</x:v>
      </x:c>
      <x:c r="H629" s="3">
        <x:v>4089621.2112151203</x:v>
      </x:c>
    </x:row>
    <x:row r="630">
      <x:c r="A630" s="2" t="s">
        <x:v>38</x:v>
      </x:c>
      <x:c r="B630" s="2">
        <x:v>10426</x:v>
      </x:c>
      <x:c r="C630" s="2">
        <x:v>12472</x:v>
      </x:c>
      <x:c r="D630" s="2" t="s">
        <x:v>2</x:v>
      </x:c>
      <x:c r="E630" s="2">
        <x:v>90</x:v>
      </x:c>
      <x:c r="F630" s="2">
        <x:v>600</x:v>
      </x:c>
      <x:c r="G630" s="3">
        <x:v>6941.0353520252002</x:v>
      </x:c>
      <x:c r="H630" s="3">
        <x:v>4164621.2112151203</x:v>
      </x:c>
    </x:row>
    <x:row r="631">
      <x:c r="A631" s="2" t="s">
        <x:v>38</x:v>
      </x:c>
      <x:c r="B631" s="2">
        <x:v>10427</x:v>
      </x:c>
      <x:c r="C631" s="2">
        <x:v>12473</x:v>
      </x:c>
      <x:c r="D631" s="2" t="s">
        <x:v>2</x:v>
      </x:c>
      <x:c r="E631" s="2">
        <x:v>75</x:v>
      </x:c>
      <x:c r="F631" s="2">
        <x:v>600</x:v>
      </x:c>
      <x:c r="G631" s="3">
        <x:v>6941.0353520252002</x:v>
      </x:c>
      <x:c r="H631" s="3">
        <x:v>4164621.2112151203</x:v>
      </x:c>
    </x:row>
    <x:row r="632">
      <x:c r="A632" s="2" t="s">
        <x:v>38</x:v>
      </x:c>
      <x:c r="B632" s="2">
        <x:v>10428</x:v>
      </x:c>
      <x:c r="C632" s="2">
        <x:v>12474</x:v>
      </x:c>
      <x:c r="D632" s="2" t="s">
        <x:v>2</x:v>
      </x:c>
      <x:c r="E632" s="2">
        <x:v>98</x:v>
      </x:c>
      <x:c r="F632" s="2">
        <x:v>600</x:v>
      </x:c>
      <x:c r="G632" s="3">
        <x:v>6941.0353520252002</x:v>
      </x:c>
      <x:c r="H632" s="3">
        <x:v>4164621.2112151203</x:v>
      </x:c>
    </x:row>
    <x:row r="633">
      <x:c r="A633" s="2" t="s">
        <x:v>38</x:v>
      </x:c>
      <x:c r="B633" s="2">
        <x:v>10429</x:v>
      </x:c>
      <x:c r="C633" s="2">
        <x:v>12475</x:v>
      </x:c>
      <x:c r="D633" s="2" t="s">
        <x:v>2</x:v>
      </x:c>
      <x:c r="E633" s="2">
        <x:v>102</x:v>
      </x:c>
      <x:c r="F633" s="2">
        <x:v>600</x:v>
      </x:c>
      <x:c r="G633" s="3">
        <x:v>6924.3686853585004</x:v>
      </x:c>
      <x:c r="H633" s="3">
        <x:v>4154621.2112151003</x:v>
      </x:c>
    </x:row>
    <x:row r="634">
      <x:c r="A634" s="2" t="s">
        <x:v>38</x:v>
      </x:c>
      <x:c r="B634" s="2">
        <x:v>10430</x:v>
      </x:c>
      <x:c r="C634" s="2">
        <x:v>12476</x:v>
      </x:c>
      <x:c r="D634" s="2" t="s">
        <x:v>2</x:v>
      </x:c>
      <x:c r="E634" s="2">
        <x:v>85</x:v>
      </x:c>
      <x:c r="F634" s="2">
        <x:v>600</x:v>
      </x:c>
      <x:c r="G634" s="3">
        <x:v>6816.0353520252002</x:v>
      </x:c>
      <x:c r="H634" s="3">
        <x:v>4089621.2112151203</x:v>
      </x:c>
    </x:row>
    <x:row r="635">
      <x:c r="A635" s="2" t="s">
        <x:v>38</x:v>
      </x:c>
      <x:c r="B635" s="2">
        <x:v>10431</x:v>
      </x:c>
      <x:c r="C635" s="2">
        <x:v>12477</x:v>
      </x:c>
      <x:c r="D635" s="2" t="s">
        <x:v>2</x:v>
      </x:c>
      <x:c r="E635" s="2">
        <x:v>100</x:v>
      </x:c>
      <x:c r="F635" s="2">
        <x:v>600</x:v>
      </x:c>
      <x:c r="G635" s="3">
        <x:v>6816.0353520252002</x:v>
      </x:c>
      <x:c r="H635" s="3">
        <x:v>4089621.2112151203</x:v>
      </x:c>
    </x:row>
    <x:row r="636">
      <x:c r="A636" s="2" t="s">
        <x:v>38</x:v>
      </x:c>
      <x:c r="B636" s="2">
        <x:v>10432</x:v>
      </x:c>
      <x:c r="C636" s="2">
        <x:v>12478</x:v>
      </x:c>
      <x:c r="D636" s="2" t="s">
        <x:v>2</x:v>
      </x:c>
      <x:c r="E636" s="2">
        <x:v>94</x:v>
      </x:c>
      <x:c r="F636" s="2">
        <x:v>600</x:v>
      </x:c>
      <x:c r="G636" s="3">
        <x:v>6941.0353520252002</x:v>
      </x:c>
      <x:c r="H636" s="3">
        <x:v>4164621.2112151203</x:v>
      </x:c>
    </x:row>
    <x:row r="637">
      <x:c r="A637" s="2" t="s">
        <x:v>38</x:v>
      </x:c>
      <x:c r="B637" s="2">
        <x:v>10433</x:v>
      </x:c>
      <x:c r="C637" s="2">
        <x:v>12479</x:v>
      </x:c>
      <x:c r="D637" s="2" t="s">
        <x:v>2</x:v>
      </x:c>
      <x:c r="E637" s="2">
        <x:v>91</x:v>
      </x:c>
      <x:c r="F637" s="2">
        <x:v>600</x:v>
      </x:c>
      <x:c r="G637" s="3">
        <x:v>6941.0353520252002</x:v>
      </x:c>
      <x:c r="H637" s="3">
        <x:v>4164621.2112151203</x:v>
      </x:c>
    </x:row>
    <x:row r="638">
      <x:c r="A638" s="2" t="s">
        <x:v>38</x:v>
      </x:c>
      <x:c r="B638" s="2">
        <x:v>10434</x:v>
      </x:c>
      <x:c r="C638" s="2">
        <x:v>12480</x:v>
      </x:c>
      <x:c r="D638" s="2" t="s">
        <x:v>2</x:v>
      </x:c>
      <x:c r="E638" s="2">
        <x:v>96</x:v>
      </x:c>
      <x:c r="F638" s="2">
        <x:v>600</x:v>
      </x:c>
      <x:c r="G638" s="3">
        <x:v>6807.7020186918999</x:v>
      </x:c>
      <x:c r="H638" s="3">
        <x:v>4084621.2112151398</x:v>
      </x:c>
    </x:row>
    <x:row r="639">
      <x:c r="A639" s="2" t="s">
        <x:v>38</x:v>
      </x:c>
      <x:c r="B639" s="2">
        <x:v>10435</x:v>
      </x:c>
      <x:c r="C639" s="2">
        <x:v>12481</x:v>
      </x:c>
      <x:c r="D639" s="2" t="s">
        <x:v>2</x:v>
      </x:c>
      <x:c r="E639" s="2">
        <x:v>109</x:v>
      </x:c>
      <x:c r="F639" s="2">
        <x:v>600</x:v>
      </x:c>
      <x:c r="G639" s="3">
        <x:v>6941.0353520252002</x:v>
      </x:c>
      <x:c r="H639" s="3">
        <x:v>4164621.2112151203</x:v>
      </x:c>
    </x:row>
    <x:row r="640">
      <x:c r="A640" s="2" t="s">
        <x:v>38</x:v>
      </x:c>
      <x:c r="B640" s="2">
        <x:v>10436</x:v>
      </x:c>
      <x:c r="C640" s="2">
        <x:v>12482</x:v>
      </x:c>
      <x:c r="D640" s="2" t="s">
        <x:v>2</x:v>
      </x:c>
      <x:c r="E640" s="2">
        <x:v>96</x:v>
      </x:c>
      <x:c r="F640" s="2">
        <x:v>600</x:v>
      </x:c>
      <x:c r="G640" s="3">
        <x:v>6941.0353520252002</x:v>
      </x:c>
      <x:c r="H640" s="3">
        <x:v>4164621.2112151203</x:v>
      </x:c>
    </x:row>
    <x:row r="641">
      <x:c r="A641" s="2" t="s">
        <x:v>38</x:v>
      </x:c>
      <x:c r="B641" s="2">
        <x:v>10437</x:v>
      </x:c>
      <x:c r="C641" s="2">
        <x:v>12483</x:v>
      </x:c>
      <x:c r="D641" s="2" t="s">
        <x:v>2</x:v>
      </x:c>
      <x:c r="E641" s="2">
        <x:v>105</x:v>
      </x:c>
      <x:c r="F641" s="2">
        <x:v>600</x:v>
      </x:c>
      <x:c r="G641" s="3">
        <x:v>6816.0353520252002</x:v>
      </x:c>
      <x:c r="H641" s="3">
        <x:v>4089621.2112151203</x:v>
      </x:c>
    </x:row>
    <x:row r="642">
      <x:c r="A642" s="2" t="s">
        <x:v>38</x:v>
      </x:c>
      <x:c r="B642" s="2">
        <x:v>10438</x:v>
      </x:c>
      <x:c r="C642" s="2">
        <x:v>12484</x:v>
      </x:c>
      <x:c r="D642" s="2" t="s">
        <x:v>27</x:v>
      </x:c>
      <x:c r="E642" s="2">
        <x:v>86</x:v>
      </x:c>
      <x:c r="F642" s="2">
        <x:v>600</x:v>
      </x:c>
      <x:c r="G642" s="3">
        <x:v>6924.3686853585004</x:v>
      </x:c>
      <x:c r="H642" s="3">
        <x:v>4154621.2112151003</x:v>
      </x:c>
    </x:row>
    <x:row r="643">
      <x:c r="A643" s="2" t="s">
        <x:v>38</x:v>
      </x:c>
      <x:c r="B643" s="2">
        <x:v>10439</x:v>
      </x:c>
      <x:c r="C643" s="2">
        <x:v>12485</x:v>
      </x:c>
      <x:c r="D643" s="2" t="s">
        <x:v>27</x:v>
      </x:c>
      <x:c r="E643" s="2">
        <x:v>83</x:v>
      </x:c>
      <x:c r="F643" s="2">
        <x:v>600</x:v>
      </x:c>
      <x:c r="G643" s="3">
        <x:v>6807.7020186918999</x:v>
      </x:c>
      <x:c r="H643" s="3">
        <x:v>4084621.2112151398</x:v>
      </x:c>
    </x:row>
    <x:row r="644">
      <x:c r="A644" s="2" t="s">
        <x:v>38</x:v>
      </x:c>
      <x:c r="B644" s="2">
        <x:v>10440</x:v>
      </x:c>
      <x:c r="C644" s="2">
        <x:v>12486</x:v>
      </x:c>
      <x:c r="D644" s="2" t="s">
        <x:v>27</x:v>
      </x:c>
      <x:c r="E644" s="2">
        <x:v>94</x:v>
      </x:c>
      <x:c r="F644" s="2">
        <x:v>600</x:v>
      </x:c>
      <x:c r="G644" s="3">
        <x:v>6816.0353520252002</x:v>
      </x:c>
      <x:c r="H644" s="3">
        <x:v>4089621.2112151203</x:v>
      </x:c>
    </x:row>
    <x:row r="645">
      <x:c r="A645" s="2" t="s">
        <x:v>38</x:v>
      </x:c>
      <x:c r="B645" s="2">
        <x:v>10441</x:v>
      </x:c>
      <x:c r="C645" s="2">
        <x:v>12487</x:v>
      </x:c>
      <x:c r="D645" s="2" t="s">
        <x:v>27</x:v>
      </x:c>
      <x:c r="E645" s="2">
        <x:v>78</x:v>
      </x:c>
      <x:c r="F645" s="2">
        <x:v>600</x:v>
      </x:c>
      <x:c r="G645" s="3">
        <x:v>6941.0353520252002</x:v>
      </x:c>
      <x:c r="H645" s="3">
        <x:v>4164621.2112151203</x:v>
      </x:c>
    </x:row>
    <x:row r="646">
      <x:c r="A646" s="2" t="s">
        <x:v>38</x:v>
      </x:c>
      <x:c r="B646" s="2">
        <x:v>10442</x:v>
      </x:c>
      <x:c r="C646" s="2">
        <x:v>12488</x:v>
      </x:c>
      <x:c r="D646" s="2" t="s">
        <x:v>27</x:v>
      </x:c>
      <x:c r="E646" s="2">
        <x:v>79</x:v>
      </x:c>
      <x:c r="F646" s="2">
        <x:v>600</x:v>
      </x:c>
      <x:c r="G646" s="3">
        <x:v>6941.0353520252002</x:v>
      </x:c>
      <x:c r="H646" s="3">
        <x:v>4164621.2112151203</x:v>
      </x:c>
    </x:row>
    <x:row r="647">
      <x:c r="A647" s="2" t="s">
        <x:v>38</x:v>
      </x:c>
      <x:c r="B647" s="2">
        <x:v>10443</x:v>
      </x:c>
      <x:c r="C647" s="2">
        <x:v>12489</x:v>
      </x:c>
      <x:c r="D647" s="2" t="s">
        <x:v>27</x:v>
      </x:c>
      <x:c r="E647" s="2">
        <x:v>81</x:v>
      </x:c>
      <x:c r="F647" s="2">
        <x:v>600</x:v>
      </x:c>
      <x:c r="G647" s="3">
        <x:v>6924.3686853585004</x:v>
      </x:c>
      <x:c r="H647" s="3">
        <x:v>4154621.2112151003</x:v>
      </x:c>
    </x:row>
    <x:row r="648">
      <x:c r="A648" s="2" t="s">
        <x:v>38</x:v>
      </x:c>
      <x:c r="B648" s="2">
        <x:v>10444</x:v>
      </x:c>
      <x:c r="C648" s="2">
        <x:v>12490</x:v>
      </x:c>
      <x:c r="D648" s="2" t="s">
        <x:v>27</x:v>
      </x:c>
      <x:c r="E648" s="2">
        <x:v>70</x:v>
      </x:c>
      <x:c r="F648" s="2">
        <x:v>600</x:v>
      </x:c>
      <x:c r="G648" s="3">
        <x:v>6941.0353520252002</x:v>
      </x:c>
      <x:c r="H648" s="3">
        <x:v>4164621.2112151203</x:v>
      </x:c>
    </x:row>
    <x:row r="649">
      <x:c r="A649" s="2" t="s">
        <x:v>38</x:v>
      </x:c>
      <x:c r="B649" s="2">
        <x:v>10445</x:v>
      </x:c>
      <x:c r="C649" s="2">
        <x:v>12491</x:v>
      </x:c>
      <x:c r="D649" s="2" t="s">
        <x:v>27</x:v>
      </x:c>
      <x:c r="E649" s="2">
        <x:v>77</x:v>
      </x:c>
      <x:c r="F649" s="2">
        <x:v>600</x:v>
      </x:c>
      <x:c r="G649" s="3">
        <x:v>6924.3686853585004</x:v>
      </x:c>
      <x:c r="H649" s="3">
        <x:v>4154621.2112151003</x:v>
      </x:c>
    </x:row>
    <x:row r="650">
      <x:c r="A650" s="2" t="s">
        <x:v>38</x:v>
      </x:c>
      <x:c r="B650" s="2">
        <x:v>10446</x:v>
      </x:c>
      <x:c r="C650" s="2">
        <x:v>12492</x:v>
      </x:c>
      <x:c r="D650" s="2" t="s">
        <x:v>27</x:v>
      </x:c>
      <x:c r="E650" s="2">
        <x:v>81</x:v>
      </x:c>
      <x:c r="F650" s="2">
        <x:v>600</x:v>
      </x:c>
      <x:c r="G650" s="3">
        <x:v>6932.7020186918999</x:v>
      </x:c>
      <x:c r="H650" s="3">
        <x:v>4159621.2112151398</x:v>
      </x:c>
    </x:row>
    <x:row r="651">
      <x:c r="A651" s="2" t="s">
        <x:v>38</x:v>
      </x:c>
      <x:c r="B651" s="2">
        <x:v>10447</x:v>
      </x:c>
      <x:c r="C651" s="2">
        <x:v>12493</x:v>
      </x:c>
      <x:c r="D651" s="2" t="s">
        <x:v>27</x:v>
      </x:c>
      <x:c r="E651" s="2">
        <x:v>67</x:v>
      </x:c>
      <x:c r="F651" s="2">
        <x:v>600</x:v>
      </x:c>
      <x:c r="G651" s="3">
        <x:v>6941.0353520252002</x:v>
      </x:c>
      <x:c r="H651" s="3">
        <x:v>4164621.2112151203</x:v>
      </x:c>
    </x:row>
    <x:row r="652">
      <x:c r="A652" s="2" t="s">
        <x:v>38</x:v>
      </x:c>
      <x:c r="B652" s="2">
        <x:v>10448</x:v>
      </x:c>
      <x:c r="C652" s="2">
        <x:v>12494</x:v>
      </x:c>
      <x:c r="D652" s="2" t="s">
        <x:v>27</x:v>
      </x:c>
      <x:c r="E652" s="2">
        <x:v>97</x:v>
      </x:c>
      <x:c r="F652" s="2">
        <x:v>600</x:v>
      </x:c>
      <x:c r="G652" s="3">
        <x:v>6807.7020186918999</x:v>
      </x:c>
      <x:c r="H652" s="3">
        <x:v>4084621.2112151398</x:v>
      </x:c>
    </x:row>
    <x:row r="653">
      <x:c r="A653" s="2" t="s">
        <x:v>38</x:v>
      </x:c>
      <x:c r="B653" s="2">
        <x:v>10449</x:v>
      </x:c>
      <x:c r="C653" s="2">
        <x:v>12495</x:v>
      </x:c>
      <x:c r="D653" s="2" t="s">
        <x:v>27</x:v>
      </x:c>
      <x:c r="E653" s="2">
        <x:v>69</x:v>
      </x:c>
      <x:c r="F653" s="2">
        <x:v>600</x:v>
      </x:c>
      <x:c r="G653" s="3">
        <x:v>6932.7020186918999</x:v>
      </x:c>
      <x:c r="H653" s="3">
        <x:v>4159621.2112151398</x:v>
      </x:c>
    </x:row>
    <x:row r="654">
      <x:c r="A654" s="2" t="s">
        <x:v>38</x:v>
      </x:c>
      <x:c r="B654" s="2">
        <x:v>10450</x:v>
      </x:c>
      <x:c r="C654" s="2">
        <x:v>12496</x:v>
      </x:c>
      <x:c r="D654" s="2" t="s">
        <x:v>27</x:v>
      </x:c>
      <x:c r="E654" s="2">
        <x:v>62</x:v>
      </x:c>
      <x:c r="F654" s="2">
        <x:v>600</x:v>
      </x:c>
      <x:c r="G654" s="3">
        <x:v>6941.0353520252002</x:v>
      </x:c>
      <x:c r="H654" s="3">
        <x:v>4164621.2112151203</x:v>
      </x:c>
    </x:row>
    <x:row r="655">
      <x:c r="A655" s="2" t="s">
        <x:v>38</x:v>
      </x:c>
      <x:c r="B655" s="2">
        <x:v>10451</x:v>
      </x:c>
      <x:c r="C655" s="2">
        <x:v>12497</x:v>
      </x:c>
      <x:c r="D655" s="2" t="s">
        <x:v>27</x:v>
      </x:c>
      <x:c r="E655" s="2">
        <x:v>65</x:v>
      </x:c>
      <x:c r="F655" s="2">
        <x:v>600</x:v>
      </x:c>
      <x:c r="G655" s="3">
        <x:v>6941.0353520252002</x:v>
      </x:c>
      <x:c r="H655" s="3">
        <x:v>4164621.2112151203</x:v>
      </x:c>
    </x:row>
    <x:row r="656">
      <x:c r="A656" s="2" t="s">
        <x:v>38</x:v>
      </x:c>
      <x:c r="B656" s="2">
        <x:v>10452</x:v>
      </x:c>
      <x:c r="C656" s="2">
        <x:v>12498</x:v>
      </x:c>
      <x:c r="D656" s="2" t="s">
        <x:v>27</x:v>
      </x:c>
      <x:c r="E656" s="2">
        <x:v>65</x:v>
      </x:c>
      <x:c r="F656" s="2">
        <x:v>600</x:v>
      </x:c>
      <x:c r="G656" s="3">
        <x:v>6816.0353520252002</x:v>
      </x:c>
      <x:c r="H656" s="3">
        <x:v>4089621.2112151203</x:v>
      </x:c>
    </x:row>
    <x:row r="657">
      <x:c r="A657" s="2" t="s">
        <x:v>38</x:v>
      </x:c>
      <x:c r="B657" s="2">
        <x:v>10453</x:v>
      </x:c>
      <x:c r="C657" s="2">
        <x:v>12499</x:v>
      </x:c>
      <x:c r="D657" s="2" t="s">
        <x:v>27</x:v>
      </x:c>
      <x:c r="E657" s="2">
        <x:v>71</x:v>
      </x:c>
      <x:c r="F657" s="2">
        <x:v>600</x:v>
      </x:c>
      <x:c r="G657" s="3">
        <x:v>6807.7020186918999</x:v>
      </x:c>
      <x:c r="H657" s="3">
        <x:v>4084621.2112151398</x:v>
      </x:c>
    </x:row>
    <x:row r="658">
      <x:c r="A658" s="2" t="s">
        <x:v>38</x:v>
      </x:c>
      <x:c r="B658" s="2">
        <x:v>10454</x:v>
      </x:c>
      <x:c r="C658" s="2">
        <x:v>12500</x:v>
      </x:c>
      <x:c r="D658" s="2" t="s">
        <x:v>27</x:v>
      </x:c>
      <x:c r="E658" s="2">
        <x:v>96</x:v>
      </x:c>
      <x:c r="F658" s="2">
        <x:v>600</x:v>
      </x:c>
      <x:c r="G658" s="3">
        <x:v>6816.0353520252002</x:v>
      </x:c>
      <x:c r="H658" s="3">
        <x:v>4089621.2112151203</x:v>
      </x:c>
    </x:row>
    <x:row r="659">
      <x:c r="A659" s="2" t="s">
        <x:v>38</x:v>
      </x:c>
      <x:c r="B659" s="2">
        <x:v>10455</x:v>
      </x:c>
      <x:c r="C659" s="2">
        <x:v>12501</x:v>
      </x:c>
      <x:c r="D659" s="2" t="s">
        <x:v>27</x:v>
      </x:c>
      <x:c r="E659" s="2">
        <x:v>88</x:v>
      </x:c>
      <x:c r="F659" s="2">
        <x:v>600</x:v>
      </x:c>
      <x:c r="G659" s="3">
        <x:v>6807.7020186918999</x:v>
      </x:c>
      <x:c r="H659" s="3">
        <x:v>4084621.2112151398</x:v>
      </x:c>
    </x:row>
    <x:row r="660">
      <x:c r="A660" s="2" t="s">
        <x:v>38</x:v>
      </x:c>
      <x:c r="B660" s="2">
        <x:v>10456</x:v>
      </x:c>
      <x:c r="C660" s="2">
        <x:v>12502</x:v>
      </x:c>
      <x:c r="D660" s="2" t="s">
        <x:v>27</x:v>
      </x:c>
      <x:c r="E660" s="2">
        <x:v>64</x:v>
      </x:c>
      <x:c r="F660" s="2">
        <x:v>600</x:v>
      </x:c>
      <x:c r="G660" s="3">
        <x:v>6807.7020186918999</x:v>
      </x:c>
      <x:c r="H660" s="3">
        <x:v>4084621.2112151398</x:v>
      </x:c>
    </x:row>
    <x:row r="661">
      <x:c r="A661" s="2" t="s">
        <x:v>50</x:v>
      </x:c>
      <x:c r="B661" s="2">
        <x:v>10346</x:v>
      </x:c>
      <x:c r="C661" s="2">
        <x:v>12503</x:v>
      </x:c>
      <x:c r="D661" s="2" t="s">
        <x:v>27</x:v>
      </x:c>
      <x:c r="E661" s="2">
        <x:v>105</x:v>
      </x:c>
      <x:c r="F661" s="2">
        <x:v>600</x:v>
      </x:c>
      <x:c r="G661" s="3">
        <x:v>5691.0353520252002</x:v>
      </x:c>
      <x:c r="H661" s="3">
        <x:v>3414621.2112151203</x:v>
      </x:c>
    </x:row>
    <x:row r="662">
      <x:c r="A662" s="2" t="s">
        <x:v>50</x:v>
      </x:c>
      <x:c r="B662" s="2">
        <x:v>10347</x:v>
      </x:c>
      <x:c r="C662" s="2">
        <x:v>12504</x:v>
      </x:c>
      <x:c r="D662" s="2" t="s">
        <x:v>27</x:v>
      </x:c>
      <x:c r="E662" s="2">
        <x:v>95</x:v>
      </x:c>
      <x:c r="F662" s="2">
        <x:v>600</x:v>
      </x:c>
      <x:c r="G662" s="3">
        <x:v>5691.0353520252002</x:v>
      </x:c>
      <x:c r="H662" s="3">
        <x:v>3414621.2112151203</x:v>
      </x:c>
    </x:row>
    <x:row r="663">
      <x:c r="A663" s="2" t="s">
        <x:v>50</x:v>
      </x:c>
      <x:c r="B663" s="2">
        <x:v>10348</x:v>
      </x:c>
      <x:c r="C663" s="2">
        <x:v>12505</x:v>
      </x:c>
      <x:c r="D663" s="2" t="s">
        <x:v>27</x:v>
      </x:c>
      <x:c r="E663" s="2">
        <x:v>68</x:v>
      </x:c>
      <x:c r="F663" s="2">
        <x:v>600</x:v>
      </x:c>
      <x:c r="G663" s="3">
        <x:v>5691.0353520252002</x:v>
      </x:c>
      <x:c r="H663" s="3">
        <x:v>3414621.2112151203</x:v>
      </x:c>
    </x:row>
    <x:row r="664">
      <x:c r="A664" s="2" t="s">
        <x:v>50</x:v>
      </x:c>
      <x:c r="B664" s="2">
        <x:v>10349</x:v>
      </x:c>
      <x:c r="C664" s="2">
        <x:v>12506</x:v>
      </x:c>
      <x:c r="D664" s="2" t="s">
        <x:v>27</x:v>
      </x:c>
      <x:c r="E664" s="2">
        <x:v>59</x:v>
      </x:c>
      <x:c r="F664" s="2">
        <x:v>600</x:v>
      </x:c>
      <x:c r="G664" s="3">
        <x:v>5691.0353520252002</x:v>
      </x:c>
      <x:c r="H664" s="3">
        <x:v>3414621.2112151203</x:v>
      </x:c>
    </x:row>
    <x:row r="665">
      <x:c r="A665" s="2" t="s">
        <x:v>50</x:v>
      </x:c>
      <x:c r="B665" s="2">
        <x:v>10350</x:v>
      </x:c>
      <x:c r="C665" s="2">
        <x:v>12507</x:v>
      </x:c>
      <x:c r="D665" s="2" t="s">
        <x:v>27</x:v>
      </x:c>
      <x:c r="E665" s="2">
        <x:v>89</x:v>
      </x:c>
      <x:c r="F665" s="2">
        <x:v>600</x:v>
      </x:c>
      <x:c r="G665" s="3">
        <x:v>5691.0353520252002</x:v>
      </x:c>
      <x:c r="H665" s="3">
        <x:v>3414621.2112151203</x:v>
      </x:c>
    </x:row>
    <x:row r="666">
      <x:c r="A666" s="2" t="s">
        <x:v>50</x:v>
      </x:c>
      <x:c r="B666" s="2">
        <x:v>10351</x:v>
      </x:c>
      <x:c r="C666" s="2">
        <x:v>12508</x:v>
      </x:c>
      <x:c r="D666" s="2" t="s">
        <x:v>27</x:v>
      </x:c>
      <x:c r="E666" s="2">
        <x:v>91</x:v>
      </x:c>
      <x:c r="F666" s="2">
        <x:v>600</x:v>
      </x:c>
      <x:c r="G666" s="3">
        <x:v>5691.0353520252002</x:v>
      </x:c>
      <x:c r="H666" s="3">
        <x:v>3414621.2112151203</x:v>
      </x:c>
    </x:row>
    <x:row r="667">
      <x:c r="A667" s="2" t="s">
        <x:v>50</x:v>
      </x:c>
      <x:c r="B667" s="2">
        <x:v>10352</x:v>
      </x:c>
      <x:c r="C667" s="2">
        <x:v>12509</x:v>
      </x:c>
      <x:c r="D667" s="2" t="s">
        <x:v>27</x:v>
      </x:c>
      <x:c r="E667" s="2">
        <x:v>73</x:v>
      </x:c>
      <x:c r="F667" s="2">
        <x:v>600</x:v>
      </x:c>
      <x:c r="G667" s="3">
        <x:v>5691.0353520252002</x:v>
      </x:c>
      <x:c r="H667" s="3">
        <x:v>3414621.2112151203</x:v>
      </x:c>
    </x:row>
    <x:row r="668">
      <x:c r="A668" s="2" t="s">
        <x:v>50</x:v>
      </x:c>
      <x:c r="B668" s="2">
        <x:v>10353</x:v>
      </x:c>
      <x:c r="C668" s="2">
        <x:v>12510</x:v>
      </x:c>
      <x:c r="D668" s="2" t="s">
        <x:v>27</x:v>
      </x:c>
      <x:c r="E668" s="2">
        <x:v>78</x:v>
      </x:c>
      <x:c r="F668" s="2">
        <x:v>600</x:v>
      </x:c>
      <x:c r="G668" s="3">
        <x:v>5691.0353520252002</x:v>
      </x:c>
      <x:c r="H668" s="3">
        <x:v>3414621.2112151203</x:v>
      </x:c>
    </x:row>
    <x:row r="669">
      <x:c r="A669" s="2" t="s">
        <x:v>50</x:v>
      </x:c>
      <x:c r="B669" s="2">
        <x:v>10354</x:v>
      </x:c>
      <x:c r="C669" s="2">
        <x:v>12511</x:v>
      </x:c>
      <x:c r="D669" s="2" t="s">
        <x:v>27</x:v>
      </x:c>
      <x:c r="E669" s="2">
        <x:v>76</x:v>
      </x:c>
      <x:c r="F669" s="2">
        <x:v>583</x:v>
      </x:c>
      <x:c r="G669" s="3">
        <x:v>5691.0353520252002</x:v>
      </x:c>
      <x:c r="H669" s="3">
        <x:v>3317873.6102306917</x:v>
      </x:c>
    </x:row>
    <x:row r="670">
      <x:c r="A670" s="2" t="s">
        <x:v>50</x:v>
      </x:c>
      <x:c r="B670" s="2">
        <x:v>11034</x:v>
      </x:c>
      <x:c r="C670" s="2">
        <x:v>12512</x:v>
      </x:c>
      <x:c r="D670" s="2" t="s">
        <x:v>42</x:v>
      </x:c>
      <x:c r="E670" s="2">
        <x:v>107</x:v>
      </x:c>
      <x:c r="F670" s="2">
        <x:v>600</x:v>
      </x:c>
      <x:c r="G670" s="3">
        <x:v>6274.3294100822004</x:v>
      </x:c>
      <x:c r="H670" s="3">
        <x:v>3764597.6460493202</x:v>
      </x:c>
    </x:row>
    <x:row r="671">
      <x:c r="A671" s="2" t="s">
        <x:v>50</x:v>
      </x:c>
      <x:c r="B671" s="2">
        <x:v>11035</x:v>
      </x:c>
      <x:c r="C671" s="2">
        <x:v>12513</x:v>
      </x:c>
      <x:c r="D671" s="2" t="s">
        <x:v>42</x:v>
      </x:c>
      <x:c r="E671" s="2">
        <x:v>115</x:v>
      </x:c>
      <x:c r="F671" s="2">
        <x:v>600</x:v>
      </x:c>
      <x:c r="G671" s="3">
        <x:v>6274.3294100822004</x:v>
      </x:c>
      <x:c r="H671" s="3">
        <x:v>3764597.6460493202</x:v>
      </x:c>
    </x:row>
    <x:row r="672">
      <x:c r="A672" s="2" t="s">
        <x:v>50</x:v>
      </x:c>
      <x:c r="B672" s="2">
        <x:v>11036</x:v>
      </x:c>
      <x:c r="C672" s="2">
        <x:v>12514</x:v>
      </x:c>
      <x:c r="D672" s="2" t="s">
        <x:v>49</x:v>
      </x:c>
      <x:c r="E672" s="2">
        <x:v>93</x:v>
      </x:c>
      <x:c r="F672" s="2">
        <x:v>600</x:v>
      </x:c>
      <x:c r="G672" s="3">
        <x:v>6274.3294100822004</x:v>
      </x:c>
      <x:c r="H672" s="3">
        <x:v>3764597.6460493202</x:v>
      </x:c>
    </x:row>
    <x:row r="673">
      <x:c r="A673" s="2" t="s">
        <x:v>50</x:v>
      </x:c>
      <x:c r="B673" s="2">
        <x:v>11037</x:v>
      </x:c>
      <x:c r="C673" s="2">
        <x:v>12515</x:v>
      </x:c>
      <x:c r="D673" s="2" t="s">
        <x:v>49</x:v>
      </x:c>
      <x:c r="E673" s="2">
        <x:v>103</x:v>
      </x:c>
      <x:c r="F673" s="2">
        <x:v>600</x:v>
      </x:c>
      <x:c r="G673" s="3">
        <x:v>6274.3294100822004</x:v>
      </x:c>
      <x:c r="H673" s="3">
        <x:v>3764597.6460493202</x:v>
      </x:c>
    </x:row>
    <x:row r="674">
      <x:c r="A674" s="2" t="s">
        <x:v>50</x:v>
      </x:c>
      <x:c r="B674" s="2">
        <x:v>11038</x:v>
      </x:c>
      <x:c r="C674" s="2">
        <x:v>12516</x:v>
      </x:c>
      <x:c r="D674" s="2" t="s">
        <x:v>49</x:v>
      </x:c>
      <x:c r="E674" s="2">
        <x:v>113</x:v>
      </x:c>
      <x:c r="F674" s="2">
        <x:v>600</x:v>
      </x:c>
      <x:c r="G674" s="3">
        <x:v>6274.3294100822004</x:v>
      </x:c>
      <x:c r="H674" s="3">
        <x:v>3764597.6460493202</x:v>
      </x:c>
    </x:row>
    <x:row r="675">
      <x:c r="A675" s="2" t="s">
        <x:v>50</x:v>
      </x:c>
      <x:c r="B675" s="2">
        <x:v>11039</x:v>
      </x:c>
      <x:c r="C675" s="2">
        <x:v>12517</x:v>
      </x:c>
      <x:c r="D675" s="2" t="s">
        <x:v>49</x:v>
      </x:c>
      <x:c r="E675" s="2">
        <x:v>101</x:v>
      </x:c>
      <x:c r="F675" s="2">
        <x:v>600</x:v>
      </x:c>
      <x:c r="G675" s="3">
        <x:v>6274.3294100822004</x:v>
      </x:c>
      <x:c r="H675" s="3">
        <x:v>3764597.6460493202</x:v>
      </x:c>
    </x:row>
    <x:row r="676">
      <x:c r="A676" s="2" t="s">
        <x:v>50</x:v>
      </x:c>
      <x:c r="B676" s="2">
        <x:v>11040</x:v>
      </x:c>
      <x:c r="C676" s="2">
        <x:v>12518</x:v>
      </x:c>
      <x:c r="D676" s="2" t="s">
        <x:v>2</x:v>
      </x:c>
      <x:c r="E676" s="2">
        <x:v>100</x:v>
      </x:c>
      <x:c r="F676" s="2">
        <x:v>600</x:v>
      </x:c>
      <x:c r="G676" s="3">
        <x:v>6274.3294100822004</x:v>
      </x:c>
      <x:c r="H676" s="3">
        <x:v>3764597.6460493202</x:v>
      </x:c>
    </x:row>
    <x:row r="677">
      <x:c r="A677" s="2" t="s">
        <x:v>50</x:v>
      </x:c>
      <x:c r="B677" s="2">
        <x:v>11041</x:v>
      </x:c>
      <x:c r="C677" s="2">
        <x:v>12519</x:v>
      </x:c>
      <x:c r="D677" s="2" t="s">
        <x:v>2</x:v>
      </x:c>
      <x:c r="E677" s="2">
        <x:v>99</x:v>
      </x:c>
      <x:c r="F677" s="2">
        <x:v>600</x:v>
      </x:c>
      <x:c r="G677" s="3">
        <x:v>6274.3294100822004</x:v>
      </x:c>
      <x:c r="H677" s="3">
        <x:v>3764597.6460493202</x:v>
      </x:c>
    </x:row>
    <x:row r="678">
      <x:c r="A678" s="2" t="s">
        <x:v>50</x:v>
      </x:c>
      <x:c r="B678" s="2">
        <x:v>11042</x:v>
      </x:c>
      <x:c r="C678" s="2">
        <x:v>12520</x:v>
      </x:c>
      <x:c r="D678" s="2" t="s">
        <x:v>2</x:v>
      </x:c>
      <x:c r="E678" s="2">
        <x:v>95</x:v>
      </x:c>
      <x:c r="F678" s="2">
        <x:v>600</x:v>
      </x:c>
      <x:c r="G678" s="3">
        <x:v>6274.3294100822004</x:v>
      </x:c>
      <x:c r="H678" s="3">
        <x:v>3764597.6460493202</x:v>
      </x:c>
    </x:row>
    <x:row r="679">
      <x:c r="A679" s="2" t="s">
        <x:v>50</x:v>
      </x:c>
      <x:c r="B679" s="2">
        <x:v>11043</x:v>
      </x:c>
      <x:c r="C679" s="2">
        <x:v>12521</x:v>
      </x:c>
      <x:c r="D679" s="2" t="s">
        <x:v>2</x:v>
      </x:c>
      <x:c r="E679" s="2">
        <x:v>98</x:v>
      </x:c>
      <x:c r="F679" s="2">
        <x:v>600</x:v>
      </x:c>
      <x:c r="G679" s="3">
        <x:v>6274.3294100822004</x:v>
      </x:c>
      <x:c r="H679" s="3">
        <x:v>3764597.6460493202</x:v>
      </x:c>
    </x:row>
    <x:row r="680">
      <x:c r="A680" s="2" t="s">
        <x:v>50</x:v>
      </x:c>
      <x:c r="B680" s="2">
        <x:v>11044</x:v>
      </x:c>
      <x:c r="C680" s="2">
        <x:v>12522</x:v>
      </x:c>
      <x:c r="D680" s="2" t="s">
        <x:v>27</x:v>
      </x:c>
      <x:c r="E680" s="2">
        <x:v>110</x:v>
      </x:c>
      <x:c r="F680" s="2">
        <x:v>600</x:v>
      </x:c>
      <x:c r="G680" s="3">
        <x:v>6274.3294100822004</x:v>
      </x:c>
      <x:c r="H680" s="3">
        <x:v>3764597.6460493202</x:v>
      </x:c>
    </x:row>
    <x:row r="681">
      <x:c r="A681" s="2" t="s">
        <x:v>50</x:v>
      </x:c>
      <x:c r="B681" s="2">
        <x:v>11045</x:v>
      </x:c>
      <x:c r="C681" s="2">
        <x:v>12523</x:v>
      </x:c>
      <x:c r="D681" s="2" t="s">
        <x:v>27</x:v>
      </x:c>
      <x:c r="E681" s="2">
        <x:v>86</x:v>
      </x:c>
      <x:c r="F681" s="2">
        <x:v>600</x:v>
      </x:c>
      <x:c r="G681" s="3">
        <x:v>6274.3294100822004</x:v>
      </x:c>
      <x:c r="H681" s="3">
        <x:v>3764597.6460493202</x:v>
      </x:c>
    </x:row>
    <x:row r="682">
      <x:c r="A682" s="2" t="s">
        <x:v>50</x:v>
      </x:c>
      <x:c r="B682" s="2">
        <x:v>11046</x:v>
      </x:c>
      <x:c r="C682" s="2">
        <x:v>12524</x:v>
      </x:c>
      <x:c r="D682" s="2" t="s">
        <x:v>27</x:v>
      </x:c>
      <x:c r="E682" s="2">
        <x:v>109</x:v>
      </x:c>
      <x:c r="F682" s="2">
        <x:v>600</x:v>
      </x:c>
      <x:c r="G682" s="3">
        <x:v>6274.3294100822004</x:v>
      </x:c>
      <x:c r="H682" s="3">
        <x:v>3764597.6460493202</x:v>
      </x:c>
    </x:row>
    <x:row r="683">
      <x:c r="A683" s="2" t="s">
        <x:v>50</x:v>
      </x:c>
      <x:c r="B683" s="2">
        <x:v>11047</x:v>
      </x:c>
      <x:c r="C683" s="2">
        <x:v>12525</x:v>
      </x:c>
      <x:c r="D683" s="2" t="s">
        <x:v>27</x:v>
      </x:c>
      <x:c r="E683" s="2">
        <x:v>106</x:v>
      </x:c>
      <x:c r="F683" s="2">
        <x:v>600</x:v>
      </x:c>
      <x:c r="G683" s="3">
        <x:v>6274.3294100822004</x:v>
      </x:c>
      <x:c r="H683" s="3">
        <x:v>3764597.6460493202</x:v>
      </x:c>
    </x:row>
    <x:row r="684">
      <x:c r="A684" s="2" t="s">
        <x:v>50</x:v>
      </x:c>
      <x:c r="B684" s="2">
        <x:v>11048</x:v>
      </x:c>
      <x:c r="C684" s="2">
        <x:v>12526</x:v>
      </x:c>
      <x:c r="D684" s="2" t="s">
        <x:v>27</x:v>
      </x:c>
      <x:c r="E684" s="2">
        <x:v>98</x:v>
      </x:c>
      <x:c r="F684" s="2">
        <x:v>600</x:v>
      </x:c>
      <x:c r="G684" s="3">
        <x:v>6274.3294100822004</x:v>
      </x:c>
      <x:c r="H684" s="3">
        <x:v>3764597.6460493202</x:v>
      </x:c>
    </x:row>
    <x:row r="685">
      <x:c r="A685" s="2" t="s">
        <x:v>50</x:v>
      </x:c>
      <x:c r="B685" s="2">
        <x:v>11049</x:v>
      </x:c>
      <x:c r="C685" s="2">
        <x:v>12527</x:v>
      </x:c>
      <x:c r="D685" s="2" t="s">
        <x:v>41</x:v>
      </x:c>
      <x:c r="E685" s="2">
        <x:v>85</x:v>
      </x:c>
      <x:c r="F685" s="2">
        <x:v>600</x:v>
      </x:c>
      <x:c r="G685" s="3">
        <x:v>6274.3294100822004</x:v>
      </x:c>
      <x:c r="H685" s="3">
        <x:v>3764597.6460493202</x:v>
      </x:c>
    </x:row>
    <x:row r="686">
      <x:c r="A686" s="2" t="s">
        <x:v>50</x:v>
      </x:c>
      <x:c r="B686" s="2">
        <x:v>11050</x:v>
      </x:c>
      <x:c r="C686" s="2">
        <x:v>12528</x:v>
      </x:c>
      <x:c r="D686" s="2" t="s">
        <x:v>41</x:v>
      </x:c>
      <x:c r="E686" s="2">
        <x:v>77</x:v>
      </x:c>
      <x:c r="F686" s="2">
        <x:v>600</x:v>
      </x:c>
      <x:c r="G686" s="3">
        <x:v>6274.3294100822004</x:v>
      </x:c>
      <x:c r="H686" s="3">
        <x:v>3764597.6460493202</x:v>
      </x:c>
    </x:row>
    <x:row r="687">
      <x:c r="A687" s="2" t="s">
        <x:v>50</x:v>
      </x:c>
      <x:c r="B687" s="2">
        <x:v>11051</x:v>
      </x:c>
      <x:c r="C687" s="2">
        <x:v>12529</x:v>
      </x:c>
      <x:c r="D687" s="2" t="s">
        <x:v>41</x:v>
      </x:c>
      <x:c r="E687" s="2">
        <x:v>78</x:v>
      </x:c>
      <x:c r="F687" s="2">
        <x:v>600</x:v>
      </x:c>
      <x:c r="G687" s="3">
        <x:v>6274.3294100822004</x:v>
      </x:c>
      <x:c r="H687" s="3">
        <x:v>3764597.6460493202</x:v>
      </x:c>
    </x:row>
    <x:row r="688">
      <x:c r="A688" s="2" t="s">
        <x:v>50</x:v>
      </x:c>
      <x:c r="B688" s="2">
        <x:v>11052</x:v>
      </x:c>
      <x:c r="C688" s="2">
        <x:v>12530</x:v>
      </x:c>
      <x:c r="D688" s="2" t="s">
        <x:v>41</x:v>
      </x:c>
      <x:c r="E688" s="2">
        <x:v>89</x:v>
      </x:c>
      <x:c r="F688" s="2">
        <x:v>600</x:v>
      </x:c>
      <x:c r="G688" s="3">
        <x:v>6274.3294100822004</x:v>
      </x:c>
      <x:c r="H688" s="3">
        <x:v>3764597.6460493202</x:v>
      </x:c>
    </x:row>
    <x:row r="689">
      <x:c r="A689" s="2" t="s">
        <x:v>50</x:v>
      </x:c>
      <x:c r="B689" s="2">
        <x:v>11053</x:v>
      </x:c>
      <x:c r="C689" s="2">
        <x:v>12531</x:v>
      </x:c>
      <x:c r="D689" s="2" t="s">
        <x:v>41</x:v>
      </x:c>
      <x:c r="E689" s="2">
        <x:v>75</x:v>
      </x:c>
      <x:c r="F689" s="2">
        <x:v>600</x:v>
      </x:c>
      <x:c r="G689" s="3">
        <x:v>6274.3294100822004</x:v>
      </x:c>
      <x:c r="H689" s="3">
        <x:v>3764597.6460493202</x:v>
      </x:c>
    </x:row>
    <x:row r="690">
      <x:c r="A690" s="2" t="s">
        <x:v>50</x:v>
      </x:c>
      <x:c r="B690" s="2">
        <x:v>11054</x:v>
      </x:c>
      <x:c r="C690" s="2">
        <x:v>12532</x:v>
      </x:c>
      <x:c r="D690" s="2" t="s">
        <x:v>41</x:v>
      </x:c>
      <x:c r="E690" s="2">
        <x:v>70</x:v>
      </x:c>
      <x:c r="F690" s="2">
        <x:v>600</x:v>
      </x:c>
      <x:c r="G690" s="3">
        <x:v>6274.3294100822004</x:v>
      </x:c>
      <x:c r="H690" s="3">
        <x:v>3764597.6460493202</x:v>
      </x:c>
    </x:row>
    <x:row r="691">
      <x:c r="A691" s="2" t="s">
        <x:v>50</x:v>
      </x:c>
      <x:c r="B691" s="2">
        <x:v>11055</x:v>
      </x:c>
      <x:c r="C691" s="2">
        <x:v>12533</x:v>
      </x:c>
      <x:c r="D691" s="2" t="s">
        <x:v>41</x:v>
      </x:c>
      <x:c r="E691" s="2">
        <x:v>88</x:v>
      </x:c>
      <x:c r="F691" s="2">
        <x:v>600</x:v>
      </x:c>
      <x:c r="G691" s="3">
        <x:v>6274.3294100822004</x:v>
      </x:c>
      <x:c r="H691" s="3">
        <x:v>3764597.6460493202</x:v>
      </x:c>
    </x:row>
    <x:row r="692">
      <x:c r="A692" s="2" t="s">
        <x:v>50</x:v>
      </x:c>
      <x:c r="B692" s="2">
        <x:v>11056</x:v>
      </x:c>
      <x:c r="C692" s="2">
        <x:v>12534</x:v>
      </x:c>
      <x:c r="D692" s="2" t="s">
        <x:v>41</x:v>
      </x:c>
      <x:c r="E692" s="2">
        <x:v>78</x:v>
      </x:c>
      <x:c r="F692" s="2">
        <x:v>600</x:v>
      </x:c>
      <x:c r="G692" s="3">
        <x:v>6274.3294100822004</x:v>
      </x:c>
      <x:c r="H692" s="3">
        <x:v>3764597.6460493202</x:v>
      </x:c>
    </x:row>
    <x:row r="693">
      <x:c r="A693" s="2" t="s">
        <x:v>50</x:v>
      </x:c>
      <x:c r="B693" s="2">
        <x:v>11057</x:v>
      </x:c>
      <x:c r="C693" s="2">
        <x:v>12535</x:v>
      </x:c>
      <x:c r="D693" s="2" t="s">
        <x:v>41</x:v>
      </x:c>
      <x:c r="E693" s="2">
        <x:v>81</x:v>
      </x:c>
      <x:c r="F693" s="2">
        <x:v>600</x:v>
      </x:c>
      <x:c r="G693" s="3">
        <x:v>6274.3294100822004</x:v>
      </x:c>
      <x:c r="H693" s="3">
        <x:v>3764597.6460493202</x:v>
      </x:c>
    </x:row>
    <x:row r="694">
      <x:c r="A694" s="2" t="s">
        <x:v>50</x:v>
      </x:c>
      <x:c r="B694" s="2">
        <x:v>11058</x:v>
      </x:c>
      <x:c r="C694" s="2">
        <x:v>12536</x:v>
      </x:c>
      <x:c r="D694" s="2" t="s">
        <x:v>22</x:v>
      </x:c>
      <x:c r="E694" s="2">
        <x:v>89</x:v>
      </x:c>
      <x:c r="F694" s="2">
        <x:v>600</x:v>
      </x:c>
      <x:c r="G694" s="3">
        <x:v>6274.3294100822004</x:v>
      </x:c>
      <x:c r="H694" s="3">
        <x:v>3764597.6460493202</x:v>
      </x:c>
    </x:row>
    <x:row r="695">
      <x:c r="A695" s="2" t="s">
        <x:v>50</x:v>
      </x:c>
      <x:c r="B695" s="2">
        <x:v>11059</x:v>
      </x:c>
      <x:c r="C695" s="2">
        <x:v>12537</x:v>
      </x:c>
      <x:c r="D695" s="2" t="s">
        <x:v>22</x:v>
      </x:c>
      <x:c r="E695" s="2">
        <x:v>87</x:v>
      </x:c>
      <x:c r="F695" s="2">
        <x:v>600</x:v>
      </x:c>
      <x:c r="G695" s="3">
        <x:v>6274.3294100822004</x:v>
      </x:c>
      <x:c r="H695" s="3">
        <x:v>3764597.6460493202</x:v>
      </x:c>
    </x:row>
    <x:row r="696">
      <x:c r="A696" s="2" t="s">
        <x:v>50</x:v>
      </x:c>
      <x:c r="B696" s="2">
        <x:v>11060</x:v>
      </x:c>
      <x:c r="C696" s="2">
        <x:v>12538</x:v>
      </x:c>
      <x:c r="D696" s="2" t="s">
        <x:v>22</x:v>
      </x:c>
      <x:c r="E696" s="2">
        <x:v>79</x:v>
      </x:c>
      <x:c r="F696" s="2">
        <x:v>600</x:v>
      </x:c>
      <x:c r="G696" s="3">
        <x:v>6274.3294100822004</x:v>
      </x:c>
      <x:c r="H696" s="3">
        <x:v>3764597.6460493202</x:v>
      </x:c>
    </x:row>
    <x:row r="697">
      <x:c r="A697" s="2" t="s">
        <x:v>50</x:v>
      </x:c>
      <x:c r="B697" s="2">
        <x:v>11061</x:v>
      </x:c>
      <x:c r="C697" s="2">
        <x:v>12539</x:v>
      </x:c>
      <x:c r="D697" s="2" t="s">
        <x:v>22</x:v>
      </x:c>
      <x:c r="E697" s="2">
        <x:v>90</x:v>
      </x:c>
      <x:c r="F697" s="2">
        <x:v>600</x:v>
      </x:c>
      <x:c r="G697" s="3">
        <x:v>6274.3294100822004</x:v>
      </x:c>
      <x:c r="H697" s="3">
        <x:v>3764597.6460493202</x:v>
      </x:c>
    </x:row>
    <x:row r="698">
      <x:c r="A698" s="2" t="s">
        <x:v>50</x:v>
      </x:c>
      <x:c r="B698" s="2">
        <x:v>11062</x:v>
      </x:c>
      <x:c r="C698" s="2">
        <x:v>12540</x:v>
      </x:c>
      <x:c r="D698" s="2" t="s">
        <x:v>22</x:v>
      </x:c>
      <x:c r="E698" s="2">
        <x:v>92</x:v>
      </x:c>
      <x:c r="F698" s="2">
        <x:v>600</x:v>
      </x:c>
      <x:c r="G698" s="3">
        <x:v>6274.3294100822004</x:v>
      </x:c>
      <x:c r="H698" s="3">
        <x:v>3764597.6460493202</x:v>
      </x:c>
    </x:row>
    <x:row r="699">
      <x:c r="A699" s="2" t="s">
        <x:v>50</x:v>
      </x:c>
      <x:c r="B699" s="2">
        <x:v>11471</x:v>
      </x:c>
      <x:c r="C699" s="2">
        <x:v>12541</x:v>
      </x:c>
      <x:c r="D699" s="2" t="s">
        <x:v>51</x:v>
      </x:c>
      <x:c r="E699" s="2">
        <x:v>80</x:v>
      </x:c>
      <x:c r="F699" s="2">
        <x:v>600</x:v>
      </x:c>
      <x:c r="G699" s="3">
        <x:v>6274.3294100822004</x:v>
      </x:c>
      <x:c r="H699" s="3">
        <x:v>3764597.6460493202</x:v>
      </x:c>
    </x:row>
    <x:row r="700">
      <x:c r="A700" s="2" t="s">
        <x:v>50</x:v>
      </x:c>
      <x:c r="B700" s="2">
        <x:v>3383</x:v>
      </x:c>
      <x:c r="C700" s="2">
        <x:v>12542</x:v>
      </x:c>
      <x:c r="D700" s="2" t="s">
        <x:v>44</x:v>
      </x:c>
      <x:c r="E700" s="2">
        <x:v>17</x:v>
      </x:c>
      <x:c r="F700" s="2">
        <x:v>120</x:v>
      </x:c>
      <x:c r="G700" s="3">
        <x:v>8397.3829248029997</x:v>
      </x:c>
      <x:c r="H700" s="3">
        <x:v>1007685.95097636</x:v>
      </x:c>
    </x:row>
    <x:row r="701">
      <x:c r="A701" s="2" t="s">
        <x:v>50</x:v>
      </x:c>
      <x:c r="B701" s="2">
        <x:v>3435</x:v>
      </x:c>
      <x:c r="C701" s="2">
        <x:v>12543</x:v>
      </x:c>
      <x:c r="D701" s="2" t="s">
        <x:v>46</x:v>
      </x:c>
      <x:c r="E701" s="2">
        <x:v>21</x:v>
      </x:c>
      <x:c r="F701" s="2">
        <x:v>150</x:v>
      </x:c>
      <x:c r="G701" s="3">
        <x:v>8272.3829248029997</x:v>
      </x:c>
      <x:c r="H701" s="3">
        <x:v>1240857.43872045</x:v>
      </x:c>
    </x:row>
    <x:row r="702">
      <x:c r="A702" s="2" t="s">
        <x:v>50</x:v>
      </x:c>
      <x:c r="B702" s="2">
        <x:v>3436</x:v>
      </x:c>
      <x:c r="C702" s="2">
        <x:v>12544</x:v>
      </x:c>
      <x:c r="D702" s="2" t="s">
        <x:v>46</x:v>
      </x:c>
      <x:c r="E702" s="2">
        <x:v>25</x:v>
      </x:c>
      <x:c r="F702" s="2">
        <x:v>150</x:v>
      </x:c>
      <x:c r="G702" s="3">
        <x:v>8272.3829248029997</x:v>
      </x:c>
      <x:c r="H702" s="3">
        <x:v>1240857.43872045</x:v>
      </x:c>
    </x:row>
    <x:row r="703">
      <x:c r="A703" s="2" t="s">
        <x:v>50</x:v>
      </x:c>
      <x:c r="B703" s="2">
        <x:v>3437</x:v>
      </x:c>
      <x:c r="C703" s="2">
        <x:v>12545</x:v>
      </x:c>
      <x:c r="D703" s="2" t="s">
        <x:v>46</x:v>
      </x:c>
      <x:c r="E703" s="2">
        <x:v>25</x:v>
      </x:c>
      <x:c r="F703" s="2">
        <x:v>150</x:v>
      </x:c>
      <x:c r="G703" s="3">
        <x:v>8272.3829248029997</x:v>
      </x:c>
      <x:c r="H703" s="3">
        <x:v>1240857.43872045</x:v>
      </x:c>
    </x:row>
    <x:row r="704">
      <x:c r="A704" s="2" t="s">
        <x:v>50</x:v>
      </x:c>
      <x:c r="B704" s="2">
        <x:v>3438</x:v>
      </x:c>
      <x:c r="C704" s="2">
        <x:v>12546</x:v>
      </x:c>
      <x:c r="D704" s="2" t="s">
        <x:v>46</x:v>
      </x:c>
      <x:c r="E704" s="2">
        <x:v>25</x:v>
      </x:c>
      <x:c r="F704" s="2">
        <x:v>150</x:v>
      </x:c>
      <x:c r="G704" s="3">
        <x:v>8172.3829248029997</x:v>
      </x:c>
      <x:c r="H704" s="3">
        <x:v>1225857.43872045</x:v>
      </x:c>
    </x:row>
    <x:row r="705">
      <x:c r="A705" s="2" t="s">
        <x:v>50</x:v>
      </x:c>
      <x:c r="B705" s="2">
        <x:v>3439</x:v>
      </x:c>
      <x:c r="C705" s="2">
        <x:v>12547</x:v>
      </x:c>
      <x:c r="D705" s="2" t="s">
        <x:v>46</x:v>
      </x:c>
      <x:c r="E705" s="2">
        <x:v>22</x:v>
      </x:c>
      <x:c r="F705" s="2">
        <x:v>150</x:v>
      </x:c>
      <x:c r="G705" s="3">
        <x:v>8172.3829248029997</x:v>
      </x:c>
      <x:c r="H705" s="3">
        <x:v>1225857.43872045</x:v>
      </x:c>
    </x:row>
    <x:row r="706">
      <x:c r="A706" s="2" t="s">
        <x:v>50</x:v>
      </x:c>
      <x:c r="B706" s="2">
        <x:v>3440</x:v>
      </x:c>
      <x:c r="C706" s="2">
        <x:v>12548</x:v>
      </x:c>
      <x:c r="D706" s="2" t="s">
        <x:v>46</x:v>
      </x:c>
      <x:c r="E706" s="2">
        <x:v>25</x:v>
      </x:c>
      <x:c r="F706" s="2">
        <x:v>150</x:v>
      </x:c>
      <x:c r="G706" s="3">
        <x:v>8172.3829248029997</x:v>
      </x:c>
      <x:c r="H706" s="3">
        <x:v>1225857.43872045</x:v>
      </x:c>
    </x:row>
    <x:row r="707">
      <x:c r="A707" s="2" t="s">
        <x:v>50</x:v>
      </x:c>
      <x:c r="B707" s="2">
        <x:v>3441</x:v>
      </x:c>
      <x:c r="C707" s="2">
        <x:v>12549</x:v>
      </x:c>
      <x:c r="D707" s="2" t="s">
        <x:v>46</x:v>
      </x:c>
      <x:c r="E707" s="2">
        <x:v>25</x:v>
      </x:c>
      <x:c r="F707" s="2">
        <x:v>150</x:v>
      </x:c>
      <x:c r="G707" s="3">
        <x:v>8272.3829248029997</x:v>
      </x:c>
      <x:c r="H707" s="3">
        <x:v>1240857.43872045</x:v>
      </x:c>
    </x:row>
    <x:row r="708">
      <x:c r="A708" s="2" t="s">
        <x:v>50</x:v>
      </x:c>
      <x:c r="B708" s="2">
        <x:v>3442</x:v>
      </x:c>
      <x:c r="C708" s="2">
        <x:v>12550</x:v>
      </x:c>
      <x:c r="D708" s="2" t="s">
        <x:v>46</x:v>
      </x:c>
      <x:c r="E708" s="2">
        <x:v>25</x:v>
      </x:c>
      <x:c r="F708" s="2">
        <x:v>150</x:v>
      </x:c>
      <x:c r="G708" s="3">
        <x:v>8172.3829248029997</x:v>
      </x:c>
      <x:c r="H708" s="3">
        <x:v>1225857.43872045</x:v>
      </x:c>
    </x:row>
    <x:row r="709">
      <x:c r="A709" s="2" t="s">
        <x:v>50</x:v>
      </x:c>
      <x:c r="B709" s="2">
        <x:v>6488</x:v>
      </x:c>
      <x:c r="C709" s="2">
        <x:v>12551</x:v>
      </x:c>
      <x:c r="D709" s="2" t="s">
        <x:v>48</x:v>
      </x:c>
      <x:c r="E709" s="2">
        <x:v>17</x:v>
      </x:c>
      <x:c r="F709" s="2">
        <x:v>120</x:v>
      </x:c>
      <x:c r="G709" s="3">
        <x:v>8397.3829248029997</x:v>
      </x:c>
      <x:c r="H709" s="3">
        <x:v>1007685.95097636</x:v>
      </x:c>
    </x:row>
    <x:row r="710">
      <x:c r="A710" s="2" t="s">
        <x:v>50</x:v>
      </x:c>
      <x:c r="B710" s="2">
        <x:v>6492</x:v>
      </x:c>
      <x:c r="C710" s="2">
        <x:v>12552</x:v>
      </x:c>
      <x:c r="D710" s="2" t="s">
        <x:v>48</x:v>
      </x:c>
      <x:c r="E710" s="2">
        <x:v>18</x:v>
      </x:c>
      <x:c r="F710" s="2">
        <x:v>120</x:v>
      </x:c>
      <x:c r="G710" s="3">
        <x:v>8397.3829248029997</x:v>
      </x:c>
      <x:c r="H710" s="3">
        <x:v>1007685.95097636</x:v>
      </x:c>
    </x:row>
    <x:row r="711">
      <x:c r="A711" s="2" t="s">
        <x:v>50</x:v>
      </x:c>
      <x:c r="B711" s="2">
        <x:v>6494</x:v>
      </x:c>
      <x:c r="C711" s="2">
        <x:v>12553</x:v>
      </x:c>
      <x:c r="D711" s="2" t="s">
        <x:v>48</x:v>
      </x:c>
      <x:c r="E711" s="2">
        <x:v>18</x:v>
      </x:c>
      <x:c r="F711" s="2">
        <x:v>120</x:v>
      </x:c>
      <x:c r="G711" s="3">
        <x:v>8522.3829248029997</x:v>
      </x:c>
      <x:c r="H711" s="3">
        <x:v>1022685.95097636</x:v>
      </x:c>
    </x:row>
    <x:row r="712">
      <x:c r="A712" s="2" t="s">
        <x:v>50</x:v>
      </x:c>
      <x:c r="B712" s="2">
        <x:v>6495</x:v>
      </x:c>
      <x:c r="C712" s="2">
        <x:v>12554</x:v>
      </x:c>
      <x:c r="D712" s="2" t="s">
        <x:v>48</x:v>
      </x:c>
      <x:c r="E712" s="2">
        <x:v>18</x:v>
      </x:c>
      <x:c r="F712" s="2">
        <x:v>120</x:v>
      </x:c>
      <x:c r="G712" s="3">
        <x:v>8522.3829248029997</x:v>
      </x:c>
      <x:c r="H712" s="3">
        <x:v>1022685.95097636</x:v>
      </x:c>
    </x:row>
    <x:row r="713">
      <x:c r="A713" s="2" t="s">
        <x:v>50</x:v>
      </x:c>
      <x:c r="B713" s="2">
        <x:v>6499</x:v>
      </x:c>
      <x:c r="C713" s="2">
        <x:v>12555</x:v>
      </x:c>
      <x:c r="D713" s="2" t="s">
        <x:v>48</x:v>
      </x:c>
      <x:c r="E713" s="2">
        <x:v>18</x:v>
      </x:c>
      <x:c r="F713" s="2">
        <x:v>120</x:v>
      </x:c>
      <x:c r="G713" s="3">
        <x:v>8397.3829248029997</x:v>
      </x:c>
      <x:c r="H713" s="3">
        <x:v>1007685.95097636</x:v>
      </x:c>
    </x:row>
    <x:row r="714">
      <x:c r="A714" s="2" t="s">
        <x:v>50</x:v>
      </x:c>
      <x:c r="B714" s="2">
        <x:v>6500</x:v>
      </x:c>
      <x:c r="C714" s="2">
        <x:v>12556</x:v>
      </x:c>
      <x:c r="D714" s="2" t="s">
        <x:v>48</x:v>
      </x:c>
      <x:c r="E714" s="2">
        <x:v>18</x:v>
      </x:c>
      <x:c r="F714" s="2">
        <x:v>120</x:v>
      </x:c>
      <x:c r="G714" s="3">
        <x:v>8522.3829248029997</x:v>
      </x:c>
      <x:c r="H714" s="3">
        <x:v>1022685.95097636</x:v>
      </x:c>
    </x:row>
    <x:row r="715">
      <x:c r="A715" s="2" t="s">
        <x:v>50</x:v>
      </x:c>
      <x:c r="B715" s="2">
        <x:v>6501</x:v>
      </x:c>
      <x:c r="C715" s="2">
        <x:v>12557</x:v>
      </x:c>
      <x:c r="D715" s="2" t="s">
        <x:v>48</x:v>
      </x:c>
      <x:c r="E715" s="2">
        <x:v>18</x:v>
      </x:c>
      <x:c r="F715" s="2">
        <x:v>120</x:v>
      </x:c>
      <x:c r="G715" s="3">
        <x:v>8397.3829248029997</x:v>
      </x:c>
      <x:c r="H715" s="3">
        <x:v>1007685.95097636</x:v>
      </x:c>
    </x:row>
    <x:row r="716">
      <x:c r="A716" s="2" t="s">
        <x:v>50</x:v>
      </x:c>
      <x:c r="B716" s="2">
        <x:v>6502</x:v>
      </x:c>
      <x:c r="C716" s="2">
        <x:v>12558</x:v>
      </x:c>
      <x:c r="D716" s="2" t="s">
        <x:v>48</x:v>
      </x:c>
      <x:c r="E716" s="2">
        <x:v>18</x:v>
      </x:c>
      <x:c r="F716" s="2">
        <x:v>120</x:v>
      </x:c>
      <x:c r="G716" s="3">
        <x:v>8522.3829248029997</x:v>
      </x:c>
      <x:c r="H716" s="3">
        <x:v>1022685.95097636</x:v>
      </x:c>
    </x:row>
    <x:row r="717">
      <x:c r="A717" s="2" t="s">
        <x:v>50</x:v>
      </x:c>
      <x:c r="B717" s="2">
        <x:v>6503</x:v>
      </x:c>
      <x:c r="C717" s="2">
        <x:v>12559</x:v>
      </x:c>
      <x:c r="D717" s="2" t="s">
        <x:v>48</x:v>
      </x:c>
      <x:c r="E717" s="2">
        <x:v>18</x:v>
      </x:c>
      <x:c r="F717" s="2">
        <x:v>120</x:v>
      </x:c>
      <x:c r="G717" s="3">
        <x:v>8522.3829248029997</x:v>
      </x:c>
      <x:c r="H717" s="3">
        <x:v>1022685.95097636</x:v>
      </x:c>
    </x:row>
    <x:row r="718">
      <x:c r="A718" s="2" t="s">
        <x:v>50</x:v>
      </x:c>
      <x:c r="B718" s="2">
        <x:v>6504</x:v>
      </x:c>
      <x:c r="C718" s="2">
        <x:v>12560</x:v>
      </x:c>
      <x:c r="D718" s="2" t="s">
        <x:v>48</x:v>
      </x:c>
      <x:c r="E718" s="2">
        <x:v>18</x:v>
      </x:c>
      <x:c r="F718" s="2">
        <x:v>120</x:v>
      </x:c>
      <x:c r="G718" s="3">
        <x:v>8397.3829248029997</x:v>
      </x:c>
      <x:c r="H718" s="3">
        <x:v>1007685.95097636</x:v>
      </x:c>
    </x:row>
    <x:row r="719">
      <x:c r="A719" s="2" t="s">
        <x:v>50</x:v>
      </x:c>
      <x:c r="B719" s="2">
        <x:v>6505</x:v>
      </x:c>
      <x:c r="C719" s="2">
        <x:v>12561</x:v>
      </x:c>
      <x:c r="D719" s="2" t="s">
        <x:v>48</x:v>
      </x:c>
      <x:c r="E719" s="2">
        <x:v>18</x:v>
      </x:c>
      <x:c r="F719" s="2">
        <x:v>120</x:v>
      </x:c>
      <x:c r="G719" s="3">
        <x:v>8355.7162581363009</x:v>
      </x:c>
      <x:c r="H719" s="3">
        <x:v>1002685.9509763562</x:v>
      </x:c>
    </x:row>
    <x:row r="720">
      <x:c r="A720" s="2" t="s">
        <x:v>50</x:v>
      </x:c>
      <x:c r="B720" s="2">
        <x:v>6510</x:v>
      </x:c>
      <x:c r="C720" s="2">
        <x:v>12562</x:v>
      </x:c>
      <x:c r="D720" s="2" t="s">
        <x:v>48</x:v>
      </x:c>
      <x:c r="E720" s="2">
        <x:v>19</x:v>
      </x:c>
      <x:c r="F720" s="2">
        <x:v>120</x:v>
      </x:c>
      <x:c r="G720" s="3">
        <x:v>8522.3829248029997</x:v>
      </x:c>
      <x:c r="H720" s="3">
        <x:v>1022685.95097636</x:v>
      </x:c>
    </x:row>
    <x:row r="721">
      <x:c r="A721" s="2" t="s">
        <x:v>50</x:v>
      </x:c>
      <x:c r="B721" s="2">
        <x:v>6518</x:v>
      </x:c>
      <x:c r="C721" s="2">
        <x:v>12563</x:v>
      </x:c>
      <x:c r="D721" s="2" t="s">
        <x:v>48</x:v>
      </x:c>
      <x:c r="E721" s="2">
        <x:v>19</x:v>
      </x:c>
      <x:c r="F721" s="2">
        <x:v>120</x:v>
      </x:c>
      <x:c r="G721" s="3">
        <x:v>8397.3829248029997</x:v>
      </x:c>
      <x:c r="H721" s="3">
        <x:v>1007685.95097636</x:v>
      </x:c>
    </x:row>
    <x:row r="722">
      <x:c r="A722" s="2" t="s">
        <x:v>50</x:v>
      </x:c>
      <x:c r="B722" s="2">
        <x:v>6519</x:v>
      </x:c>
      <x:c r="C722" s="2">
        <x:v>12564</x:v>
      </x:c>
      <x:c r="D722" s="2" t="s">
        <x:v>48</x:v>
      </x:c>
      <x:c r="E722" s="2">
        <x:v>19</x:v>
      </x:c>
      <x:c r="F722" s="2">
        <x:v>120</x:v>
      </x:c>
      <x:c r="G722" s="3">
        <x:v>8397.3829248029997</x:v>
      </x:c>
      <x:c r="H722" s="3">
        <x:v>1007685.95097636</x:v>
      </x:c>
    </x:row>
    <x:row r="723">
      <x:c r="A723" s="2" t="s">
        <x:v>50</x:v>
      </x:c>
      <x:c r="B723" s="2">
        <x:v>6520</x:v>
      </x:c>
      <x:c r="C723" s="2">
        <x:v>12565</x:v>
      </x:c>
      <x:c r="D723" s="2" t="s">
        <x:v>48</x:v>
      </x:c>
      <x:c r="E723" s="2">
        <x:v>19</x:v>
      </x:c>
      <x:c r="F723" s="2">
        <x:v>120</x:v>
      </x:c>
      <x:c r="G723" s="3">
        <x:v>8397.3829248029997</x:v>
      </x:c>
      <x:c r="H723" s="3">
        <x:v>1007685.95097636</x:v>
      </x:c>
    </x:row>
    <x:row r="724">
      <x:c r="A724" s="2" t="s">
        <x:v>50</x:v>
      </x:c>
      <x:c r="B724" s="2">
        <x:v>6521</x:v>
      </x:c>
      <x:c r="C724" s="2">
        <x:v>12566</x:v>
      </x:c>
      <x:c r="D724" s="2" t="s">
        <x:v>48</x:v>
      </x:c>
      <x:c r="E724" s="2">
        <x:v>19</x:v>
      </x:c>
      <x:c r="F724" s="2">
        <x:v>120</x:v>
      </x:c>
      <x:c r="G724" s="3">
        <x:v>8397.3829248029997</x:v>
      </x:c>
      <x:c r="H724" s="3">
        <x:v>1007685.95097636</x:v>
      </x:c>
    </x:row>
    <x:row r="725">
      <x:c r="A725" s="2" t="s">
        <x:v>50</x:v>
      </x:c>
      <x:c r="B725" s="2">
        <x:v>6524</x:v>
      </x:c>
      <x:c r="C725" s="2">
        <x:v>12567</x:v>
      </x:c>
      <x:c r="D725" s="2" t="s">
        <x:v>48</x:v>
      </x:c>
      <x:c r="E725" s="2">
        <x:v>19</x:v>
      </x:c>
      <x:c r="F725" s="2">
        <x:v>120</x:v>
      </x:c>
      <x:c r="G725" s="3">
        <x:v>8522.3829248029997</x:v>
      </x:c>
      <x:c r="H725" s="3">
        <x:v>1022685.95097636</x:v>
      </x:c>
    </x:row>
    <x:row r="726">
      <x:c r="A726" s="2" t="s">
        <x:v>50</x:v>
      </x:c>
      <x:c r="B726" s="2">
        <x:v>6525</x:v>
      </x:c>
      <x:c r="C726" s="2">
        <x:v>12568</x:v>
      </x:c>
      <x:c r="D726" s="2" t="s">
        <x:v>48</x:v>
      </x:c>
      <x:c r="E726" s="2">
        <x:v>19</x:v>
      </x:c>
      <x:c r="F726" s="2">
        <x:v>120</x:v>
      </x:c>
      <x:c r="G726" s="3">
        <x:v>8522.3829248029997</x:v>
      </x:c>
      <x:c r="H726" s="3">
        <x:v>1022685.95097636</x:v>
      </x:c>
    </x:row>
    <x:row r="727">
      <x:c r="A727" s="2" t="s">
        <x:v>50</x:v>
      </x:c>
      <x:c r="B727" s="2">
        <x:v>6526</x:v>
      </x:c>
      <x:c r="C727" s="2">
        <x:v>12569</x:v>
      </x:c>
      <x:c r="D727" s="2" t="s">
        <x:v>48</x:v>
      </x:c>
      <x:c r="E727" s="2">
        <x:v>19</x:v>
      </x:c>
      <x:c r="F727" s="2">
        <x:v>120</x:v>
      </x:c>
      <x:c r="G727" s="3">
        <x:v>8397.3829248029997</x:v>
      </x:c>
      <x:c r="H727" s="3">
        <x:v>1007685.95097636</x:v>
      </x:c>
    </x:row>
    <x:row r="728">
      <x:c r="A728" s="2" t="s">
        <x:v>50</x:v>
      </x:c>
      <x:c r="B728" s="2">
        <x:v>6527</x:v>
      </x:c>
      <x:c r="C728" s="2">
        <x:v>12570</x:v>
      </x:c>
      <x:c r="D728" s="2" t="s">
        <x:v>48</x:v>
      </x:c>
      <x:c r="E728" s="2">
        <x:v>19</x:v>
      </x:c>
      <x:c r="F728" s="2">
        <x:v>120</x:v>
      </x:c>
      <x:c r="G728" s="3">
        <x:v>8522.3829248029997</x:v>
      </x:c>
      <x:c r="H728" s="3">
        <x:v>1022685.95097636</x:v>
      </x:c>
    </x:row>
    <x:row r="729">
      <x:c r="A729" s="2" t="s">
        <x:v>50</x:v>
      </x:c>
      <x:c r="B729" s="2">
        <x:v>6528</x:v>
      </x:c>
      <x:c r="C729" s="2">
        <x:v>12571</x:v>
      </x:c>
      <x:c r="D729" s="2" t="s">
        <x:v>48</x:v>
      </x:c>
      <x:c r="E729" s="2">
        <x:v>19</x:v>
      </x:c>
      <x:c r="F729" s="2">
        <x:v>120</x:v>
      </x:c>
      <x:c r="G729" s="3">
        <x:v>8397.3829248029997</x:v>
      </x:c>
      <x:c r="H729" s="3">
        <x:v>1007685.95097636</x:v>
      </x:c>
    </x:row>
    <x:row r="730">
      <x:c r="A730" s="2" t="s">
        <x:v>50</x:v>
      </x:c>
      <x:c r="B730" s="2">
        <x:v>6529</x:v>
      </x:c>
      <x:c r="C730" s="2">
        <x:v>12572</x:v>
      </x:c>
      <x:c r="D730" s="2" t="s">
        <x:v>48</x:v>
      </x:c>
      <x:c r="E730" s="2">
        <x:v>19</x:v>
      </x:c>
      <x:c r="F730" s="2">
        <x:v>120</x:v>
      </x:c>
      <x:c r="G730" s="3">
        <x:v>8522.3829248029997</x:v>
      </x:c>
      <x:c r="H730" s="3">
        <x:v>1022685.95097636</x:v>
      </x:c>
    </x:row>
    <x:row r="731">
      <x:c r="A731" s="2" t="s">
        <x:v>50</x:v>
      </x:c>
      <x:c r="B731" s="2">
        <x:v>6530</x:v>
      </x:c>
      <x:c r="C731" s="2">
        <x:v>12573</x:v>
      </x:c>
      <x:c r="D731" s="2" t="s">
        <x:v>48</x:v>
      </x:c>
      <x:c r="E731" s="2">
        <x:v>19</x:v>
      </x:c>
      <x:c r="F731" s="2">
        <x:v>120</x:v>
      </x:c>
      <x:c r="G731" s="3">
        <x:v>8522.3829248029997</x:v>
      </x:c>
      <x:c r="H731" s="3">
        <x:v>1022685.95097636</x:v>
      </x:c>
    </x:row>
    <x:row r="732">
      <x:c r="A732" s="2" t="s">
        <x:v>50</x:v>
      </x:c>
      <x:c r="B732" s="2">
        <x:v>6531</x:v>
      </x:c>
      <x:c r="C732" s="2">
        <x:v>12574</x:v>
      </x:c>
      <x:c r="D732" s="2" t="s">
        <x:v>48</x:v>
      </x:c>
      <x:c r="E732" s="2">
        <x:v>19</x:v>
      </x:c>
      <x:c r="F732" s="2">
        <x:v>120</x:v>
      </x:c>
      <x:c r="G732" s="3">
        <x:v>8522.3829248029997</x:v>
      </x:c>
      <x:c r="H732" s="3">
        <x:v>1022685.95097636</x:v>
      </x:c>
    </x:row>
    <x:row r="733">
      <x:c r="A733" s="2" t="s">
        <x:v>50</x:v>
      </x:c>
      <x:c r="B733" s="2">
        <x:v>6532</x:v>
      </x:c>
      <x:c r="C733" s="2">
        <x:v>12575</x:v>
      </x:c>
      <x:c r="D733" s="2" t="s">
        <x:v>48</x:v>
      </x:c>
      <x:c r="E733" s="2">
        <x:v>20</x:v>
      </x:c>
      <x:c r="F733" s="2">
        <x:v>120</x:v>
      </x:c>
      <x:c r="G733" s="3">
        <x:v>8397.3829248029997</x:v>
      </x:c>
      <x:c r="H733" s="3">
        <x:v>1007685.95097636</x:v>
      </x:c>
    </x:row>
    <x:row r="734">
      <x:c r="A734" s="2" t="s">
        <x:v>50</x:v>
      </x:c>
      <x:c r="B734" s="2">
        <x:v>6533</x:v>
      </x:c>
      <x:c r="C734" s="2">
        <x:v>12576</x:v>
      </x:c>
      <x:c r="D734" s="2" t="s">
        <x:v>48</x:v>
      </x:c>
      <x:c r="E734" s="2">
        <x:v>20</x:v>
      </x:c>
      <x:c r="F734" s="2">
        <x:v>120</x:v>
      </x:c>
      <x:c r="G734" s="3">
        <x:v>8397.3829248029997</x:v>
      </x:c>
      <x:c r="H734" s="3">
        <x:v>1007685.95097636</x:v>
      </x:c>
    </x:row>
    <x:row r="735">
      <x:c r="A735" s="2" t="s">
        <x:v>50</x:v>
      </x:c>
      <x:c r="B735" s="2">
        <x:v>6534</x:v>
      </x:c>
      <x:c r="C735" s="2">
        <x:v>12577</x:v>
      </x:c>
      <x:c r="D735" s="2" t="s">
        <x:v>48</x:v>
      </x:c>
      <x:c r="E735" s="2">
        <x:v>20</x:v>
      </x:c>
      <x:c r="F735" s="2">
        <x:v>120</x:v>
      </x:c>
      <x:c r="G735" s="3">
        <x:v>8397.3829248029997</x:v>
      </x:c>
      <x:c r="H735" s="3">
        <x:v>1007685.95097636</x:v>
      </x:c>
    </x:row>
    <x:row r="736">
      <x:c r="A736" s="2" t="s">
        <x:v>50</x:v>
      </x:c>
      <x:c r="B736" s="2">
        <x:v>6535</x:v>
      </x:c>
      <x:c r="C736" s="2">
        <x:v>12578</x:v>
      </x:c>
      <x:c r="D736" s="2" t="s">
        <x:v>48</x:v>
      </x:c>
      <x:c r="E736" s="2">
        <x:v>20</x:v>
      </x:c>
      <x:c r="F736" s="2">
        <x:v>120</x:v>
      </x:c>
      <x:c r="G736" s="3">
        <x:v>8397.3829248029997</x:v>
      </x:c>
      <x:c r="H736" s="3">
        <x:v>1007685.95097636</x:v>
      </x:c>
    </x:row>
    <x:row r="737">
      <x:c r="A737" s="2" t="s">
        <x:v>50</x:v>
      </x:c>
      <x:c r="B737" s="2">
        <x:v>6536</x:v>
      </x:c>
      <x:c r="C737" s="2">
        <x:v>12579</x:v>
      </x:c>
      <x:c r="D737" s="2" t="s">
        <x:v>48</x:v>
      </x:c>
      <x:c r="E737" s="2">
        <x:v>20</x:v>
      </x:c>
      <x:c r="F737" s="2">
        <x:v>120</x:v>
      </x:c>
      <x:c r="G737" s="3">
        <x:v>8522.3829248029997</x:v>
      </x:c>
      <x:c r="H737" s="3">
        <x:v>1022685.95097636</x:v>
      </x:c>
    </x:row>
    <x:row r="738">
      <x:c r="A738" s="2" t="s">
        <x:v>50</x:v>
      </x:c>
      <x:c r="B738" s="2">
        <x:v>6537</x:v>
      </x:c>
      <x:c r="C738" s="2">
        <x:v>12580</x:v>
      </x:c>
      <x:c r="D738" s="2" t="s">
        <x:v>48</x:v>
      </x:c>
      <x:c r="E738" s="2">
        <x:v>20</x:v>
      </x:c>
      <x:c r="F738" s="2">
        <x:v>120</x:v>
      </x:c>
      <x:c r="G738" s="3">
        <x:v>8397.3829248029997</x:v>
      </x:c>
      <x:c r="H738" s="3">
        <x:v>1007685.95097636</x:v>
      </x:c>
    </x:row>
    <x:row r="739">
      <x:c r="A739" s="2" t="s">
        <x:v>50</x:v>
      </x:c>
      <x:c r="B739" s="2">
        <x:v>6538</x:v>
      </x:c>
      <x:c r="C739" s="2">
        <x:v>12581</x:v>
      </x:c>
      <x:c r="D739" s="2" t="s">
        <x:v>48</x:v>
      </x:c>
      <x:c r="E739" s="2">
        <x:v>20</x:v>
      </x:c>
      <x:c r="F739" s="2">
        <x:v>120</x:v>
      </x:c>
      <x:c r="G739" s="3">
        <x:v>8397.3829248029997</x:v>
      </x:c>
      <x:c r="H739" s="3">
        <x:v>1007685.95097636</x:v>
      </x:c>
    </x:row>
    <x:row r="740">
      <x:c r="A740" s="2" t="s">
        <x:v>50</x:v>
      </x:c>
      <x:c r="B740" s="2">
        <x:v>6539</x:v>
      </x:c>
      <x:c r="C740" s="2">
        <x:v>12582</x:v>
      </x:c>
      <x:c r="D740" s="2" t="s">
        <x:v>48</x:v>
      </x:c>
      <x:c r="E740" s="2">
        <x:v>20</x:v>
      </x:c>
      <x:c r="F740" s="2">
        <x:v>120</x:v>
      </x:c>
      <x:c r="G740" s="3">
        <x:v>8397.3829248029997</x:v>
      </x:c>
      <x:c r="H740" s="3">
        <x:v>1007685.95097636</x:v>
      </x:c>
    </x:row>
    <x:row r="741">
      <x:c r="A741" s="2" t="s">
        <x:v>50</x:v>
      </x:c>
      <x:c r="B741" s="2">
        <x:v>6540</x:v>
      </x:c>
      <x:c r="C741" s="2">
        <x:v>12583</x:v>
      </x:c>
      <x:c r="D741" s="2" t="s">
        <x:v>48</x:v>
      </x:c>
      <x:c r="E741" s="2">
        <x:v>20</x:v>
      </x:c>
      <x:c r="F741" s="2">
        <x:v>120</x:v>
      </x:c>
      <x:c r="G741" s="3">
        <x:v>8522.3829248029997</x:v>
      </x:c>
      <x:c r="H741" s="3">
        <x:v>1022685.95097636</x:v>
      </x:c>
    </x:row>
    <x:row r="742">
      <x:c r="A742" s="2" t="s">
        <x:v>50</x:v>
      </x:c>
      <x:c r="B742" s="2">
        <x:v>6541</x:v>
      </x:c>
      <x:c r="C742" s="2">
        <x:v>12584</x:v>
      </x:c>
      <x:c r="D742" s="2" t="s">
        <x:v>48</x:v>
      </x:c>
      <x:c r="E742" s="2">
        <x:v>20</x:v>
      </x:c>
      <x:c r="F742" s="2">
        <x:v>120</x:v>
      </x:c>
      <x:c r="G742" s="3">
        <x:v>8522.3829248029997</x:v>
      </x:c>
      <x:c r="H742" s="3">
        <x:v>1022685.95097636</x:v>
      </x:c>
    </x:row>
    <x:row r="743">
      <x:c r="A743" s="2" t="s">
        <x:v>50</x:v>
      </x:c>
      <x:c r="B743" s="2">
        <x:v>6542</x:v>
      </x:c>
      <x:c r="C743" s="2">
        <x:v>12585</x:v>
      </x:c>
      <x:c r="D743" s="2" t="s">
        <x:v>48</x:v>
      </x:c>
      <x:c r="E743" s="2">
        <x:v>20</x:v>
      </x:c>
      <x:c r="F743" s="2">
        <x:v>120</x:v>
      </x:c>
      <x:c r="G743" s="3">
        <x:v>8522.3829248029997</x:v>
      </x:c>
      <x:c r="H743" s="3">
        <x:v>1022685.95097636</x:v>
      </x:c>
    </x:row>
    <x:row r="744">
      <x:c r="A744" s="2" t="s">
        <x:v>50</x:v>
      </x:c>
      <x:c r="B744" s="2">
        <x:v>6543</x:v>
      </x:c>
      <x:c r="C744" s="2">
        <x:v>12586</x:v>
      </x:c>
      <x:c r="D744" s="2" t="s">
        <x:v>48</x:v>
      </x:c>
      <x:c r="E744" s="2">
        <x:v>21</x:v>
      </x:c>
      <x:c r="F744" s="2">
        <x:v>120</x:v>
      </x:c>
      <x:c r="G744" s="3">
        <x:v>8522.3829248029997</x:v>
      </x:c>
      <x:c r="H744" s="3">
        <x:v>1022685.95097636</x:v>
      </x:c>
    </x:row>
    <x:row r="745">
      <x:c r="A745" s="2" t="s">
        <x:v>50</x:v>
      </x:c>
      <x:c r="B745" s="2">
        <x:v>6544</x:v>
      </x:c>
      <x:c r="C745" s="2">
        <x:v>12587</x:v>
      </x:c>
      <x:c r="D745" s="2" t="s">
        <x:v>48</x:v>
      </x:c>
      <x:c r="E745" s="2">
        <x:v>21</x:v>
      </x:c>
      <x:c r="F745" s="2">
        <x:v>120</x:v>
      </x:c>
      <x:c r="G745" s="3">
        <x:v>8522.3829248029997</x:v>
      </x:c>
      <x:c r="H745" s="3">
        <x:v>1022685.95097636</x:v>
      </x:c>
    </x:row>
    <x:row r="746">
      <x:c r="A746" s="2" t="s">
        <x:v>50</x:v>
      </x:c>
      <x:c r="B746" s="2">
        <x:v>6545</x:v>
      </x:c>
      <x:c r="C746" s="2">
        <x:v>12588</x:v>
      </x:c>
      <x:c r="D746" s="2" t="s">
        <x:v>48</x:v>
      </x:c>
      <x:c r="E746" s="2">
        <x:v>18</x:v>
      </x:c>
      <x:c r="F746" s="2">
        <x:v>120</x:v>
      </x:c>
      <x:c r="G746" s="3">
        <x:v>8397.3829248029997</x:v>
      </x:c>
      <x:c r="H746" s="3">
        <x:v>1007685.95097636</x:v>
      </x:c>
    </x:row>
    <x:row r="747">
      <x:c r="A747" s="2" t="s">
        <x:v>50</x:v>
      </x:c>
      <x:c r="B747" s="2">
        <x:v>6546</x:v>
      </x:c>
      <x:c r="C747" s="2">
        <x:v>12589</x:v>
      </x:c>
      <x:c r="D747" s="2" t="s">
        <x:v>48</x:v>
      </x:c>
      <x:c r="E747" s="2">
        <x:v>14</x:v>
      </x:c>
      <x:c r="F747" s="2">
        <x:v>90</x:v>
      </x:c>
      <x:c r="G747" s="3">
        <x:v>8397.3829248029997</x:v>
      </x:c>
      <x:c r="H747" s="3">
        <x:v>755764.46323226998</x:v>
      </x:c>
    </x:row>
    <x:row r="748">
      <x:c r="A748" s="2" t="s">
        <x:v>50</x:v>
      </x:c>
      <x:c r="B748" s="2">
        <x:v>10317</x:v>
      </x:c>
      <x:c r="C748" s="2">
        <x:v>12590</x:v>
      </x:c>
      <x:c r="D748" s="2" t="s">
        <x:v>49</x:v>
      </x:c>
      <x:c r="E748" s="2">
        <x:v>98</x:v>
      </x:c>
      <x:c r="F748" s="2">
        <x:v>600</x:v>
      </x:c>
      <x:c r="G748" s="3">
        <x:v>6941.0353520252002</x:v>
      </x:c>
      <x:c r="H748" s="3">
        <x:v>4164621.2112151203</x:v>
      </x:c>
    </x:row>
    <x:row r="749">
      <x:c r="A749" s="2" t="s">
        <x:v>50</x:v>
      </x:c>
      <x:c r="B749" s="2">
        <x:v>10318</x:v>
      </x:c>
      <x:c r="C749" s="2">
        <x:v>12591</x:v>
      </x:c>
      <x:c r="D749" s="2" t="s">
        <x:v>49</x:v>
      </x:c>
      <x:c r="E749" s="2">
        <x:v>102</x:v>
      </x:c>
      <x:c r="F749" s="2">
        <x:v>600</x:v>
      </x:c>
      <x:c r="G749" s="3">
        <x:v>6816.0353520252002</x:v>
      </x:c>
      <x:c r="H749" s="3">
        <x:v>4089621.2112151203</x:v>
      </x:c>
    </x:row>
    <x:row r="750">
      <x:c r="A750" s="2" t="s">
        <x:v>50</x:v>
      </x:c>
      <x:c r="B750" s="2">
        <x:v>10319</x:v>
      </x:c>
      <x:c r="C750" s="2">
        <x:v>12592</x:v>
      </x:c>
      <x:c r="D750" s="2" t="s">
        <x:v>49</x:v>
      </x:c>
      <x:c r="E750" s="2">
        <x:v>92</x:v>
      </x:c>
      <x:c r="F750" s="2">
        <x:v>600</x:v>
      </x:c>
      <x:c r="G750" s="3">
        <x:v>6816.0353520252002</x:v>
      </x:c>
      <x:c r="H750" s="3">
        <x:v>4089621.2112151203</x:v>
      </x:c>
    </x:row>
    <x:row r="751">
      <x:c r="A751" s="2" t="s">
        <x:v>50</x:v>
      </x:c>
      <x:c r="B751" s="2">
        <x:v>10320</x:v>
      </x:c>
      <x:c r="C751" s="2">
        <x:v>12593</x:v>
      </x:c>
      <x:c r="D751" s="2" t="s">
        <x:v>49</x:v>
      </x:c>
      <x:c r="E751" s="2">
        <x:v>117</x:v>
      </x:c>
      <x:c r="F751" s="2">
        <x:v>600</x:v>
      </x:c>
      <x:c r="G751" s="3">
        <x:v>6782.7020186918999</x:v>
      </x:c>
      <x:c r="H751" s="3">
        <x:v>4069621.2112151398</x:v>
      </x:c>
    </x:row>
    <x:row r="752">
      <x:c r="A752" s="2" t="s">
        <x:v>50</x:v>
      </x:c>
      <x:c r="B752" s="2">
        <x:v>10321</x:v>
      </x:c>
      <x:c r="C752" s="2">
        <x:v>12594</x:v>
      </x:c>
      <x:c r="D752" s="2" t="s">
        <x:v>49</x:v>
      </x:c>
      <x:c r="E752" s="2">
        <x:v>102</x:v>
      </x:c>
      <x:c r="F752" s="2">
        <x:v>600</x:v>
      </x:c>
      <x:c r="G752" s="3">
        <x:v>6791.0353520252002</x:v>
      </x:c>
      <x:c r="H752" s="3">
        <x:v>4074621.2112151203</x:v>
      </x:c>
    </x:row>
    <x:row r="753">
      <x:c r="A753" s="2" t="s">
        <x:v>50</x:v>
      </x:c>
      <x:c r="B753" s="2">
        <x:v>10322</x:v>
      </x:c>
      <x:c r="C753" s="2">
        <x:v>12595</x:v>
      </x:c>
      <x:c r="D753" s="2" t="s">
        <x:v>49</x:v>
      </x:c>
      <x:c r="E753" s="2">
        <x:v>110</x:v>
      </x:c>
      <x:c r="F753" s="2">
        <x:v>600</x:v>
      </x:c>
      <x:c r="G753" s="3">
        <x:v>6799.3686853585004</x:v>
      </x:c>
      <x:c r="H753" s="3">
        <x:v>4079621.2112151003</x:v>
      </x:c>
    </x:row>
    <x:row r="754">
      <x:c r="A754" s="2" t="s">
        <x:v>50</x:v>
      </x:c>
      <x:c r="B754" s="2">
        <x:v>10323</x:v>
      </x:c>
      <x:c r="C754" s="2">
        <x:v>12596</x:v>
      </x:c>
      <x:c r="D754" s="2" t="s">
        <x:v>49</x:v>
      </x:c>
      <x:c r="E754" s="2">
        <x:v>107</x:v>
      </x:c>
      <x:c r="F754" s="2">
        <x:v>600</x:v>
      </x:c>
      <x:c r="G754" s="3">
        <x:v>6791.0353520252002</x:v>
      </x:c>
      <x:c r="H754" s="3">
        <x:v>4074621.2112151203</x:v>
      </x:c>
    </x:row>
    <x:row r="755">
      <x:c r="A755" s="2" t="s">
        <x:v>50</x:v>
      </x:c>
      <x:c r="B755" s="2">
        <x:v>10324</x:v>
      </x:c>
      <x:c r="C755" s="2">
        <x:v>12597</x:v>
      </x:c>
      <x:c r="D755" s="2" t="s">
        <x:v>49</x:v>
      </x:c>
      <x:c r="E755" s="2">
        <x:v>107</x:v>
      </x:c>
      <x:c r="F755" s="2">
        <x:v>600</x:v>
      </x:c>
      <x:c r="G755" s="3">
        <x:v>6807.7020186918999</x:v>
      </x:c>
      <x:c r="H755" s="3">
        <x:v>4084621.2112151398</x:v>
      </x:c>
    </x:row>
    <x:row r="756">
      <x:c r="A756" s="2" t="s">
        <x:v>50</x:v>
      </x:c>
      <x:c r="B756" s="2">
        <x:v>10325</x:v>
      </x:c>
      <x:c r="C756" s="2">
        <x:v>12598</x:v>
      </x:c>
      <x:c r="D756" s="2" t="s">
        <x:v>49</x:v>
      </x:c>
      <x:c r="E756" s="2">
        <x:v>117</x:v>
      </x:c>
      <x:c r="F756" s="2">
        <x:v>600</x:v>
      </x:c>
      <x:c r="G756" s="3">
        <x:v>6816.0353520252002</x:v>
      </x:c>
      <x:c r="H756" s="3">
        <x:v>4089621.2112151203</x:v>
      </x:c>
    </x:row>
    <x:row r="757">
      <x:c r="A757" s="2" t="s">
        <x:v>50</x:v>
      </x:c>
      <x:c r="B757" s="2">
        <x:v>10326</x:v>
      </x:c>
      <x:c r="C757" s="2">
        <x:v>12599</x:v>
      </x:c>
      <x:c r="D757" s="2" t="s">
        <x:v>49</x:v>
      </x:c>
      <x:c r="E757" s="2">
        <x:v>88</x:v>
      </x:c>
      <x:c r="F757" s="2">
        <x:v>600</x:v>
      </x:c>
      <x:c r="G757" s="3">
        <x:v>6932.7020186918999</x:v>
      </x:c>
      <x:c r="H757" s="3">
        <x:v>4159621.2112151398</x:v>
      </x:c>
    </x:row>
    <x:row r="758">
      <x:c r="A758" s="2" t="s">
        <x:v>50</x:v>
      </x:c>
      <x:c r="B758" s="2">
        <x:v>10327</x:v>
      </x:c>
      <x:c r="C758" s="2">
        <x:v>12600</x:v>
      </x:c>
      <x:c r="D758" s="2" t="s">
        <x:v>49</x:v>
      </x:c>
      <x:c r="E758" s="2">
        <x:v>120</x:v>
      </x:c>
      <x:c r="F758" s="2">
        <x:v>600</x:v>
      </x:c>
      <x:c r="G758" s="3">
        <x:v>6941.0353520252002</x:v>
      </x:c>
      <x:c r="H758" s="3">
        <x:v>4164621.2112151203</x:v>
      </x:c>
    </x:row>
    <x:row r="759">
      <x:c r="A759" s="2" t="s">
        <x:v>50</x:v>
      </x:c>
      <x:c r="B759" s="2">
        <x:v>10328</x:v>
      </x:c>
      <x:c r="C759" s="2">
        <x:v>12601</x:v>
      </x:c>
      <x:c r="D759" s="2" t="s">
        <x:v>49</x:v>
      </x:c>
      <x:c r="E759" s="2">
        <x:v>107</x:v>
      </x:c>
      <x:c r="F759" s="2">
        <x:v>600</x:v>
      </x:c>
      <x:c r="G759" s="3">
        <x:v>6941.0353520252002</x:v>
      </x:c>
      <x:c r="H759" s="3">
        <x:v>4164621.2112151203</x:v>
      </x:c>
    </x:row>
    <x:row r="760">
      <x:c r="A760" s="2" t="s">
        <x:v>50</x:v>
      </x:c>
      <x:c r="B760" s="2">
        <x:v>10329</x:v>
      </x:c>
      <x:c r="C760" s="2">
        <x:v>12602</x:v>
      </x:c>
      <x:c r="D760" s="2" t="s">
        <x:v>49</x:v>
      </x:c>
      <x:c r="E760" s="2">
        <x:v>106</x:v>
      </x:c>
      <x:c r="F760" s="2">
        <x:v>600</x:v>
      </x:c>
      <x:c r="G760" s="3">
        <x:v>6941.0353520252002</x:v>
      </x:c>
      <x:c r="H760" s="3">
        <x:v>4164621.2112151203</x:v>
      </x:c>
    </x:row>
    <x:row r="761">
      <x:c r="A761" s="2" t="s">
        <x:v>50</x:v>
      </x:c>
      <x:c r="B761" s="2">
        <x:v>10330</x:v>
      </x:c>
      <x:c r="C761" s="2">
        <x:v>12603</x:v>
      </x:c>
      <x:c r="D761" s="2" t="s">
        <x:v>49</x:v>
      </x:c>
      <x:c r="E761" s="2">
        <x:v>116</x:v>
      </x:c>
      <x:c r="F761" s="2">
        <x:v>600</x:v>
      </x:c>
      <x:c r="G761" s="3">
        <x:v>6816.0353520252002</x:v>
      </x:c>
      <x:c r="H761" s="3">
        <x:v>4089621.2112151203</x:v>
      </x:c>
    </x:row>
    <x:row r="762">
      <x:c r="A762" s="2" t="s">
        <x:v>50</x:v>
      </x:c>
      <x:c r="B762" s="2">
        <x:v>10331</x:v>
      </x:c>
      <x:c r="C762" s="2">
        <x:v>12604</x:v>
      </x:c>
      <x:c r="D762" s="2" t="s">
        <x:v>2</x:v>
      </x:c>
      <x:c r="E762" s="2">
        <x:v>90</x:v>
      </x:c>
      <x:c r="F762" s="2">
        <x:v>600</x:v>
      </x:c>
      <x:c r="G762" s="3">
        <x:v>6816.0353520252002</x:v>
      </x:c>
      <x:c r="H762" s="3">
        <x:v>4089621.2112151203</x:v>
      </x:c>
    </x:row>
    <x:row r="763">
      <x:c r="A763" s="2" t="s">
        <x:v>50</x:v>
      </x:c>
      <x:c r="B763" s="2">
        <x:v>10332</x:v>
      </x:c>
      <x:c r="C763" s="2">
        <x:v>12605</x:v>
      </x:c>
      <x:c r="D763" s="2" t="s">
        <x:v>2</x:v>
      </x:c>
      <x:c r="E763" s="2">
        <x:v>97</x:v>
      </x:c>
      <x:c r="F763" s="2">
        <x:v>600</x:v>
      </x:c>
      <x:c r="G763" s="3">
        <x:v>6816.0353520252002</x:v>
      </x:c>
      <x:c r="H763" s="3">
        <x:v>4089621.2112151203</x:v>
      </x:c>
    </x:row>
    <x:row r="764">
      <x:c r="A764" s="2" t="s">
        <x:v>50</x:v>
      </x:c>
      <x:c r="B764" s="2">
        <x:v>10333</x:v>
      </x:c>
      <x:c r="C764" s="2">
        <x:v>12606</x:v>
      </x:c>
      <x:c r="D764" s="2" t="s">
        <x:v>2</x:v>
      </x:c>
      <x:c r="E764" s="2">
        <x:v>98</x:v>
      </x:c>
      <x:c r="F764" s="2">
        <x:v>600</x:v>
      </x:c>
      <x:c r="G764" s="3">
        <x:v>6816.0353520252002</x:v>
      </x:c>
      <x:c r="H764" s="3">
        <x:v>4089621.2112151203</x:v>
      </x:c>
    </x:row>
    <x:row r="765">
      <x:c r="A765" s="2" t="s">
        <x:v>50</x:v>
      </x:c>
      <x:c r="B765" s="2">
        <x:v>10334</x:v>
      </x:c>
      <x:c r="C765" s="2">
        <x:v>12607</x:v>
      </x:c>
      <x:c r="D765" s="2" t="s">
        <x:v>2</x:v>
      </x:c>
      <x:c r="E765" s="2">
        <x:v>89</x:v>
      </x:c>
      <x:c r="F765" s="2">
        <x:v>600</x:v>
      </x:c>
      <x:c r="G765" s="3">
        <x:v>6941.0353520252002</x:v>
      </x:c>
      <x:c r="H765" s="3">
        <x:v>4164621.2112151203</x:v>
      </x:c>
    </x:row>
    <x:row r="766">
      <x:c r="A766" s="2" t="s">
        <x:v>50</x:v>
      </x:c>
      <x:c r="B766" s="2">
        <x:v>10335</x:v>
      </x:c>
      <x:c r="C766" s="2">
        <x:v>12608</x:v>
      </x:c>
      <x:c r="D766" s="2" t="s">
        <x:v>2</x:v>
      </x:c>
      <x:c r="E766" s="2">
        <x:v>103</x:v>
      </x:c>
      <x:c r="F766" s="2">
        <x:v>600</x:v>
      </x:c>
      <x:c r="G766" s="3">
        <x:v>6807.7020186918999</x:v>
      </x:c>
      <x:c r="H766" s="3">
        <x:v>4084621.2112151398</x:v>
      </x:c>
    </x:row>
    <x:row r="767">
      <x:c r="A767" s="2" t="s">
        <x:v>50</x:v>
      </x:c>
      <x:c r="B767" s="2">
        <x:v>10336</x:v>
      </x:c>
      <x:c r="C767" s="2">
        <x:v>12609</x:v>
      </x:c>
      <x:c r="D767" s="2" t="s">
        <x:v>2</x:v>
      </x:c>
      <x:c r="E767" s="2">
        <x:v>81</x:v>
      </x:c>
      <x:c r="F767" s="2">
        <x:v>600</x:v>
      </x:c>
      <x:c r="G767" s="3">
        <x:v>6941.0353520252002</x:v>
      </x:c>
      <x:c r="H767" s="3">
        <x:v>4164621.2112151203</x:v>
      </x:c>
    </x:row>
    <x:row r="768">
      <x:c r="A768" s="2" t="s">
        <x:v>50</x:v>
      </x:c>
      <x:c r="B768" s="2">
        <x:v>10337</x:v>
      </x:c>
      <x:c r="C768" s="2">
        <x:v>12610</x:v>
      </x:c>
      <x:c r="D768" s="2" t="s">
        <x:v>2</x:v>
      </x:c>
      <x:c r="E768" s="2">
        <x:v>100</x:v>
      </x:c>
      <x:c r="F768" s="2">
        <x:v>600</x:v>
      </x:c>
      <x:c r="G768" s="3">
        <x:v>6932.7020186918999</x:v>
      </x:c>
      <x:c r="H768" s="3">
        <x:v>4159621.2112151398</x:v>
      </x:c>
    </x:row>
    <x:row r="769">
      <x:c r="A769" s="2" t="s">
        <x:v>50</x:v>
      </x:c>
      <x:c r="B769" s="2">
        <x:v>10338</x:v>
      </x:c>
      <x:c r="C769" s="2">
        <x:v>12611</x:v>
      </x:c>
      <x:c r="D769" s="2" t="s">
        <x:v>2</x:v>
      </x:c>
      <x:c r="E769" s="2">
        <x:v>100</x:v>
      </x:c>
      <x:c r="F769" s="2">
        <x:v>600</x:v>
      </x:c>
      <x:c r="G769" s="3">
        <x:v>6807.7020186918999</x:v>
      </x:c>
      <x:c r="H769" s="3">
        <x:v>4084621.2112151398</x:v>
      </x:c>
    </x:row>
    <x:row r="770">
      <x:c r="A770" s="2" t="s">
        <x:v>50</x:v>
      </x:c>
      <x:c r="B770" s="2">
        <x:v>10339</x:v>
      </x:c>
      <x:c r="C770" s="2">
        <x:v>12612</x:v>
      </x:c>
      <x:c r="D770" s="2" t="s">
        <x:v>2</x:v>
      </x:c>
      <x:c r="E770" s="2">
        <x:v>96</x:v>
      </x:c>
      <x:c r="F770" s="2">
        <x:v>600</x:v>
      </x:c>
      <x:c r="G770" s="3">
        <x:v>6807.7020186918999</x:v>
      </x:c>
      <x:c r="H770" s="3">
        <x:v>4084621.2112151398</x:v>
      </x:c>
    </x:row>
    <x:row r="771">
      <x:c r="A771" s="2" t="s">
        <x:v>50</x:v>
      </x:c>
      <x:c r="B771" s="2">
        <x:v>10340</x:v>
      </x:c>
      <x:c r="C771" s="2">
        <x:v>12613</x:v>
      </x:c>
      <x:c r="D771" s="2" t="s">
        <x:v>2</x:v>
      </x:c>
      <x:c r="E771" s="2">
        <x:v>87</x:v>
      </x:c>
      <x:c r="F771" s="2">
        <x:v>600</x:v>
      </x:c>
      <x:c r="G771" s="3">
        <x:v>6799.3686853585004</x:v>
      </x:c>
      <x:c r="H771" s="3">
        <x:v>4079621.2112151003</x:v>
      </x:c>
    </x:row>
    <x:row r="772">
      <x:c r="A772" s="2" t="s">
        <x:v>50</x:v>
      </x:c>
      <x:c r="B772" s="2">
        <x:v>10341</x:v>
      </x:c>
      <x:c r="C772" s="2">
        <x:v>12614</x:v>
      </x:c>
      <x:c r="D772" s="2" t="s">
        <x:v>27</x:v>
      </x:c>
      <x:c r="E772" s="2">
        <x:v>69</x:v>
      </x:c>
      <x:c r="F772" s="2">
        <x:v>600</x:v>
      </x:c>
      <x:c r="G772" s="3">
        <x:v>6782.7020186918999</x:v>
      </x:c>
      <x:c r="H772" s="3">
        <x:v>4069621.2112151398</x:v>
      </x:c>
    </x:row>
    <x:row r="773">
      <x:c r="A773" s="2" t="s">
        <x:v>50</x:v>
      </x:c>
      <x:c r="B773" s="2">
        <x:v>10342</x:v>
      </x:c>
      <x:c r="C773" s="2">
        <x:v>12615</x:v>
      </x:c>
      <x:c r="D773" s="2" t="s">
        <x:v>27</x:v>
      </x:c>
      <x:c r="E773" s="2">
        <x:v>84</x:v>
      </x:c>
      <x:c r="F773" s="2">
        <x:v>600</x:v>
      </x:c>
      <x:c r="G773" s="3">
        <x:v>6941.0353520252002</x:v>
      </x:c>
      <x:c r="H773" s="3">
        <x:v>4164621.2112151203</x:v>
      </x:c>
    </x:row>
    <x:row r="774">
      <x:c r="A774" s="2" t="s">
        <x:v>50</x:v>
      </x:c>
      <x:c r="B774" s="2">
        <x:v>10343</x:v>
      </x:c>
      <x:c r="C774" s="2">
        <x:v>12616</x:v>
      </x:c>
      <x:c r="D774" s="2" t="s">
        <x:v>27</x:v>
      </x:c>
      <x:c r="E774" s="2">
        <x:v>84</x:v>
      </x:c>
      <x:c r="F774" s="2">
        <x:v>600</x:v>
      </x:c>
      <x:c r="G774" s="3">
        <x:v>6932.7020186918999</x:v>
      </x:c>
      <x:c r="H774" s="3">
        <x:v>4159621.2112151398</x:v>
      </x:c>
    </x:row>
    <x:row r="775">
      <x:c r="A775" s="2" t="s">
        <x:v>50</x:v>
      </x:c>
      <x:c r="B775" s="2">
        <x:v>10344</x:v>
      </x:c>
      <x:c r="C775" s="2">
        <x:v>12617</x:v>
      </x:c>
      <x:c r="D775" s="2" t="s">
        <x:v>27</x:v>
      </x:c>
      <x:c r="E775" s="2">
        <x:v>80</x:v>
      </x:c>
      <x:c r="F775" s="2">
        <x:v>600</x:v>
      </x:c>
      <x:c r="G775" s="3">
        <x:v>6941.0353520252002</x:v>
      </x:c>
      <x:c r="H775" s="3">
        <x:v>4164621.2112151203</x:v>
      </x:c>
    </x:row>
    <x:row r="776">
      <x:c r="A776" s="2" t="s">
        <x:v>50</x:v>
      </x:c>
      <x:c r="B776" s="2">
        <x:v>10345</x:v>
      </x:c>
      <x:c r="C776" s="2">
        <x:v>12618</x:v>
      </x:c>
      <x:c r="D776" s="2" t="s">
        <x:v>27</x:v>
      </x:c>
      <x:c r="E776" s="2">
        <x:v>86</x:v>
      </x:c>
      <x:c r="F776" s="2">
        <x:v>600</x:v>
      </x:c>
      <x:c r="G776" s="3">
        <x:v>6807.7020186918999</x:v>
      </x:c>
      <x:c r="H776" s="3">
        <x:v>4084621.2112151398</x:v>
      </x:c>
    </x:row>
    <x:row r="777">
      <x:c r="A777" s="2" t="s">
        <x:v>52</x:v>
      </x:c>
      <x:c r="B777" s="2">
        <x:v>2229</x:v>
      </x:c>
      <x:c r="C777" s="2">
        <x:v>12619</x:v>
      </x:c>
      <x:c r="D777" s="2" t="s">
        <x:v>53</x:v>
      </x:c>
      <x:c r="E777" s="2">
        <x:v>0</x:v>
      </x:c>
      <x:c r="F777" s="2">
        <x:v>363</x:v>
      </x:c>
      <x:c r="G777" s="3">
        <x:v>8000</x:v>
      </x:c>
      <x:c r="H777" s="3">
        <x:v>2904000</x:v>
      </x:c>
    </x:row>
    <x:row r="778">
      <x:c r="A778" s="2" t="s">
        <x:v>52</x:v>
      </x:c>
      <x:c r="B778" s="2">
        <x:v>10375</x:v>
      </x:c>
      <x:c r="C778" s="2">
        <x:v>12620</x:v>
      </x:c>
      <x:c r="D778" s="2" t="s">
        <x:v>54</x:v>
      </x:c>
      <x:c r="E778" s="2">
        <x:v>105</x:v>
      </x:c>
      <x:c r="F778" s="2">
        <x:v>600</x:v>
      </x:c>
      <x:c r="G778" s="3">
        <x:v>5691.0353520252002</x:v>
      </x:c>
      <x:c r="H778" s="3">
        <x:v>3414621.2112151203</x:v>
      </x:c>
    </x:row>
    <x:row r="779">
      <x:c r="A779" s="2" t="s">
        <x:v>52</x:v>
      </x:c>
      <x:c r="B779" s="2">
        <x:v>10376</x:v>
      </x:c>
      <x:c r="C779" s="2">
        <x:v>12621</x:v>
      </x:c>
      <x:c r="D779" s="2" t="s">
        <x:v>54</x:v>
      </x:c>
      <x:c r="E779" s="2">
        <x:v>94</x:v>
      </x:c>
      <x:c r="F779" s="2">
        <x:v>600</x:v>
      </x:c>
      <x:c r="G779" s="3">
        <x:v>5691.0353520252002</x:v>
      </x:c>
      <x:c r="H779" s="3">
        <x:v>3414621.2112151203</x:v>
      </x:c>
    </x:row>
    <x:row r="780">
      <x:c r="A780" s="2" t="s">
        <x:v>52</x:v>
      </x:c>
      <x:c r="B780" s="2">
        <x:v>10377</x:v>
      </x:c>
      <x:c r="C780" s="2">
        <x:v>12622</x:v>
      </x:c>
      <x:c r="D780" s="2" t="s">
        <x:v>54</x:v>
      </x:c>
      <x:c r="E780" s="2">
        <x:v>91</x:v>
      </x:c>
      <x:c r="F780" s="2">
        <x:v>600</x:v>
      </x:c>
      <x:c r="G780" s="3">
        <x:v>5691.0353520252002</x:v>
      </x:c>
      <x:c r="H780" s="3">
        <x:v>3414621.2112151203</x:v>
      </x:c>
    </x:row>
    <x:row r="781">
      <x:c r="A781" s="2" t="s">
        <x:v>52</x:v>
      </x:c>
      <x:c r="B781" s="2">
        <x:v>10378</x:v>
      </x:c>
      <x:c r="C781" s="2">
        <x:v>12623</x:v>
      </x:c>
      <x:c r="D781" s="2" t="s">
        <x:v>54</x:v>
      </x:c>
      <x:c r="E781" s="2">
        <x:v>99</x:v>
      </x:c>
      <x:c r="F781" s="2">
        <x:v>600</x:v>
      </x:c>
      <x:c r="G781" s="3">
        <x:v>5691.0353520252002</x:v>
      </x:c>
      <x:c r="H781" s="3">
        <x:v>3414621.2112151203</x:v>
      </x:c>
    </x:row>
    <x:row r="782">
      <x:c r="A782" s="2" t="s">
        <x:v>52</x:v>
      </x:c>
      <x:c r="B782" s="2">
        <x:v>10379</x:v>
      </x:c>
      <x:c r="C782" s="2">
        <x:v>12624</x:v>
      </x:c>
      <x:c r="D782" s="2" t="s">
        <x:v>54</x:v>
      </x:c>
      <x:c r="E782" s="2">
        <x:v>100</x:v>
      </x:c>
      <x:c r="F782" s="2">
        <x:v>600</x:v>
      </x:c>
      <x:c r="G782" s="3">
        <x:v>5691.0353520252002</x:v>
      </x:c>
      <x:c r="H782" s="3">
        <x:v>3414621.2112151203</x:v>
      </x:c>
    </x:row>
    <x:row r="783">
      <x:c r="A783" s="2" t="s">
        <x:v>52</x:v>
      </x:c>
      <x:c r="B783" s="2">
        <x:v>10380</x:v>
      </x:c>
      <x:c r="C783" s="2">
        <x:v>12625</x:v>
      </x:c>
      <x:c r="D783" s="2" t="s">
        <x:v>54</x:v>
      </x:c>
      <x:c r="E783" s="2">
        <x:v>109</x:v>
      </x:c>
      <x:c r="F783" s="2">
        <x:v>600</x:v>
      </x:c>
      <x:c r="G783" s="3">
        <x:v>5691.0353520252002</x:v>
      </x:c>
      <x:c r="H783" s="3">
        <x:v>3414621.2112151203</x:v>
      </x:c>
    </x:row>
    <x:row r="784">
      <x:c r="A784" s="2" t="s">
        <x:v>52</x:v>
      </x:c>
      <x:c r="B784" s="2">
        <x:v>10381</x:v>
      </x:c>
      <x:c r="C784" s="2">
        <x:v>12626</x:v>
      </x:c>
      <x:c r="D784" s="2" t="s">
        <x:v>54</x:v>
      </x:c>
      <x:c r="E784" s="2">
        <x:v>79</x:v>
      </x:c>
      <x:c r="F784" s="2">
        <x:v>600</x:v>
      </x:c>
      <x:c r="G784" s="3">
        <x:v>5691.0353520252002</x:v>
      </x:c>
      <x:c r="H784" s="3">
        <x:v>3414621.2112151203</x:v>
      </x:c>
    </x:row>
    <x:row r="785">
      <x:c r="A785" s="2" t="s">
        <x:v>52</x:v>
      </x:c>
      <x:c r="B785" s="2">
        <x:v>10382</x:v>
      </x:c>
      <x:c r="C785" s="2">
        <x:v>12627</x:v>
      </x:c>
      <x:c r="D785" s="2" t="s">
        <x:v>54</x:v>
      </x:c>
      <x:c r="E785" s="2">
        <x:v>111</x:v>
      </x:c>
      <x:c r="F785" s="2">
        <x:v>600</x:v>
      </x:c>
      <x:c r="G785" s="3">
        <x:v>5691.0353520252002</x:v>
      </x:c>
      <x:c r="H785" s="3">
        <x:v>3414621.2112151203</x:v>
      </x:c>
    </x:row>
    <x:row r="786">
      <x:c r="A786" s="2" t="s">
        <x:v>52</x:v>
      </x:c>
      <x:c r="B786" s="2">
        <x:v>10383</x:v>
      </x:c>
      <x:c r="C786" s="2">
        <x:v>12628</x:v>
      </x:c>
      <x:c r="D786" s="2" t="s">
        <x:v>54</x:v>
      </x:c>
      <x:c r="E786" s="2">
        <x:v>93</x:v>
      </x:c>
      <x:c r="F786" s="2">
        <x:v>600</x:v>
      </x:c>
      <x:c r="G786" s="3">
        <x:v>5691.0353520252002</x:v>
      </x:c>
      <x:c r="H786" s="3">
        <x:v>3414621.2112151203</x:v>
      </x:c>
    </x:row>
    <x:row r="787">
      <x:c r="A787" s="2" t="s">
        <x:v>52</x:v>
      </x:c>
      <x:c r="B787" s="2">
        <x:v>10384</x:v>
      </x:c>
      <x:c r="C787" s="2">
        <x:v>12629</x:v>
      </x:c>
      <x:c r="D787" s="2" t="s">
        <x:v>54</x:v>
      </x:c>
      <x:c r="E787" s="2">
        <x:v>103</x:v>
      </x:c>
      <x:c r="F787" s="2">
        <x:v>585</x:v>
      </x:c>
      <x:c r="G787" s="3">
        <x:v>5691.0353520252002</x:v>
      </x:c>
      <x:c r="H787" s="3">
        <x:v>3329255.6809347421</x:v>
      </x:c>
    </x:row>
    <x:row r="788">
      <x:c r="A788" s="2" t="s">
        <x:v>52</x:v>
      </x:c>
      <x:c r="B788" s="2">
        <x:v>10385</x:v>
      </x:c>
      <x:c r="C788" s="2">
        <x:v>12630</x:v>
      </x:c>
      <x:c r="D788" s="2" t="s">
        <x:v>27</x:v>
      </x:c>
      <x:c r="E788" s="2">
        <x:v>110</x:v>
      </x:c>
      <x:c r="F788" s="2">
        <x:v>600</x:v>
      </x:c>
      <x:c r="G788" s="3">
        <x:v>5691.0353520252002</x:v>
      </x:c>
      <x:c r="H788" s="3">
        <x:v>3414621.2112151203</x:v>
      </x:c>
    </x:row>
    <x:row r="789">
      <x:c r="A789" s="2" t="s">
        <x:v>52</x:v>
      </x:c>
      <x:c r="B789" s="2">
        <x:v>10386</x:v>
      </x:c>
      <x:c r="C789" s="2">
        <x:v>12631</x:v>
      </x:c>
      <x:c r="D789" s="2" t="s">
        <x:v>27</x:v>
      </x:c>
      <x:c r="E789" s="2">
        <x:v>68</x:v>
      </x:c>
      <x:c r="F789" s="2">
        <x:v>600</x:v>
      </x:c>
      <x:c r="G789" s="3">
        <x:v>5691.0353520252002</x:v>
      </x:c>
      <x:c r="H789" s="3">
        <x:v>3414621.2112151203</x:v>
      </x:c>
    </x:row>
    <x:row r="790">
      <x:c r="A790" s="2" t="s">
        <x:v>52</x:v>
      </x:c>
      <x:c r="B790" s="2">
        <x:v>10387</x:v>
      </x:c>
      <x:c r="C790" s="2">
        <x:v>12632</x:v>
      </x:c>
      <x:c r="D790" s="2" t="s">
        <x:v>27</x:v>
      </x:c>
      <x:c r="E790" s="2">
        <x:v>65</x:v>
      </x:c>
      <x:c r="F790" s="2">
        <x:v>600</x:v>
      </x:c>
      <x:c r="G790" s="3">
        <x:v>5691.0353520252002</x:v>
      </x:c>
      <x:c r="H790" s="3">
        <x:v>3414621.2112151203</x:v>
      </x:c>
    </x:row>
    <x:row r="791">
      <x:c r="A791" s="2" t="s">
        <x:v>52</x:v>
      </x:c>
      <x:c r="B791" s="2">
        <x:v>10388</x:v>
      </x:c>
      <x:c r="C791" s="2">
        <x:v>12633</x:v>
      </x:c>
      <x:c r="D791" s="2" t="s">
        <x:v>27</x:v>
      </x:c>
      <x:c r="E791" s="2">
        <x:v>81</x:v>
      </x:c>
      <x:c r="F791" s="2">
        <x:v>600</x:v>
      </x:c>
      <x:c r="G791" s="3">
        <x:v>5691.0353520252002</x:v>
      </x:c>
      <x:c r="H791" s="3">
        <x:v>3414621.2112151203</x:v>
      </x:c>
    </x:row>
    <x:row r="792">
      <x:c r="A792" s="2" t="s">
        <x:v>52</x:v>
      </x:c>
      <x:c r="B792" s="2">
        <x:v>10389</x:v>
      </x:c>
      <x:c r="C792" s="2">
        <x:v>12634</x:v>
      </x:c>
      <x:c r="D792" s="2" t="s">
        <x:v>27</x:v>
      </x:c>
      <x:c r="E792" s="2">
        <x:v>81</x:v>
      </x:c>
      <x:c r="F792" s="2">
        <x:v>600</x:v>
      </x:c>
      <x:c r="G792" s="3">
        <x:v>5691.0353520252002</x:v>
      </x:c>
      <x:c r="H792" s="3">
        <x:v>3414621.2112151203</x:v>
      </x:c>
    </x:row>
    <x:row r="793">
      <x:c r="A793" s="2" t="s">
        <x:v>52</x:v>
      </x:c>
      <x:c r="B793" s="2">
        <x:v>10390</x:v>
      </x:c>
      <x:c r="C793" s="2">
        <x:v>12635</x:v>
      </x:c>
      <x:c r="D793" s="2" t="s">
        <x:v>27</x:v>
      </x:c>
      <x:c r="E793" s="2">
        <x:v>71</x:v>
      </x:c>
      <x:c r="F793" s="2">
        <x:v>600</x:v>
      </x:c>
      <x:c r="G793" s="3">
        <x:v>5691.0353520252002</x:v>
      </x:c>
      <x:c r="H793" s="3">
        <x:v>3414621.2112151203</x:v>
      </x:c>
    </x:row>
    <x:row r="794">
      <x:c r="A794" s="2" t="s">
        <x:v>52</x:v>
      </x:c>
      <x:c r="B794" s="2">
        <x:v>10396</x:v>
      </x:c>
      <x:c r="C794" s="2">
        <x:v>12636</x:v>
      </x:c>
      <x:c r="D794" s="2" t="s">
        <x:v>26</x:v>
      </x:c>
      <x:c r="E794" s="2">
        <x:v>0</x:v>
      </x:c>
      <x:c r="F794" s="2">
        <x:v>600</x:v>
      </x:c>
      <x:c r="G794" s="3">
        <x:v>5691.0353520252002</x:v>
      </x:c>
      <x:c r="H794" s="3">
        <x:v>3414621.2112151203</x:v>
      </x:c>
    </x:row>
    <x:row r="795">
      <x:c r="A795" s="2" t="s">
        <x:v>52</x:v>
      </x:c>
      <x:c r="B795" s="2">
        <x:v>10397</x:v>
      </x:c>
      <x:c r="C795" s="2">
        <x:v>12637</x:v>
      </x:c>
      <x:c r="D795" s="2" t="s">
        <x:v>26</x:v>
      </x:c>
      <x:c r="E795" s="2">
        <x:v>0</x:v>
      </x:c>
      <x:c r="F795" s="2">
        <x:v>600</x:v>
      </x:c>
      <x:c r="G795" s="3">
        <x:v>5691.0353520252002</x:v>
      </x:c>
      <x:c r="H795" s="3">
        <x:v>3414621.2112151203</x:v>
      </x:c>
    </x:row>
    <x:row r="796">
      <x:c r="A796" s="2" t="s">
        <x:v>52</x:v>
      </x:c>
      <x:c r="B796" s="2">
        <x:v>10398</x:v>
      </x:c>
      <x:c r="C796" s="2">
        <x:v>12638</x:v>
      </x:c>
      <x:c r="D796" s="2" t="s">
        <x:v>26</x:v>
      </x:c>
      <x:c r="E796" s="2">
        <x:v>0</x:v>
      </x:c>
      <x:c r="F796" s="2">
        <x:v>600</x:v>
      </x:c>
      <x:c r="G796" s="3">
        <x:v>5691.0353520252002</x:v>
      </x:c>
      <x:c r="H796" s="3">
        <x:v>3414621.2112151203</x:v>
      </x:c>
    </x:row>
    <x:row r="797">
      <x:c r="A797" s="2" t="s">
        <x:v>52</x:v>
      </x:c>
      <x:c r="B797" s="2">
        <x:v>10399</x:v>
      </x:c>
      <x:c r="C797" s="2">
        <x:v>12639</x:v>
      </x:c>
      <x:c r="D797" s="2" t="s">
        <x:v>26</x:v>
      </x:c>
      <x:c r="E797" s="2">
        <x:v>0</x:v>
      </x:c>
      <x:c r="F797" s="2">
        <x:v>600</x:v>
      </x:c>
      <x:c r="G797" s="3">
        <x:v>5691.0353520252002</x:v>
      </x:c>
      <x:c r="H797" s="3">
        <x:v>3414621.2112151203</x:v>
      </x:c>
    </x:row>
    <x:row r="798">
      <x:c r="A798" s="2" t="s">
        <x:v>52</x:v>
      </x:c>
      <x:c r="B798" s="2">
        <x:v>11337</x:v>
      </x:c>
      <x:c r="C798" s="2">
        <x:v>12640</x:v>
      </x:c>
      <x:c r="D798" s="2" t="s">
        <x:v>25</x:v>
      </x:c>
      <x:c r="E798" s="2">
        <x:v>101</x:v>
      </x:c>
      <x:c r="F798" s="2">
        <x:v>600</x:v>
      </x:c>
      <x:c r="G798" s="3">
        <x:v>6274.3294100822004</x:v>
      </x:c>
      <x:c r="H798" s="3">
        <x:v>3764597.6460493202</x:v>
      </x:c>
    </x:row>
    <x:row r="799">
      <x:c r="A799" s="2" t="s">
        <x:v>52</x:v>
      </x:c>
      <x:c r="B799" s="2">
        <x:v>11338</x:v>
      </x:c>
      <x:c r="C799" s="2">
        <x:v>12641</x:v>
      </x:c>
      <x:c r="D799" s="2" t="s">
        <x:v>25</x:v>
      </x:c>
      <x:c r="E799" s="2">
        <x:v>103</x:v>
      </x:c>
      <x:c r="F799" s="2">
        <x:v>600</x:v>
      </x:c>
      <x:c r="G799" s="3">
        <x:v>6274.3294100822004</x:v>
      </x:c>
      <x:c r="H799" s="3">
        <x:v>3764597.6460493202</x:v>
      </x:c>
    </x:row>
    <x:row r="800">
      <x:c r="A800" s="2" t="s">
        <x:v>52</x:v>
      </x:c>
      <x:c r="B800" s="2">
        <x:v>11339</x:v>
      </x:c>
      <x:c r="C800" s="2">
        <x:v>12642</x:v>
      </x:c>
      <x:c r="D800" s="2" t="s">
        <x:v>25</x:v>
      </x:c>
      <x:c r="E800" s="2">
        <x:v>99</x:v>
      </x:c>
      <x:c r="F800" s="2">
        <x:v>600</x:v>
      </x:c>
      <x:c r="G800" s="3">
        <x:v>6274.3294100822004</x:v>
      </x:c>
      <x:c r="H800" s="3">
        <x:v>3764597.6460493202</x:v>
      </x:c>
    </x:row>
    <x:row r="801">
      <x:c r="A801" s="2" t="s">
        <x:v>52</x:v>
      </x:c>
      <x:c r="B801" s="2">
        <x:v>11340</x:v>
      </x:c>
      <x:c r="C801" s="2">
        <x:v>12643</x:v>
      </x:c>
      <x:c r="D801" s="2" t="s">
        <x:v>25</x:v>
      </x:c>
      <x:c r="E801" s="2">
        <x:v>107</x:v>
      </x:c>
      <x:c r="F801" s="2">
        <x:v>600</x:v>
      </x:c>
      <x:c r="G801" s="3">
        <x:v>6274.3294100822004</x:v>
      </x:c>
      <x:c r="H801" s="3">
        <x:v>3764597.6460493202</x:v>
      </x:c>
    </x:row>
    <x:row r="802">
      <x:c r="A802" s="2" t="s">
        <x:v>52</x:v>
      </x:c>
      <x:c r="B802" s="2">
        <x:v>11341</x:v>
      </x:c>
      <x:c r="C802" s="2">
        <x:v>12644</x:v>
      </x:c>
      <x:c r="D802" s="2" t="s">
        <x:v>25</x:v>
      </x:c>
      <x:c r="E802" s="2">
        <x:v>100</x:v>
      </x:c>
      <x:c r="F802" s="2">
        <x:v>600</x:v>
      </x:c>
      <x:c r="G802" s="3">
        <x:v>6274.3294100822004</x:v>
      </x:c>
      <x:c r="H802" s="3">
        <x:v>3764597.6460493202</x:v>
      </x:c>
    </x:row>
    <x:row r="803">
      <x:c r="A803" s="2" t="s">
        <x:v>52</x:v>
      </x:c>
      <x:c r="B803" s="2">
        <x:v>11342</x:v>
      </x:c>
      <x:c r="C803" s="2">
        <x:v>12645</x:v>
      </x:c>
      <x:c r="D803" s="2" t="s">
        <x:v>25</x:v>
      </x:c>
      <x:c r="E803" s="2">
        <x:v>90</x:v>
      </x:c>
      <x:c r="F803" s="2">
        <x:v>600</x:v>
      </x:c>
      <x:c r="G803" s="3">
        <x:v>6274.3294100822004</x:v>
      </x:c>
      <x:c r="H803" s="3">
        <x:v>3764597.6460493202</x:v>
      </x:c>
    </x:row>
    <x:row r="804">
      <x:c r="A804" s="2" t="s">
        <x:v>52</x:v>
      </x:c>
      <x:c r="B804" s="2">
        <x:v>11343</x:v>
      </x:c>
      <x:c r="C804" s="2">
        <x:v>12646</x:v>
      </x:c>
      <x:c r="D804" s="2" t="s">
        <x:v>25</x:v>
      </x:c>
      <x:c r="E804" s="2">
        <x:v>82</x:v>
      </x:c>
      <x:c r="F804" s="2">
        <x:v>600</x:v>
      </x:c>
      <x:c r="G804" s="3">
        <x:v>6274.3294100822004</x:v>
      </x:c>
      <x:c r="H804" s="3">
        <x:v>3764597.6460493202</x:v>
      </x:c>
    </x:row>
    <x:row r="805">
      <x:c r="A805" s="2" t="s">
        <x:v>52</x:v>
      </x:c>
      <x:c r="B805" s="2">
        <x:v>11344</x:v>
      </x:c>
      <x:c r="C805" s="2">
        <x:v>12647</x:v>
      </x:c>
      <x:c r="D805" s="2" t="s">
        <x:v>25</x:v>
      </x:c>
      <x:c r="E805" s="2">
        <x:v>105</x:v>
      </x:c>
      <x:c r="F805" s="2">
        <x:v>600</x:v>
      </x:c>
      <x:c r="G805" s="3">
        <x:v>6274.3294100822004</x:v>
      </x:c>
      <x:c r="H805" s="3">
        <x:v>3764597.6460493202</x:v>
      </x:c>
    </x:row>
    <x:row r="806">
      <x:c r="A806" s="2" t="s">
        <x:v>52</x:v>
      </x:c>
      <x:c r="B806" s="2">
        <x:v>11345</x:v>
      </x:c>
      <x:c r="C806" s="2">
        <x:v>12648</x:v>
      </x:c>
      <x:c r="D806" s="2" t="s">
        <x:v>25</x:v>
      </x:c>
      <x:c r="E806" s="2">
        <x:v>102</x:v>
      </x:c>
      <x:c r="F806" s="2">
        <x:v>600</x:v>
      </x:c>
      <x:c r="G806" s="3">
        <x:v>6274.3294100822004</x:v>
      </x:c>
      <x:c r="H806" s="3">
        <x:v>3764597.6460493202</x:v>
      </x:c>
    </x:row>
    <x:row r="807">
      <x:c r="A807" s="2" t="s">
        <x:v>52</x:v>
      </x:c>
      <x:c r="B807" s="2">
        <x:v>11346</x:v>
      </x:c>
      <x:c r="C807" s="2">
        <x:v>12649</x:v>
      </x:c>
      <x:c r="D807" s="2" t="s">
        <x:v>25</x:v>
      </x:c>
      <x:c r="E807" s="2">
        <x:v>100</x:v>
      </x:c>
      <x:c r="F807" s="2">
        <x:v>600</x:v>
      </x:c>
      <x:c r="G807" s="3">
        <x:v>6274.3294100822004</x:v>
      </x:c>
      <x:c r="H807" s="3">
        <x:v>3764597.6460493202</x:v>
      </x:c>
    </x:row>
    <x:row r="808">
      <x:c r="A808" s="2" t="s">
        <x:v>52</x:v>
      </x:c>
      <x:c r="B808" s="2">
        <x:v>11347</x:v>
      </x:c>
      <x:c r="C808" s="2">
        <x:v>12650</x:v>
      </x:c>
      <x:c r="D808" s="2" t="s">
        <x:v>25</x:v>
      </x:c>
      <x:c r="E808" s="2">
        <x:v>106</x:v>
      </x:c>
      <x:c r="F808" s="2">
        <x:v>600</x:v>
      </x:c>
      <x:c r="G808" s="3">
        <x:v>6274.3294100822004</x:v>
      </x:c>
      <x:c r="H808" s="3">
        <x:v>3764597.6460493202</x:v>
      </x:c>
    </x:row>
    <x:row r="809">
      <x:c r="A809" s="2" t="s">
        <x:v>52</x:v>
      </x:c>
      <x:c r="B809" s="2">
        <x:v>11348</x:v>
      </x:c>
      <x:c r="C809" s="2">
        <x:v>12651</x:v>
      </x:c>
      <x:c r="D809" s="2" t="s">
        <x:v>25</x:v>
      </x:c>
      <x:c r="E809" s="2">
        <x:v>111</x:v>
      </x:c>
      <x:c r="F809" s="2">
        <x:v>600</x:v>
      </x:c>
      <x:c r="G809" s="3">
        <x:v>6274.3294100822004</x:v>
      </x:c>
      <x:c r="H809" s="3">
        <x:v>3764597.6460493202</x:v>
      </x:c>
    </x:row>
    <x:row r="810">
      <x:c r="A810" s="2" t="s">
        <x:v>52</x:v>
      </x:c>
      <x:c r="B810" s="2">
        <x:v>11349</x:v>
      </x:c>
      <x:c r="C810" s="2">
        <x:v>12652</x:v>
      </x:c>
      <x:c r="D810" s="2" t="s">
        <x:v>25</x:v>
      </x:c>
      <x:c r="E810" s="2">
        <x:v>102</x:v>
      </x:c>
      <x:c r="F810" s="2">
        <x:v>580</x:v>
      </x:c>
      <x:c r="G810" s="3">
        <x:v>6274.3294100822004</x:v>
      </x:c>
      <x:c r="H810" s="3">
        <x:v>3639111.0578476763</x:v>
      </x:c>
    </x:row>
    <x:row r="811">
      <x:c r="A811" s="2" t="s">
        <x:v>52</x:v>
      </x:c>
      <x:c r="B811" s="2">
        <x:v>11350</x:v>
      </x:c>
      <x:c r="C811" s="2">
        <x:v>12653</x:v>
      </x:c>
      <x:c r="D811" s="2" t="s">
        <x:v>27</x:v>
      </x:c>
      <x:c r="E811" s="2">
        <x:v>94</x:v>
      </x:c>
      <x:c r="F811" s="2">
        <x:v>600</x:v>
      </x:c>
      <x:c r="G811" s="3">
        <x:v>6274.3294100822004</x:v>
      </x:c>
      <x:c r="H811" s="3">
        <x:v>3764597.6460493202</x:v>
      </x:c>
    </x:row>
    <x:row r="812">
      <x:c r="A812" s="2" t="s">
        <x:v>52</x:v>
      </x:c>
      <x:c r="B812" s="2">
        <x:v>11351</x:v>
      </x:c>
      <x:c r="C812" s="2">
        <x:v>12654</x:v>
      </x:c>
      <x:c r="D812" s="2" t="s">
        <x:v>27</x:v>
      </x:c>
      <x:c r="E812" s="2">
        <x:v>111</x:v>
      </x:c>
      <x:c r="F812" s="2">
        <x:v>600</x:v>
      </x:c>
      <x:c r="G812" s="3">
        <x:v>6274.3294100822004</x:v>
      </x:c>
      <x:c r="H812" s="3">
        <x:v>3764597.6460493202</x:v>
      </x:c>
    </x:row>
    <x:row r="813">
      <x:c r="A813" s="2" t="s">
        <x:v>52</x:v>
      </x:c>
      <x:c r="B813" s="2">
        <x:v>11352</x:v>
      </x:c>
      <x:c r="C813" s="2">
        <x:v>12655</x:v>
      </x:c>
      <x:c r="D813" s="2" t="s">
        <x:v>27</x:v>
      </x:c>
      <x:c r="E813" s="2">
        <x:v>99</x:v>
      </x:c>
      <x:c r="F813" s="2">
        <x:v>600</x:v>
      </x:c>
      <x:c r="G813" s="3">
        <x:v>6274.3294100822004</x:v>
      </x:c>
      <x:c r="H813" s="3">
        <x:v>3764597.6460493202</x:v>
      </x:c>
    </x:row>
    <x:row r="814">
      <x:c r="A814" s="2" t="s">
        <x:v>52</x:v>
      </x:c>
      <x:c r="B814" s="2">
        <x:v>11353</x:v>
      </x:c>
      <x:c r="C814" s="2">
        <x:v>12656</x:v>
      </x:c>
      <x:c r="D814" s="2" t="s">
        <x:v>27</x:v>
      </x:c>
      <x:c r="E814" s="2">
        <x:v>101</x:v>
      </x:c>
      <x:c r="F814" s="2">
        <x:v>600</x:v>
      </x:c>
      <x:c r="G814" s="3">
        <x:v>6274.3294100822004</x:v>
      </x:c>
      <x:c r="H814" s="3">
        <x:v>3764597.6460493202</x:v>
      </x:c>
    </x:row>
    <x:row r="815">
      <x:c r="A815" s="2" t="s">
        <x:v>52</x:v>
      </x:c>
      <x:c r="B815" s="2">
        <x:v>11354</x:v>
      </x:c>
      <x:c r="C815" s="2">
        <x:v>12657</x:v>
      </x:c>
      <x:c r="D815" s="2" t="s">
        <x:v>27</x:v>
      </x:c>
      <x:c r="E815" s="2">
        <x:v>90</x:v>
      </x:c>
      <x:c r="F815" s="2">
        <x:v>600</x:v>
      </x:c>
      <x:c r="G815" s="3">
        <x:v>6274.3294100822004</x:v>
      </x:c>
      <x:c r="H815" s="3">
        <x:v>3764597.6460493202</x:v>
      </x:c>
    </x:row>
    <x:row r="816">
      <x:c r="A816" s="2" t="s">
        <x:v>52</x:v>
      </x:c>
      <x:c r="B816" s="2">
        <x:v>11355</x:v>
      </x:c>
      <x:c r="C816" s="2">
        <x:v>12658</x:v>
      </x:c>
      <x:c r="D816" s="2" t="s">
        <x:v>27</x:v>
      </x:c>
      <x:c r="E816" s="2">
        <x:v>80</x:v>
      </x:c>
      <x:c r="F816" s="2">
        <x:v>600</x:v>
      </x:c>
      <x:c r="G816" s="3">
        <x:v>6274.3294100822004</x:v>
      </x:c>
      <x:c r="H816" s="3">
        <x:v>3764597.6460493202</x:v>
      </x:c>
    </x:row>
    <x:row r="817">
      <x:c r="A817" s="2" t="s">
        <x:v>52</x:v>
      </x:c>
      <x:c r="B817" s="2">
        <x:v>11356</x:v>
      </x:c>
      <x:c r="C817" s="2">
        <x:v>12659</x:v>
      </x:c>
      <x:c r="D817" s="2" t="s">
        <x:v>27</x:v>
      </x:c>
      <x:c r="E817" s="2">
        <x:v>108</x:v>
      </x:c>
      <x:c r="F817" s="2">
        <x:v>600</x:v>
      </x:c>
      <x:c r="G817" s="3">
        <x:v>6274.3294100822004</x:v>
      </x:c>
      <x:c r="H817" s="3">
        <x:v>3764597.6460493202</x:v>
      </x:c>
    </x:row>
    <x:row r="818">
      <x:c r="A818" s="2" t="s">
        <x:v>52</x:v>
      </x:c>
      <x:c r="B818" s="2">
        <x:v>11357</x:v>
      </x:c>
      <x:c r="C818" s="2">
        <x:v>12660</x:v>
      </x:c>
      <x:c r="D818" s="2" t="s">
        <x:v>27</x:v>
      </x:c>
      <x:c r="E818" s="2">
        <x:v>100</x:v>
      </x:c>
      <x:c r="F818" s="2">
        <x:v>600</x:v>
      </x:c>
      <x:c r="G818" s="3">
        <x:v>6274.3294100822004</x:v>
      </x:c>
      <x:c r="H818" s="3">
        <x:v>3764597.6460493202</x:v>
      </x:c>
    </x:row>
    <x:row r="819">
      <x:c r="A819" s="2" t="s">
        <x:v>52</x:v>
      </x:c>
      <x:c r="B819" s="2">
        <x:v>11358</x:v>
      </x:c>
      <x:c r="C819" s="2">
        <x:v>12661</x:v>
      </x:c>
      <x:c r="D819" s="2" t="s">
        <x:v>27</x:v>
      </x:c>
      <x:c r="E819" s="2">
        <x:v>91</x:v>
      </x:c>
      <x:c r="F819" s="2">
        <x:v>578</x:v>
      </x:c>
      <x:c r="G819" s="3">
        <x:v>6274.3294100822004</x:v>
      </x:c>
      <x:c r="H819" s="3">
        <x:v>3626562.3990275119</x:v>
      </x:c>
    </x:row>
    <x:row r="820">
      <x:c r="A820" s="2" t="s">
        <x:v>52</x:v>
      </x:c>
      <x:c r="B820" s="2">
        <x:v>11359</x:v>
      </x:c>
      <x:c r="C820" s="2">
        <x:v>12662</x:v>
      </x:c>
      <x:c r="D820" s="2" t="s">
        <x:v>26</x:v>
      </x:c>
      <x:c r="E820" s="2">
        <x:v>0</x:v>
      </x:c>
      <x:c r="F820" s="2">
        <x:v>600</x:v>
      </x:c>
      <x:c r="G820" s="3">
        <x:v>6274.3294100822004</x:v>
      </x:c>
      <x:c r="H820" s="3">
        <x:v>3764597.6460493202</x:v>
      </x:c>
    </x:row>
    <x:row r="821">
      <x:c r="A821" s="2" t="s">
        <x:v>52</x:v>
      </x:c>
      <x:c r="B821" s="2">
        <x:v>11360</x:v>
      </x:c>
      <x:c r="C821" s="2">
        <x:v>12663</x:v>
      </x:c>
      <x:c r="D821" s="2" t="s">
        <x:v>26</x:v>
      </x:c>
      <x:c r="E821" s="2">
        <x:v>0</x:v>
      </x:c>
      <x:c r="F821" s="2">
        <x:v>600</x:v>
      </x:c>
      <x:c r="G821" s="3">
        <x:v>6274.3294100822004</x:v>
      </x:c>
      <x:c r="H821" s="3">
        <x:v>3764597.6460493202</x:v>
      </x:c>
    </x:row>
    <x:row r="822">
      <x:c r="A822" s="2" t="s">
        <x:v>52</x:v>
      </x:c>
      <x:c r="B822" s="2">
        <x:v>11361</x:v>
      </x:c>
      <x:c r="C822" s="2">
        <x:v>12664</x:v>
      </x:c>
      <x:c r="D822" s="2" t="s">
        <x:v>26</x:v>
      </x:c>
      <x:c r="E822" s="2">
        <x:v>0</x:v>
      </x:c>
      <x:c r="F822" s="2">
        <x:v>600</x:v>
      </x:c>
      <x:c r="G822" s="3">
        <x:v>6274.3294100822004</x:v>
      </x:c>
      <x:c r="H822" s="3">
        <x:v>3764597.6460493202</x:v>
      </x:c>
    </x:row>
    <x:row r="823">
      <x:c r="A823" s="2" t="s">
        <x:v>52</x:v>
      </x:c>
      <x:c r="B823" s="2">
        <x:v>11362</x:v>
      </x:c>
      <x:c r="C823" s="2">
        <x:v>12665</x:v>
      </x:c>
      <x:c r="D823" s="2" t="s">
        <x:v>26</x:v>
      </x:c>
      <x:c r="E823" s="2">
        <x:v>0</x:v>
      </x:c>
      <x:c r="F823" s="2">
        <x:v>600</x:v>
      </x:c>
      <x:c r="G823" s="3">
        <x:v>6274.3294100822004</x:v>
      </x:c>
      <x:c r="H823" s="3">
        <x:v>3764597.6460493202</x:v>
      </x:c>
    </x:row>
    <x:row r="824">
      <x:c r="A824" s="2" t="s">
        <x:v>52</x:v>
      </x:c>
      <x:c r="B824" s="2">
        <x:v>11363</x:v>
      </x:c>
      <x:c r="C824" s="2">
        <x:v>12666</x:v>
      </x:c>
      <x:c r="D824" s="2" t="s">
        <x:v>26</x:v>
      </x:c>
      <x:c r="E824" s="2">
        <x:v>0</x:v>
      </x:c>
      <x:c r="F824" s="2">
        <x:v>600</x:v>
      </x:c>
      <x:c r="G824" s="3">
        <x:v>6274.3294100822004</x:v>
      </x:c>
      <x:c r="H824" s="3">
        <x:v>3764597.6460493202</x:v>
      </x:c>
    </x:row>
    <x:row r="825">
      <x:c r="A825" s="2" t="s">
        <x:v>52</x:v>
      </x:c>
      <x:c r="B825" s="2">
        <x:v>11364</x:v>
      </x:c>
      <x:c r="C825" s="2">
        <x:v>12667</x:v>
      </x:c>
      <x:c r="D825" s="2" t="s">
        <x:v>26</x:v>
      </x:c>
      <x:c r="E825" s="2">
        <x:v>0</x:v>
      </x:c>
      <x:c r="F825" s="2">
        <x:v>600</x:v>
      </x:c>
      <x:c r="G825" s="3">
        <x:v>6274.3294100822004</x:v>
      </x:c>
      <x:c r="H825" s="3">
        <x:v>3764597.6460493202</x:v>
      </x:c>
    </x:row>
    <x:row r="826">
      <x:c r="A826" s="2" t="s">
        <x:v>52</x:v>
      </x:c>
      <x:c r="B826" s="2">
        <x:v>11365</x:v>
      </x:c>
      <x:c r="C826" s="2">
        <x:v>12668</x:v>
      </x:c>
      <x:c r="D826" s="2" t="s">
        <x:v>26</x:v>
      </x:c>
      <x:c r="E826" s="2">
        <x:v>0</x:v>
      </x:c>
      <x:c r="F826" s="2">
        <x:v>600</x:v>
      </x:c>
      <x:c r="G826" s="3">
        <x:v>6274.3294100822004</x:v>
      </x:c>
      <x:c r="H826" s="3">
        <x:v>3764597.6460493202</x:v>
      </x:c>
    </x:row>
    <x:row r="827">
      <x:c r="A827" s="2" t="s">
        <x:v>52</x:v>
      </x:c>
      <x:c r="B827" s="2">
        <x:v>6457</x:v>
      </x:c>
      <x:c r="C827" s="2">
        <x:v>12669</x:v>
      </x:c>
      <x:c r="D827" s="2" t="s">
        <x:v>48</x:v>
      </x:c>
      <x:c r="E827" s="2">
        <x:v>75</x:v>
      </x:c>
      <x:c r="F827" s="2">
        <x:v>500</x:v>
      </x:c>
      <x:c r="G827" s="3">
        <x:v>8772.3829248029997</x:v>
      </x:c>
      <x:c r="H827" s="3">
        <x:v>4386191.4624015</x:v>
      </x:c>
    </x:row>
    <x:row r="828">
      <x:c r="A828" s="2" t="s">
        <x:v>52</x:v>
      </x:c>
      <x:c r="B828" s="2">
        <x:v>6458</x:v>
      </x:c>
      <x:c r="C828" s="2">
        <x:v>12670</x:v>
      </x:c>
      <x:c r="D828" s="2" t="s">
        <x:v>48</x:v>
      </x:c>
      <x:c r="E828" s="2">
        <x:v>74</x:v>
      </x:c>
      <x:c r="F828" s="2">
        <x:v>500</x:v>
      </x:c>
      <x:c r="G828" s="3">
        <x:v>8772.3829248029997</x:v>
      </x:c>
      <x:c r="H828" s="3">
        <x:v>4386191.4624015</x:v>
      </x:c>
    </x:row>
    <x:row r="829">
      <x:c r="A829" s="2" t="s">
        <x:v>52</x:v>
      </x:c>
      <x:c r="B829" s="2">
        <x:v>6459</x:v>
      </x:c>
      <x:c r="C829" s="2">
        <x:v>12671</x:v>
      </x:c>
      <x:c r="D829" s="2" t="s">
        <x:v>48</x:v>
      </x:c>
      <x:c r="E829" s="2">
        <x:v>71</x:v>
      </x:c>
      <x:c r="F829" s="2">
        <x:v>500</x:v>
      </x:c>
      <x:c r="G829" s="3">
        <x:v>8772.3829248029997</x:v>
      </x:c>
      <x:c r="H829" s="3">
        <x:v>4386191.4624015</x:v>
      </x:c>
    </x:row>
    <x:row r="830">
      <x:c r="A830" s="2" t="s">
        <x:v>52</x:v>
      </x:c>
      <x:c r="B830" s="2">
        <x:v>6460</x:v>
      </x:c>
      <x:c r="C830" s="2">
        <x:v>12672</x:v>
      </x:c>
      <x:c r="D830" s="2" t="s">
        <x:v>48</x:v>
      </x:c>
      <x:c r="E830" s="2">
        <x:v>73</x:v>
      </x:c>
      <x:c r="F830" s="2">
        <x:v>500</x:v>
      </x:c>
      <x:c r="G830" s="3">
        <x:v>8772.3829248029997</x:v>
      </x:c>
      <x:c r="H830" s="3">
        <x:v>4386191.4624015</x:v>
      </x:c>
    </x:row>
    <x:row r="831">
      <x:c r="A831" s="2" t="s">
        <x:v>52</x:v>
      </x:c>
      <x:c r="B831" s="2">
        <x:v>10362</x:v>
      </x:c>
      <x:c r="C831" s="2">
        <x:v>12673</x:v>
      </x:c>
      <x:c r="D831" s="2" t="s">
        <x:v>54</x:v>
      </x:c>
      <x:c r="E831" s="2">
        <x:v>97</x:v>
      </x:c>
      <x:c r="F831" s="2">
        <x:v>600</x:v>
      </x:c>
      <x:c r="G831" s="3">
        <x:v>7391.0353520252002</x:v>
      </x:c>
      <x:c r="H831" s="3">
        <x:v>4434621.2112151198</x:v>
      </x:c>
    </x:row>
    <x:row r="832">
      <x:c r="A832" s="2" t="s">
        <x:v>52</x:v>
      </x:c>
      <x:c r="B832" s="2">
        <x:v>10363</x:v>
      </x:c>
      <x:c r="C832" s="2">
        <x:v>12674</x:v>
      </x:c>
      <x:c r="D832" s="2" t="s">
        <x:v>54</x:v>
      </x:c>
      <x:c r="E832" s="2">
        <x:v>106</x:v>
      </x:c>
      <x:c r="F832" s="2">
        <x:v>600</x:v>
      </x:c>
      <x:c r="G832" s="3">
        <x:v>7391.0353520252002</x:v>
      </x:c>
      <x:c r="H832" s="3">
        <x:v>4434621.2112151198</x:v>
      </x:c>
    </x:row>
    <x:row r="833">
      <x:c r="A833" s="2" t="s">
        <x:v>52</x:v>
      </x:c>
      <x:c r="B833" s="2">
        <x:v>10364</x:v>
      </x:c>
      <x:c r="C833" s="2">
        <x:v>12675</x:v>
      </x:c>
      <x:c r="D833" s="2" t="s">
        <x:v>54</x:v>
      </x:c>
      <x:c r="E833" s="2">
        <x:v>105</x:v>
      </x:c>
      <x:c r="F833" s="2">
        <x:v>600</x:v>
      </x:c>
      <x:c r="G833" s="3">
        <x:v>7391.0353520252002</x:v>
      </x:c>
      <x:c r="H833" s="3">
        <x:v>4434621.2112151198</x:v>
      </x:c>
    </x:row>
    <x:row r="834">
      <x:c r="A834" s="2" t="s">
        <x:v>52</x:v>
      </x:c>
      <x:c r="B834" s="2">
        <x:v>10365</x:v>
      </x:c>
      <x:c r="C834" s="2">
        <x:v>12676</x:v>
      </x:c>
      <x:c r="D834" s="2" t="s">
        <x:v>54</x:v>
      </x:c>
      <x:c r="E834" s="2">
        <x:v>100</x:v>
      </x:c>
      <x:c r="F834" s="2">
        <x:v>600</x:v>
      </x:c>
      <x:c r="G834" s="3">
        <x:v>7391.0353520252002</x:v>
      </x:c>
      <x:c r="H834" s="3">
        <x:v>4434621.2112151198</x:v>
      </x:c>
    </x:row>
    <x:row r="835">
      <x:c r="A835" s="2" t="s">
        <x:v>52</x:v>
      </x:c>
      <x:c r="B835" s="2">
        <x:v>10366</x:v>
      </x:c>
      <x:c r="C835" s="2">
        <x:v>12677</x:v>
      </x:c>
      <x:c r="D835" s="2" t="s">
        <x:v>54</x:v>
      </x:c>
      <x:c r="E835" s="2">
        <x:v>92</x:v>
      </x:c>
      <x:c r="F835" s="2">
        <x:v>600</x:v>
      </x:c>
      <x:c r="G835" s="3">
        <x:v>7391.0353520252002</x:v>
      </x:c>
      <x:c r="H835" s="3">
        <x:v>4434621.2112151198</x:v>
      </x:c>
    </x:row>
    <x:row r="836">
      <x:c r="A836" s="2" t="s">
        <x:v>52</x:v>
      </x:c>
      <x:c r="B836" s="2">
        <x:v>10367</x:v>
      </x:c>
      <x:c r="C836" s="2">
        <x:v>12678</x:v>
      </x:c>
      <x:c r="D836" s="2" t="s">
        <x:v>54</x:v>
      </x:c>
      <x:c r="E836" s="2">
        <x:v>92</x:v>
      </x:c>
      <x:c r="F836" s="2">
        <x:v>600</x:v>
      </x:c>
      <x:c r="G836" s="3">
        <x:v>7391.0353520252002</x:v>
      </x:c>
      <x:c r="H836" s="3">
        <x:v>4434621.2112151198</x:v>
      </x:c>
    </x:row>
    <x:row r="837">
      <x:c r="A837" s="2" t="s">
        <x:v>52</x:v>
      </x:c>
      <x:c r="B837" s="2">
        <x:v>10368</x:v>
      </x:c>
      <x:c r="C837" s="2">
        <x:v>12679</x:v>
      </x:c>
      <x:c r="D837" s="2" t="s">
        <x:v>54</x:v>
      </x:c>
      <x:c r="E837" s="2">
        <x:v>100</x:v>
      </x:c>
      <x:c r="F837" s="2">
        <x:v>600</x:v>
      </x:c>
      <x:c r="G837" s="3">
        <x:v>7391.0353520252002</x:v>
      </x:c>
      <x:c r="H837" s="3">
        <x:v>4434621.2112151198</x:v>
      </x:c>
    </x:row>
    <x:row r="838">
      <x:c r="A838" s="2" t="s">
        <x:v>52</x:v>
      </x:c>
      <x:c r="B838" s="2">
        <x:v>10369</x:v>
      </x:c>
      <x:c r="C838" s="2">
        <x:v>12680</x:v>
      </x:c>
      <x:c r="D838" s="2" t="s">
        <x:v>54</x:v>
      </x:c>
      <x:c r="E838" s="2">
        <x:v>92</x:v>
      </x:c>
      <x:c r="F838" s="2">
        <x:v>600</x:v>
      </x:c>
      <x:c r="G838" s="3">
        <x:v>7391.0353520252002</x:v>
      </x:c>
      <x:c r="H838" s="3">
        <x:v>4434621.2112151198</x:v>
      </x:c>
    </x:row>
    <x:row r="839">
      <x:c r="A839" s="2" t="s">
        <x:v>52</x:v>
      </x:c>
      <x:c r="B839" s="2">
        <x:v>10370</x:v>
      </x:c>
      <x:c r="C839" s="2">
        <x:v>12681</x:v>
      </x:c>
      <x:c r="D839" s="2" t="s">
        <x:v>54</x:v>
      </x:c>
      <x:c r="E839" s="2">
        <x:v>106</x:v>
      </x:c>
      <x:c r="F839" s="2">
        <x:v>600</x:v>
      </x:c>
      <x:c r="G839" s="3">
        <x:v>7391.0353520252002</x:v>
      </x:c>
      <x:c r="H839" s="3">
        <x:v>4434621.2112151198</x:v>
      </x:c>
    </x:row>
    <x:row r="840">
      <x:c r="A840" s="2" t="s">
        <x:v>52</x:v>
      </x:c>
      <x:c r="B840" s="2">
        <x:v>10371</x:v>
      </x:c>
      <x:c r="C840" s="2">
        <x:v>12682</x:v>
      </x:c>
      <x:c r="D840" s="2" t="s">
        <x:v>54</x:v>
      </x:c>
      <x:c r="E840" s="2">
        <x:v>92</x:v>
      </x:c>
      <x:c r="F840" s="2">
        <x:v>600</x:v>
      </x:c>
      <x:c r="G840" s="3">
        <x:v>7391.0353520252002</x:v>
      </x:c>
      <x:c r="H840" s="3">
        <x:v>4434621.2112151198</x:v>
      </x:c>
    </x:row>
    <x:row r="841">
      <x:c r="A841" s="2" t="s">
        <x:v>52</x:v>
      </x:c>
      <x:c r="B841" s="2">
        <x:v>10372</x:v>
      </x:c>
      <x:c r="C841" s="2">
        <x:v>12683</x:v>
      </x:c>
      <x:c r="D841" s="2" t="s">
        <x:v>54</x:v>
      </x:c>
      <x:c r="E841" s="2">
        <x:v>92</x:v>
      </x:c>
      <x:c r="F841" s="2">
        <x:v>600</x:v>
      </x:c>
      <x:c r="G841" s="3">
        <x:v>7391.0353520252002</x:v>
      </x:c>
      <x:c r="H841" s="3">
        <x:v>4434621.2112151198</x:v>
      </x:c>
    </x:row>
    <x:row r="842">
      <x:c r="A842" s="2" t="s">
        <x:v>52</x:v>
      </x:c>
      <x:c r="B842" s="2">
        <x:v>10373</x:v>
      </x:c>
      <x:c r="C842" s="2">
        <x:v>12684</x:v>
      </x:c>
      <x:c r="D842" s="2" t="s">
        <x:v>54</x:v>
      </x:c>
      <x:c r="E842" s="2">
        <x:v>84</x:v>
      </x:c>
      <x:c r="F842" s="2">
        <x:v>600</x:v>
      </x:c>
      <x:c r="G842" s="3">
        <x:v>7191.0353520252002</x:v>
      </x:c>
      <x:c r="H842" s="3">
        <x:v>4314621.2112151198</x:v>
      </x:c>
    </x:row>
    <x:row r="843">
      <x:c r="A843" s="2" t="s">
        <x:v>52</x:v>
      </x:c>
      <x:c r="B843" s="2">
        <x:v>10374</x:v>
      </x:c>
      <x:c r="C843" s="2">
        <x:v>12685</x:v>
      </x:c>
      <x:c r="D843" s="2" t="s">
        <x:v>54</x:v>
      </x:c>
      <x:c r="E843" s="2">
        <x:v>83</x:v>
      </x:c>
      <x:c r="F843" s="2">
        <x:v>600</x:v>
      </x:c>
      <x:c r="G843" s="3">
        <x:v>7191.0353520252002</x:v>
      </x:c>
      <x:c r="H843" s="3">
        <x:v>4314621.2112151198</x:v>
      </x:c>
    </x:row>
    <x:row r="844">
      <x:c r="A844" s="2" t="s">
        <x:v>55</x:v>
      </x:c>
      <x:c r="B844" s="2">
        <x:v>6747</x:v>
      </x:c>
      <x:c r="C844" s="2">
        <x:v>12234</x:v>
      </x:c>
      <x:c r="D844" s="2" t="s">
        <x:v>56</x:v>
      </x:c>
      <x:c r="E844" s="2">
        <x:v>0</x:v>
      </x:c>
      <x:c r="F844" s="2">
        <x:v>250</x:v>
      </x:c>
      <x:c r="G844" s="3">
        <x:v>1000</x:v>
      </x:c>
      <x:c r="H844" s="3">
        <x:v>250000</x:v>
      </x:c>
    </x:row>
    <x:row r="845">
      <x:c r="A845" s="2" t="s">
        <x:v>55</x:v>
      </x:c>
      <x:c r="B845" s="2">
        <x:v>10944</x:v>
      </x:c>
      <x:c r="C845" s="2">
        <x:v>12235</x:v>
      </x:c>
      <x:c r="D845" s="2" t="s">
        <x:v>5</x:v>
      </x:c>
      <x:c r="E845" s="2">
        <x:v>0</x:v>
      </x:c>
      <x:c r="F845" s="2">
        <x:v>250</x:v>
      </x:c>
      <x:c r="G845" s="3">
        <x:v>6274.3294100822004</x:v>
      </x:c>
      <x:c r="H845" s="3">
        <x:v>1568582.3525205501</x:v>
      </x:c>
    </x:row>
    <x:row r="846">
      <x:c r="A846" s="2" t="s">
        <x:v>55</x:v>
      </x:c>
      <x:c r="B846" s="2">
        <x:v>10945</x:v>
      </x:c>
      <x:c r="C846" s="2">
        <x:v>12236</x:v>
      </x:c>
      <x:c r="D846" s="2" t="s">
        <x:v>5</x:v>
      </x:c>
      <x:c r="E846" s="2">
        <x:v>0</x:v>
      </x:c>
      <x:c r="F846" s="2">
        <x:v>250</x:v>
      </x:c>
      <x:c r="G846" s="3">
        <x:v>6274.3294100822004</x:v>
      </x:c>
      <x:c r="H846" s="3">
        <x:v>1568582.3525205501</x:v>
      </x:c>
    </x:row>
    <x:row r="847">
      <x:c r="A847" s="2" t="s">
        <x:v>55</x:v>
      </x:c>
      <x:c r="B847" s="2">
        <x:v>10946</x:v>
      </x:c>
      <x:c r="C847" s="2">
        <x:v>12237</x:v>
      </x:c>
      <x:c r="D847" s="2" t="s">
        <x:v>5</x:v>
      </x:c>
      <x:c r="E847" s="2">
        <x:v>0</x:v>
      </x:c>
      <x:c r="F847" s="2">
        <x:v>250</x:v>
      </x:c>
      <x:c r="G847" s="3">
        <x:v>6274.3294100822004</x:v>
      </x:c>
      <x:c r="H847" s="3">
        <x:v>1568582.3525205501</x:v>
      </x:c>
    </x:row>
    <x:row r="848">
      <x:c r="A848" s="2" t="s">
        <x:v>55</x:v>
      </x:c>
      <x:c r="B848" s="2">
        <x:v>10947</x:v>
      </x:c>
      <x:c r="C848" s="2">
        <x:v>12238</x:v>
      </x:c>
      <x:c r="D848" s="2" t="s">
        <x:v>5</x:v>
      </x:c>
      <x:c r="E848" s="2">
        <x:v>0</x:v>
      </x:c>
      <x:c r="F848" s="2">
        <x:v>250</x:v>
      </x:c>
      <x:c r="G848" s="3">
        <x:v>6274.3294100822004</x:v>
      </x:c>
      <x:c r="H848" s="3">
        <x:v>1568582.3525205501</x:v>
      </x:c>
    </x:row>
    <x:row r="849">
      <x:c r="A849" s="2" t="s">
        <x:v>55</x:v>
      </x:c>
      <x:c r="B849" s="2">
        <x:v>10948</x:v>
      </x:c>
      <x:c r="C849" s="2">
        <x:v>12239</x:v>
      </x:c>
      <x:c r="D849" s="2" t="s">
        <x:v>5</x:v>
      </x:c>
      <x:c r="E849" s="2">
        <x:v>0</x:v>
      </x:c>
      <x:c r="F849" s="2">
        <x:v>250</x:v>
      </x:c>
      <x:c r="G849" s="3">
        <x:v>6274.3294100822004</x:v>
      </x:c>
      <x:c r="H849" s="3">
        <x:v>1568582.3525205501</x:v>
      </x:c>
    </x:row>
    <x:row r="850">
      <x:c r="A850" s="2" t="s">
        <x:v>55</x:v>
      </x:c>
      <x:c r="B850" s="2">
        <x:v>10949</x:v>
      </x:c>
      <x:c r="C850" s="2">
        <x:v>12240</x:v>
      </x:c>
      <x:c r="D850" s="2" t="s">
        <x:v>5</x:v>
      </x:c>
      <x:c r="E850" s="2">
        <x:v>0</x:v>
      </x:c>
      <x:c r="F850" s="2">
        <x:v>250</x:v>
      </x:c>
      <x:c r="G850" s="3">
        <x:v>6274.3294100822004</x:v>
      </x:c>
      <x:c r="H850" s="3">
        <x:v>1568582.3525205501</x:v>
      </x:c>
    </x:row>
    <x:row r="851">
      <x:c r="A851" s="2" t="s">
        <x:v>55</x:v>
      </x:c>
      <x:c r="B851" s="2">
        <x:v>10950</x:v>
      </x:c>
      <x:c r="C851" s="2">
        <x:v>12241</x:v>
      </x:c>
      <x:c r="D851" s="2" t="s">
        <x:v>5</x:v>
      </x:c>
      <x:c r="E851" s="2">
        <x:v>0</x:v>
      </x:c>
      <x:c r="F851" s="2">
        <x:v>250</x:v>
      </x:c>
      <x:c r="G851" s="3">
        <x:v>6274.3294100822004</x:v>
      </x:c>
      <x:c r="H851" s="3">
        <x:v>1568582.3525205501</x:v>
      </x:c>
    </x:row>
    <x:row r="852">
      <x:c r="A852" s="2" t="s">
        <x:v>55</x:v>
      </x:c>
      <x:c r="B852" s="2">
        <x:v>10951</x:v>
      </x:c>
      <x:c r="C852" s="2">
        <x:v>12242</x:v>
      </x:c>
      <x:c r="D852" s="2" t="s">
        <x:v>5</x:v>
      </x:c>
      <x:c r="E852" s="2">
        <x:v>0</x:v>
      </x:c>
      <x:c r="F852" s="2">
        <x:v>250</x:v>
      </x:c>
      <x:c r="G852" s="3">
        <x:v>6274.3294100822004</x:v>
      </x:c>
      <x:c r="H852" s="3">
        <x:v>1568582.3525205501</x:v>
      </x:c>
    </x:row>
    <x:row r="853">
      <x:c r="A853" s="2" t="s">
        <x:v>55</x:v>
      </x:c>
      <x:c r="B853" s="2">
        <x:v>10952</x:v>
      </x:c>
      <x:c r="C853" s="2">
        <x:v>12243</x:v>
      </x:c>
      <x:c r="D853" s="2" t="s">
        <x:v>5</x:v>
      </x:c>
      <x:c r="E853" s="2">
        <x:v>0</x:v>
      </x:c>
      <x:c r="F853" s="2">
        <x:v>250</x:v>
      </x:c>
      <x:c r="G853" s="3">
        <x:v>6274.3294100822004</x:v>
      </x:c>
      <x:c r="H853" s="3">
        <x:v>1568582.3525205501</x:v>
      </x:c>
    </x:row>
    <x:row r="854">
      <x:c r="A854" s="2" t="s">
        <x:v>55</x:v>
      </x:c>
      <x:c r="B854" s="2">
        <x:v>10953</x:v>
      </x:c>
      <x:c r="C854" s="2">
        <x:v>12244</x:v>
      </x:c>
      <x:c r="D854" s="2" t="s">
        <x:v>5</x:v>
      </x:c>
      <x:c r="E854" s="2">
        <x:v>0</x:v>
      </x:c>
      <x:c r="F854" s="2">
        <x:v>250</x:v>
      </x:c>
      <x:c r="G854" s="3">
        <x:v>6274.3294100822004</x:v>
      </x:c>
      <x:c r="H854" s="3">
        <x:v>1568582.3525205501</x:v>
      </x:c>
    </x:row>
    <x:row r="855">
      <x:c r="A855" s="2" t="s">
        <x:v>55</x:v>
      </x:c>
      <x:c r="B855" s="2">
        <x:v>10954</x:v>
      </x:c>
      <x:c r="C855" s="2">
        <x:v>12245</x:v>
      </x:c>
      <x:c r="D855" s="2" t="s">
        <x:v>5</x:v>
      </x:c>
      <x:c r="E855" s="2">
        <x:v>0</x:v>
      </x:c>
      <x:c r="F855" s="2">
        <x:v>250</x:v>
      </x:c>
      <x:c r="G855" s="3">
        <x:v>6274.3294100822004</x:v>
      </x:c>
      <x:c r="H855" s="3">
        <x:v>1568582.3525205501</x:v>
      </x:c>
    </x:row>
    <x:row r="856">
      <x:c r="A856" s="2" t="s">
        <x:v>55</x:v>
      </x:c>
      <x:c r="B856" s="2">
        <x:v>10955</x:v>
      </x:c>
      <x:c r="C856" s="2">
        <x:v>12246</x:v>
      </x:c>
      <x:c r="D856" s="2" t="s">
        <x:v>5</x:v>
      </x:c>
      <x:c r="E856" s="2">
        <x:v>0</x:v>
      </x:c>
      <x:c r="F856" s="2">
        <x:v>250</x:v>
      </x:c>
      <x:c r="G856" s="3">
        <x:v>6274.3294100822004</x:v>
      </x:c>
      <x:c r="H856" s="3">
        <x:v>1568582.3525205501</x:v>
      </x:c>
    </x:row>
    <x:row r="857">
      <x:c r="A857" s="2" t="s">
        <x:v>55</x:v>
      </x:c>
      <x:c r="B857" s="2">
        <x:v>10956</x:v>
      </x:c>
      <x:c r="C857" s="2">
        <x:v>12247</x:v>
      </x:c>
      <x:c r="D857" s="2" t="s">
        <x:v>5</x:v>
      </x:c>
      <x:c r="E857" s="2">
        <x:v>0</x:v>
      </x:c>
      <x:c r="F857" s="2">
        <x:v>250</x:v>
      </x:c>
      <x:c r="G857" s="3">
        <x:v>6274.3294100822004</x:v>
      </x:c>
      <x:c r="H857" s="3">
        <x:v>1568582.3525205501</x:v>
      </x:c>
    </x:row>
    <x:row r="858">
      <x:c r="A858" s="2" t="s">
        <x:v>55</x:v>
      </x:c>
      <x:c r="B858" s="2">
        <x:v>10957</x:v>
      </x:c>
      <x:c r="C858" s="2">
        <x:v>12248</x:v>
      </x:c>
      <x:c r="D858" s="2" t="s">
        <x:v>5</x:v>
      </x:c>
      <x:c r="E858" s="2">
        <x:v>0</x:v>
      </x:c>
      <x:c r="F858" s="2">
        <x:v>250</x:v>
      </x:c>
      <x:c r="G858" s="3">
        <x:v>6274.3294100822004</x:v>
      </x:c>
      <x:c r="H858" s="3">
        <x:v>1568582.3525205501</x:v>
      </x:c>
    </x:row>
    <x:row r="859">
      <x:c r="A859" s="2" t="s">
        <x:v>55</x:v>
      </x:c>
      <x:c r="B859" s="2">
        <x:v>10958</x:v>
      </x:c>
      <x:c r="C859" s="2">
        <x:v>12249</x:v>
      </x:c>
      <x:c r="D859" s="2" t="s">
        <x:v>5</x:v>
      </x:c>
      <x:c r="E859" s="2">
        <x:v>0</x:v>
      </x:c>
      <x:c r="F859" s="2">
        <x:v>250</x:v>
      </x:c>
      <x:c r="G859" s="3">
        <x:v>6274.3294100822004</x:v>
      </x:c>
      <x:c r="H859" s="3">
        <x:v>1568582.3525205501</x:v>
      </x:c>
    </x:row>
    <x:row r="860">
      <x:c r="A860" s="2" t="s">
        <x:v>55</x:v>
      </x:c>
      <x:c r="B860" s="2">
        <x:v>10959</x:v>
      </x:c>
      <x:c r="C860" s="2">
        <x:v>12250</x:v>
      </x:c>
      <x:c r="D860" s="2" t="s">
        <x:v>5</x:v>
      </x:c>
      <x:c r="E860" s="2">
        <x:v>0</x:v>
      </x:c>
      <x:c r="F860" s="2">
        <x:v>250</x:v>
      </x:c>
      <x:c r="G860" s="3">
        <x:v>6274.3294100822004</x:v>
      </x:c>
      <x:c r="H860" s="3">
        <x:v>1568582.3525205501</x:v>
      </x:c>
    </x:row>
    <x:row r="861">
      <x:c r="A861" s="2" t="s">
        <x:v>55</x:v>
      </x:c>
      <x:c r="B861" s="2">
        <x:v>10960</x:v>
      </x:c>
      <x:c r="C861" s="2">
        <x:v>12251</x:v>
      </x:c>
      <x:c r="D861" s="2" t="s">
        <x:v>5</x:v>
      </x:c>
      <x:c r="E861" s="2">
        <x:v>0</x:v>
      </x:c>
      <x:c r="F861" s="2">
        <x:v>250</x:v>
      </x:c>
      <x:c r="G861" s="3">
        <x:v>6274.3294100822004</x:v>
      </x:c>
      <x:c r="H861" s="3">
        <x:v>1568582.3525205501</x:v>
      </x:c>
    </x:row>
    <x:row r="862">
      <x:c r="A862" s="2" t="s">
        <x:v>55</x:v>
      </x:c>
      <x:c r="B862" s="2">
        <x:v>10961</x:v>
      </x:c>
      <x:c r="C862" s="2">
        <x:v>12252</x:v>
      </x:c>
      <x:c r="D862" s="2" t="s">
        <x:v>5</x:v>
      </x:c>
      <x:c r="E862" s="2">
        <x:v>0</x:v>
      </x:c>
      <x:c r="F862" s="2">
        <x:v>250</x:v>
      </x:c>
      <x:c r="G862" s="3">
        <x:v>6274.3294100822004</x:v>
      </x:c>
      <x:c r="H862" s="3">
        <x:v>1568582.3525205501</x:v>
      </x:c>
    </x:row>
    <x:row r="863">
      <x:c r="A863" s="2" t="s">
        <x:v>55</x:v>
      </x:c>
      <x:c r="B863" s="2">
        <x:v>10962</x:v>
      </x:c>
      <x:c r="C863" s="2">
        <x:v>12253</x:v>
      </x:c>
      <x:c r="D863" s="2" t="s">
        <x:v>5</x:v>
      </x:c>
      <x:c r="E863" s="2">
        <x:v>0</x:v>
      </x:c>
      <x:c r="F863" s="2">
        <x:v>250</x:v>
      </x:c>
      <x:c r="G863" s="3">
        <x:v>6274.3294100822004</x:v>
      </x:c>
      <x:c r="H863" s="3">
        <x:v>1568582.3525205501</x:v>
      </x:c>
    </x:row>
    <x:row r="864">
      <x:c r="A864" s="2" t="s">
        <x:v>55</x:v>
      </x:c>
      <x:c r="B864" s="2">
        <x:v>10963</x:v>
      </x:c>
      <x:c r="C864" s="2">
        <x:v>12254</x:v>
      </x:c>
      <x:c r="D864" s="2" t="s">
        <x:v>5</x:v>
      </x:c>
      <x:c r="E864" s="2">
        <x:v>0</x:v>
      </x:c>
      <x:c r="F864" s="2">
        <x:v>250</x:v>
      </x:c>
      <x:c r="G864" s="3">
        <x:v>6274.3294100822004</x:v>
      </x:c>
      <x:c r="H864" s="3">
        <x:v>1568582.3525205501</x:v>
      </x:c>
    </x:row>
    <x:row r="865">
      <x:c r="A865" s="2" t="s">
        <x:v>55</x:v>
      </x:c>
      <x:c r="B865" s="2">
        <x:v>10964</x:v>
      </x:c>
      <x:c r="C865" s="2">
        <x:v>12255</x:v>
      </x:c>
      <x:c r="D865" s="2" t="s">
        <x:v>5</x:v>
      </x:c>
      <x:c r="E865" s="2">
        <x:v>0</x:v>
      </x:c>
      <x:c r="F865" s="2">
        <x:v>250</x:v>
      </x:c>
      <x:c r="G865" s="3">
        <x:v>6274.3294100822004</x:v>
      </x:c>
      <x:c r="H865" s="3">
        <x:v>1568582.3525205501</x:v>
      </x:c>
    </x:row>
    <x:row r="866">
      <x:c r="A866" s="2" t="s">
        <x:v>55</x:v>
      </x:c>
      <x:c r="B866" s="2">
        <x:v>10965</x:v>
      </x:c>
      <x:c r="C866" s="2">
        <x:v>12256</x:v>
      </x:c>
      <x:c r="D866" s="2" t="s">
        <x:v>5</x:v>
      </x:c>
      <x:c r="E866" s="2">
        <x:v>0</x:v>
      </x:c>
      <x:c r="F866" s="2">
        <x:v>250</x:v>
      </x:c>
      <x:c r="G866" s="3">
        <x:v>6274.3294100822004</x:v>
      </x:c>
      <x:c r="H866" s="3">
        <x:v>1568582.3525205501</x:v>
      </x:c>
    </x:row>
    <x:row r="867">
      <x:c r="A867" s="2" t="s">
        <x:v>55</x:v>
      </x:c>
      <x:c r="B867" s="2">
        <x:v>10966</x:v>
      </x:c>
      <x:c r="C867" s="2">
        <x:v>12257</x:v>
      </x:c>
      <x:c r="D867" s="2" t="s">
        <x:v>5</x:v>
      </x:c>
      <x:c r="E867" s="2">
        <x:v>0</x:v>
      </x:c>
      <x:c r="F867" s="2">
        <x:v>250</x:v>
      </x:c>
      <x:c r="G867" s="3">
        <x:v>6274.3294100822004</x:v>
      </x:c>
      <x:c r="H867" s="3">
        <x:v>1568582.3525205501</x:v>
      </x:c>
    </x:row>
    <x:row r="868">
      <x:c r="A868" s="2" t="s">
        <x:v>55</x:v>
      </x:c>
      <x:c r="B868" s="2">
        <x:v>10967</x:v>
      </x:c>
      <x:c r="C868" s="2">
        <x:v>12258</x:v>
      </x:c>
      <x:c r="D868" s="2" t="s">
        <x:v>5</x:v>
      </x:c>
      <x:c r="E868" s="2">
        <x:v>0</x:v>
      </x:c>
      <x:c r="F868" s="2">
        <x:v>250</x:v>
      </x:c>
      <x:c r="G868" s="3">
        <x:v>6274.3294100822004</x:v>
      </x:c>
      <x:c r="H868" s="3">
        <x:v>1568582.3525205501</x:v>
      </x:c>
    </x:row>
    <x:row r="869">
      <x:c r="A869" s="2" t="s">
        <x:v>55</x:v>
      </x:c>
      <x:c r="B869" s="2">
        <x:v>10968</x:v>
      </x:c>
      <x:c r="C869" s="2">
        <x:v>12259</x:v>
      </x:c>
      <x:c r="D869" s="2" t="s">
        <x:v>5</x:v>
      </x:c>
      <x:c r="E869" s="2">
        <x:v>0</x:v>
      </x:c>
      <x:c r="F869" s="2">
        <x:v>250</x:v>
      </x:c>
      <x:c r="G869" s="3">
        <x:v>6274.3294100822004</x:v>
      </x:c>
      <x:c r="H869" s="3">
        <x:v>1568582.3525205501</x:v>
      </x:c>
    </x:row>
    <x:row r="870">
      <x:c r="A870" s="2" t="s">
        <x:v>55</x:v>
      </x:c>
      <x:c r="B870" s="2">
        <x:v>10969</x:v>
      </x:c>
      <x:c r="C870" s="2">
        <x:v>12260</x:v>
      </x:c>
      <x:c r="D870" s="2" t="s">
        <x:v>5</x:v>
      </x:c>
      <x:c r="E870" s="2">
        <x:v>0</x:v>
      </x:c>
      <x:c r="F870" s="2">
        <x:v>250</x:v>
      </x:c>
      <x:c r="G870" s="3">
        <x:v>6274.3294100822004</x:v>
      </x:c>
      <x:c r="H870" s="3">
        <x:v>1568582.3525205501</x:v>
      </x:c>
    </x:row>
    <x:row r="871">
      <x:c r="A871" s="2" t="s">
        <x:v>55</x:v>
      </x:c>
      <x:c r="B871" s="2">
        <x:v>10970</x:v>
      </x:c>
      <x:c r="C871" s="2">
        <x:v>12261</x:v>
      </x:c>
      <x:c r="D871" s="2" t="s">
        <x:v>5</x:v>
      </x:c>
      <x:c r="E871" s="2">
        <x:v>0</x:v>
      </x:c>
      <x:c r="F871" s="2">
        <x:v>250</x:v>
      </x:c>
      <x:c r="G871" s="3">
        <x:v>6274.3294100822004</x:v>
      </x:c>
      <x:c r="H871" s="3">
        <x:v>1568582.3525205501</x:v>
      </x:c>
    </x:row>
    <x:row r="872">
      <x:c r="A872" s="2" t="s">
        <x:v>55</x:v>
      </x:c>
      <x:c r="B872" s="2">
        <x:v>10971</x:v>
      </x:c>
      <x:c r="C872" s="2">
        <x:v>12262</x:v>
      </x:c>
      <x:c r="D872" s="2" t="s">
        <x:v>5</x:v>
      </x:c>
      <x:c r="E872" s="2">
        <x:v>0</x:v>
      </x:c>
      <x:c r="F872" s="2">
        <x:v>250</x:v>
      </x:c>
      <x:c r="G872" s="3">
        <x:v>6274.3294100822004</x:v>
      </x:c>
      <x:c r="H872" s="3">
        <x:v>1568582.3525205501</x:v>
      </x:c>
    </x:row>
    <x:row r="873">
      <x:c r="A873" s="2" t="s">
        <x:v>55</x:v>
      </x:c>
      <x:c r="B873" s="2">
        <x:v>10972</x:v>
      </x:c>
      <x:c r="C873" s="2">
        <x:v>12263</x:v>
      </x:c>
      <x:c r="D873" s="2" t="s">
        <x:v>5</x:v>
      </x:c>
      <x:c r="E873" s="2">
        <x:v>0</x:v>
      </x:c>
      <x:c r="F873" s="2">
        <x:v>250</x:v>
      </x:c>
      <x:c r="G873" s="3">
        <x:v>6274.3294100822004</x:v>
      </x:c>
      <x:c r="H873" s="3">
        <x:v>1568582.3525205501</x:v>
      </x:c>
    </x:row>
    <x:row r="874">
      <x:c r="A874" s="2" t="s">
        <x:v>55</x:v>
      </x:c>
      <x:c r="B874" s="2">
        <x:v>10973</x:v>
      </x:c>
      <x:c r="C874" s="2">
        <x:v>12264</x:v>
      </x:c>
      <x:c r="D874" s="2" t="s">
        <x:v>5</x:v>
      </x:c>
      <x:c r="E874" s="2">
        <x:v>0</x:v>
      </x:c>
      <x:c r="F874" s="2">
        <x:v>250</x:v>
      </x:c>
      <x:c r="G874" s="3">
        <x:v>6274.3294100822004</x:v>
      </x:c>
      <x:c r="H874" s="3">
        <x:v>1568582.3525205501</x:v>
      </x:c>
    </x:row>
    <x:row r="875">
      <x:c r="A875" s="2" t="s">
        <x:v>55</x:v>
      </x:c>
      <x:c r="B875" s="2">
        <x:v>10974</x:v>
      </x:c>
      <x:c r="C875" s="2">
        <x:v>12265</x:v>
      </x:c>
      <x:c r="D875" s="2" t="s">
        <x:v>5</x:v>
      </x:c>
      <x:c r="E875" s="2">
        <x:v>0</x:v>
      </x:c>
      <x:c r="F875" s="2">
        <x:v>250</x:v>
      </x:c>
      <x:c r="G875" s="3">
        <x:v>6274.3294100822004</x:v>
      </x:c>
      <x:c r="H875" s="3">
        <x:v>1568582.3525205501</x:v>
      </x:c>
    </x:row>
    <x:row r="876">
      <x:c r="A876" s="2" t="s">
        <x:v>55</x:v>
      </x:c>
      <x:c r="B876" s="2">
        <x:v>10975</x:v>
      </x:c>
      <x:c r="C876" s="2">
        <x:v>12266</x:v>
      </x:c>
      <x:c r="D876" s="2" t="s">
        <x:v>5</x:v>
      </x:c>
      <x:c r="E876" s="2">
        <x:v>0</x:v>
      </x:c>
      <x:c r="F876" s="2">
        <x:v>250</x:v>
      </x:c>
      <x:c r="G876" s="3">
        <x:v>6274.3294100822004</x:v>
      </x:c>
      <x:c r="H876" s="3">
        <x:v>1568582.3525205501</x:v>
      </x:c>
    </x:row>
    <x:row r="877">
      <x:c r="A877" s="2" t="s">
        <x:v>55</x:v>
      </x:c>
      <x:c r="B877" s="2">
        <x:v>10976</x:v>
      </x:c>
      <x:c r="C877" s="2">
        <x:v>12267</x:v>
      </x:c>
      <x:c r="D877" s="2" t="s">
        <x:v>5</x:v>
      </x:c>
      <x:c r="E877" s="2">
        <x:v>0</x:v>
      </x:c>
      <x:c r="F877" s="2">
        <x:v>250</x:v>
      </x:c>
      <x:c r="G877" s="3">
        <x:v>6274.3294100822004</x:v>
      </x:c>
      <x:c r="H877" s="3">
        <x:v>1568582.3525205501</x:v>
      </x:c>
    </x:row>
    <x:row r="878">
      <x:c r="A878" s="2" t="s">
        <x:v>55</x:v>
      </x:c>
      <x:c r="B878" s="2">
        <x:v>10977</x:v>
      </x:c>
      <x:c r="C878" s="2">
        <x:v>12268</x:v>
      </x:c>
      <x:c r="D878" s="2" t="s">
        <x:v>5</x:v>
      </x:c>
      <x:c r="E878" s="2">
        <x:v>0</x:v>
      </x:c>
      <x:c r="F878" s="2">
        <x:v>250</x:v>
      </x:c>
      <x:c r="G878" s="3">
        <x:v>6274.3294100822004</x:v>
      </x:c>
      <x:c r="H878" s="3">
        <x:v>1568582.3525205501</x:v>
      </x:c>
    </x:row>
    <x:row r="879">
      <x:c r="A879" s="2" t="s">
        <x:v>55</x:v>
      </x:c>
      <x:c r="B879" s="2">
        <x:v>10978</x:v>
      </x:c>
      <x:c r="C879" s="2">
        <x:v>12269</x:v>
      </x:c>
      <x:c r="D879" s="2" t="s">
        <x:v>5</x:v>
      </x:c>
      <x:c r="E879" s="2">
        <x:v>0</x:v>
      </x:c>
      <x:c r="F879" s="2">
        <x:v>250</x:v>
      </x:c>
      <x:c r="G879" s="3">
        <x:v>6274.3294100822004</x:v>
      </x:c>
      <x:c r="H879" s="3">
        <x:v>1568582.3525205501</x:v>
      </x:c>
    </x:row>
    <x:row r="880">
      <x:c r="A880" s="2" t="s">
        <x:v>55</x:v>
      </x:c>
      <x:c r="B880" s="2">
        <x:v>10979</x:v>
      </x:c>
      <x:c r="C880" s="2">
        <x:v>12270</x:v>
      </x:c>
      <x:c r="D880" s="2" t="s">
        <x:v>5</x:v>
      </x:c>
      <x:c r="E880" s="2">
        <x:v>0</x:v>
      </x:c>
      <x:c r="F880" s="2">
        <x:v>250</x:v>
      </x:c>
      <x:c r="G880" s="3">
        <x:v>6274.3294100822004</x:v>
      </x:c>
      <x:c r="H880" s="3">
        <x:v>1568582.3525205501</x:v>
      </x:c>
    </x:row>
    <x:row r="881">
      <x:c r="A881" s="2" t="s">
        <x:v>55</x:v>
      </x:c>
      <x:c r="B881" s="2">
        <x:v>10980</x:v>
      </x:c>
      <x:c r="C881" s="2">
        <x:v>12271</x:v>
      </x:c>
      <x:c r="D881" s="2" t="s">
        <x:v>5</x:v>
      </x:c>
      <x:c r="E881" s="2">
        <x:v>0</x:v>
      </x:c>
      <x:c r="F881" s="2">
        <x:v>250</x:v>
      </x:c>
      <x:c r="G881" s="3">
        <x:v>6274.3294100822004</x:v>
      </x:c>
      <x:c r="H881" s="3">
        <x:v>1568582.3525205501</x:v>
      </x:c>
    </x:row>
    <x:row r="882">
      <x:c r="A882" s="2" t="s">
        <x:v>55</x:v>
      </x:c>
      <x:c r="B882" s="2">
        <x:v>10981</x:v>
      </x:c>
      <x:c r="C882" s="2">
        <x:v>12272</x:v>
      </x:c>
      <x:c r="D882" s="2" t="s">
        <x:v>5</x:v>
      </x:c>
      <x:c r="E882" s="2">
        <x:v>0</x:v>
      </x:c>
      <x:c r="F882" s="2">
        <x:v>250</x:v>
      </x:c>
      <x:c r="G882" s="3">
        <x:v>6274.3294100822004</x:v>
      </x:c>
      <x:c r="H882" s="3">
        <x:v>1568582.3525205501</x:v>
      </x:c>
    </x:row>
    <x:row r="883">
      <x:c r="A883" s="2" t="s">
        <x:v>55</x:v>
      </x:c>
      <x:c r="B883" s="2">
        <x:v>10982</x:v>
      </x:c>
      <x:c r="C883" s="2">
        <x:v>12273</x:v>
      </x:c>
      <x:c r="D883" s="2" t="s">
        <x:v>5</x:v>
      </x:c>
      <x:c r="E883" s="2">
        <x:v>0</x:v>
      </x:c>
      <x:c r="F883" s="2">
        <x:v>250</x:v>
      </x:c>
      <x:c r="G883" s="3">
        <x:v>6274.3294100822004</x:v>
      </x:c>
      <x:c r="H883" s="3">
        <x:v>1568582.3525205501</x:v>
      </x:c>
    </x:row>
    <x:row r="884">
      <x:c r="A884" s="2" t="s">
        <x:v>55</x:v>
      </x:c>
      <x:c r="B884" s="2">
        <x:v>10983</x:v>
      </x:c>
      <x:c r="C884" s="2">
        <x:v>12274</x:v>
      </x:c>
      <x:c r="D884" s="2" t="s">
        <x:v>5</x:v>
      </x:c>
      <x:c r="E884" s="2">
        <x:v>0</x:v>
      </x:c>
      <x:c r="F884" s="2">
        <x:v>250</x:v>
      </x:c>
      <x:c r="G884" s="3">
        <x:v>6274.3294100822004</x:v>
      </x:c>
      <x:c r="H884" s="3">
        <x:v>1568582.3525205501</x:v>
      </x:c>
    </x:row>
    <x:row r="885">
      <x:c r="A885" s="2" t="s">
        <x:v>55</x:v>
      </x:c>
      <x:c r="B885" s="2">
        <x:v>10984</x:v>
      </x:c>
      <x:c r="C885" s="2">
        <x:v>12275</x:v>
      </x:c>
      <x:c r="D885" s="2" t="s">
        <x:v>5</x:v>
      </x:c>
      <x:c r="E885" s="2">
        <x:v>0</x:v>
      </x:c>
      <x:c r="F885" s="2">
        <x:v>250</x:v>
      </x:c>
      <x:c r="G885" s="3">
        <x:v>6274.3294100822004</x:v>
      </x:c>
      <x:c r="H885" s="3">
        <x:v>1568582.3525205501</x:v>
      </x:c>
    </x:row>
    <x:row r="886">
      <x:c r="A886" s="2" t="s">
        <x:v>55</x:v>
      </x:c>
      <x:c r="B886" s="2">
        <x:v>10985</x:v>
      </x:c>
      <x:c r="C886" s="2">
        <x:v>12276</x:v>
      </x:c>
      <x:c r="D886" s="2" t="s">
        <x:v>5</x:v>
      </x:c>
      <x:c r="E886" s="2">
        <x:v>0</x:v>
      </x:c>
      <x:c r="F886" s="2">
        <x:v>250</x:v>
      </x:c>
      <x:c r="G886" s="3">
        <x:v>6274.3294100822004</x:v>
      </x:c>
      <x:c r="H886" s="3">
        <x:v>1568582.3525205501</x:v>
      </x:c>
    </x:row>
    <x:row r="887">
      <x:c r="A887" s="2" t="s">
        <x:v>55</x:v>
      </x:c>
      <x:c r="B887" s="2">
        <x:v>10986</x:v>
      </x:c>
      <x:c r="C887" s="2">
        <x:v>12277</x:v>
      </x:c>
      <x:c r="D887" s="2" t="s">
        <x:v>5</x:v>
      </x:c>
      <x:c r="E887" s="2">
        <x:v>0</x:v>
      </x:c>
      <x:c r="F887" s="2">
        <x:v>250</x:v>
      </x:c>
      <x:c r="G887" s="3">
        <x:v>6274.3294100822004</x:v>
      </x:c>
      <x:c r="H887" s="3">
        <x:v>1568582.3525205501</x:v>
      </x:c>
    </x:row>
    <x:row r="888">
      <x:c r="A888" s="2" t="s">
        <x:v>55</x:v>
      </x:c>
      <x:c r="B888" s="2">
        <x:v>10987</x:v>
      </x:c>
      <x:c r="C888" s="2">
        <x:v>12278</x:v>
      </x:c>
      <x:c r="D888" s="2" t="s">
        <x:v>5</x:v>
      </x:c>
      <x:c r="E888" s="2">
        <x:v>0</x:v>
      </x:c>
      <x:c r="F888" s="2">
        <x:v>250</x:v>
      </x:c>
      <x:c r="G888" s="3">
        <x:v>6274.3294100822004</x:v>
      </x:c>
      <x:c r="H888" s="3">
        <x:v>1568582.3525205501</x:v>
      </x:c>
    </x:row>
    <x:row r="889">
      <x:c r="A889" s="2" t="s">
        <x:v>55</x:v>
      </x:c>
      <x:c r="B889" s="2">
        <x:v>10988</x:v>
      </x:c>
      <x:c r="C889" s="2">
        <x:v>12279</x:v>
      </x:c>
      <x:c r="D889" s="2" t="s">
        <x:v>5</x:v>
      </x:c>
      <x:c r="E889" s="2">
        <x:v>0</x:v>
      </x:c>
      <x:c r="F889" s="2">
        <x:v>250</x:v>
      </x:c>
      <x:c r="G889" s="3">
        <x:v>6274.3294100822004</x:v>
      </x:c>
      <x:c r="H889" s="3">
        <x:v>1568582.3525205501</x:v>
      </x:c>
    </x:row>
    <x:row r="890">
      <x:c r="A890" s="2" t="s">
        <x:v>55</x:v>
      </x:c>
      <x:c r="B890" s="2">
        <x:v>10989</x:v>
      </x:c>
      <x:c r="C890" s="2">
        <x:v>12280</x:v>
      </x:c>
      <x:c r="D890" s="2" t="s">
        <x:v>5</x:v>
      </x:c>
      <x:c r="E890" s="2">
        <x:v>0</x:v>
      </x:c>
      <x:c r="F890" s="2">
        <x:v>250</x:v>
      </x:c>
      <x:c r="G890" s="3">
        <x:v>6274.3294100822004</x:v>
      </x:c>
      <x:c r="H890" s="3">
        <x:v>1568582.3525205501</x:v>
      </x:c>
    </x:row>
    <x:row r="891">
      <x:c r="A891" s="2" t="s">
        <x:v>55</x:v>
      </x:c>
      <x:c r="B891" s="2">
        <x:v>10990</x:v>
      </x:c>
      <x:c r="C891" s="2">
        <x:v>12281</x:v>
      </x:c>
      <x:c r="D891" s="2" t="s">
        <x:v>5</x:v>
      </x:c>
      <x:c r="E891" s="2">
        <x:v>0</x:v>
      </x:c>
      <x:c r="F891" s="2">
        <x:v>250</x:v>
      </x:c>
      <x:c r="G891" s="3">
        <x:v>6274.3294100822004</x:v>
      </x:c>
      <x:c r="H891" s="3">
        <x:v>1568582.3525205501</x:v>
      </x:c>
    </x:row>
    <x:row r="892">
      <x:c r="A892" s="2" t="s">
        <x:v>55</x:v>
      </x:c>
      <x:c r="B892" s="2">
        <x:v>10991</x:v>
      </x:c>
      <x:c r="C892" s="2">
        <x:v>12282</x:v>
      </x:c>
      <x:c r="D892" s="2" t="s">
        <x:v>5</x:v>
      </x:c>
      <x:c r="E892" s="2">
        <x:v>0</x:v>
      </x:c>
      <x:c r="F892" s="2">
        <x:v>250</x:v>
      </x:c>
      <x:c r="G892" s="3">
        <x:v>6274.3294100822004</x:v>
      </x:c>
      <x:c r="H892" s="3">
        <x:v>1568582.3525205501</x:v>
      </x:c>
    </x:row>
    <x:row r="893">
      <x:c r="A893" s="2" t="s">
        <x:v>55</x:v>
      </x:c>
      <x:c r="B893" s="2">
        <x:v>10992</x:v>
      </x:c>
      <x:c r="C893" s="2">
        <x:v>12283</x:v>
      </x:c>
      <x:c r="D893" s="2" t="s">
        <x:v>5</x:v>
      </x:c>
      <x:c r="E893" s="2">
        <x:v>0</x:v>
      </x:c>
      <x:c r="F893" s="2">
        <x:v>250</x:v>
      </x:c>
      <x:c r="G893" s="3">
        <x:v>6274.3294100822004</x:v>
      </x:c>
      <x:c r="H893" s="3">
        <x:v>1568582.3525205501</x:v>
      </x:c>
    </x:row>
    <x:row r="894">
      <x:c r="A894" s="2" t="s">
        <x:v>55</x:v>
      </x:c>
      <x:c r="B894" s="2">
        <x:v>10993</x:v>
      </x:c>
      <x:c r="C894" s="2">
        <x:v>12284</x:v>
      </x:c>
      <x:c r="D894" s="2" t="s">
        <x:v>5</x:v>
      </x:c>
      <x:c r="E894" s="2">
        <x:v>0</x:v>
      </x:c>
      <x:c r="F894" s="2">
        <x:v>250</x:v>
      </x:c>
      <x:c r="G894" s="3">
        <x:v>6274.3294100822004</x:v>
      </x:c>
      <x:c r="H894" s="3">
        <x:v>1568582.3525205501</x:v>
      </x:c>
    </x:row>
    <x:row r="895">
      <x:c r="A895" s="2" t="s">
        <x:v>55</x:v>
      </x:c>
      <x:c r="B895" s="2">
        <x:v>10994</x:v>
      </x:c>
      <x:c r="C895" s="2">
        <x:v>12285</x:v>
      </x:c>
      <x:c r="D895" s="2" t="s">
        <x:v>5</x:v>
      </x:c>
      <x:c r="E895" s="2">
        <x:v>0</x:v>
      </x:c>
      <x:c r="F895" s="2">
        <x:v>250</x:v>
      </x:c>
      <x:c r="G895" s="3">
        <x:v>6274.3294100822004</x:v>
      </x:c>
      <x:c r="H895" s="3">
        <x:v>1568582.3525205501</x:v>
      </x:c>
    </x:row>
    <x:row r="896">
      <x:c r="A896" s="2" t="s">
        <x:v>55</x:v>
      </x:c>
      <x:c r="B896" s="2">
        <x:v>10995</x:v>
      </x:c>
      <x:c r="C896" s="2">
        <x:v>12286</x:v>
      </x:c>
      <x:c r="D896" s="2" t="s">
        <x:v>5</x:v>
      </x:c>
      <x:c r="E896" s="2">
        <x:v>0</x:v>
      </x:c>
      <x:c r="F896" s="2">
        <x:v>250</x:v>
      </x:c>
      <x:c r="G896" s="3">
        <x:v>6274.3294100822004</x:v>
      </x:c>
      <x:c r="H896" s="3">
        <x:v>1568582.3525205501</x:v>
      </x:c>
    </x:row>
    <x:row r="897">
      <x:c r="A897" s="2" t="s">
        <x:v>55</x:v>
      </x:c>
      <x:c r="B897" s="2">
        <x:v>10996</x:v>
      </x:c>
      <x:c r="C897" s="2">
        <x:v>12287</x:v>
      </x:c>
      <x:c r="D897" s="2" t="s">
        <x:v>5</x:v>
      </x:c>
      <x:c r="E897" s="2">
        <x:v>0</x:v>
      </x:c>
      <x:c r="F897" s="2">
        <x:v>250</x:v>
      </x:c>
      <x:c r="G897" s="3">
        <x:v>6274.3294100822004</x:v>
      </x:c>
      <x:c r="H897" s="3">
        <x:v>1568582.3525205501</x:v>
      </x:c>
    </x:row>
    <x:row r="898">
      <x:c r="A898" s="2" t="s">
        <x:v>55</x:v>
      </x:c>
      <x:c r="B898" s="2">
        <x:v>10997</x:v>
      </x:c>
      <x:c r="C898" s="2">
        <x:v>12288</x:v>
      </x:c>
      <x:c r="D898" s="2" t="s">
        <x:v>5</x:v>
      </x:c>
      <x:c r="E898" s="2">
        <x:v>0</x:v>
      </x:c>
      <x:c r="F898" s="2">
        <x:v>250</x:v>
      </x:c>
      <x:c r="G898" s="3">
        <x:v>6274.3294100822004</x:v>
      </x:c>
      <x:c r="H898" s="3">
        <x:v>1568582.3525205501</x:v>
      </x:c>
    </x:row>
    <x:row r="899">
      <x:c r="A899" s="2" t="s">
        <x:v>55</x:v>
      </x:c>
      <x:c r="B899" s="2">
        <x:v>10998</x:v>
      </x:c>
      <x:c r="C899" s="2">
        <x:v>12289</x:v>
      </x:c>
      <x:c r="D899" s="2" t="s">
        <x:v>5</x:v>
      </x:c>
      <x:c r="E899" s="2">
        <x:v>0</x:v>
      </x:c>
      <x:c r="F899" s="2">
        <x:v>250</x:v>
      </x:c>
      <x:c r="G899" s="3">
        <x:v>6274.3294100822004</x:v>
      </x:c>
      <x:c r="H899" s="3">
        <x:v>1568582.3525205501</x:v>
      </x:c>
    </x:row>
    <x:row r="900">
      <x:c r="A900" s="2" t="s">
        <x:v>55</x:v>
      </x:c>
      <x:c r="B900" s="2">
        <x:v>10999</x:v>
      </x:c>
      <x:c r="C900" s="2">
        <x:v>12290</x:v>
      </x:c>
      <x:c r="D900" s="2" t="s">
        <x:v>5</x:v>
      </x:c>
      <x:c r="E900" s="2">
        <x:v>0</x:v>
      </x:c>
      <x:c r="F900" s="2">
        <x:v>250</x:v>
      </x:c>
      <x:c r="G900" s="3">
        <x:v>6274.3294100822004</x:v>
      </x:c>
      <x:c r="H900" s="3">
        <x:v>1568582.3525205501</x:v>
      </x:c>
    </x:row>
    <x:row r="901">
      <x:c r="A901" s="2" t="s">
        <x:v>55</x:v>
      </x:c>
      <x:c r="B901" s="2">
        <x:v>11000</x:v>
      </x:c>
      <x:c r="C901" s="2">
        <x:v>12291</x:v>
      </x:c>
      <x:c r="D901" s="2" t="s">
        <x:v>5</x:v>
      </x:c>
      <x:c r="E901" s="2">
        <x:v>0</x:v>
      </x:c>
      <x:c r="F901" s="2">
        <x:v>250</x:v>
      </x:c>
      <x:c r="G901" s="3">
        <x:v>6274.3294100822004</x:v>
      </x:c>
      <x:c r="H901" s="3">
        <x:v>1568582.3525205501</x:v>
      </x:c>
    </x:row>
    <x:row r="902">
      <x:c r="A902" s="2" t="s">
        <x:v>55</x:v>
      </x:c>
      <x:c r="B902" s="2">
        <x:v>11001</x:v>
      </x:c>
      <x:c r="C902" s="2">
        <x:v>12292</x:v>
      </x:c>
      <x:c r="D902" s="2" t="s">
        <x:v>5</x:v>
      </x:c>
      <x:c r="E902" s="2">
        <x:v>0</x:v>
      </x:c>
      <x:c r="F902" s="2">
        <x:v>250</x:v>
      </x:c>
      <x:c r="G902" s="3">
        <x:v>6274.3294100822004</x:v>
      </x:c>
      <x:c r="H902" s="3">
        <x:v>1568582.3525205501</x:v>
      </x:c>
    </x:row>
    <x:row r="903">
      <x:c r="A903" s="2" t="s">
        <x:v>55</x:v>
      </x:c>
      <x:c r="B903" s="2">
        <x:v>11002</x:v>
      </x:c>
      <x:c r="C903" s="2">
        <x:v>12293</x:v>
      </x:c>
      <x:c r="D903" s="2" t="s">
        <x:v>5</x:v>
      </x:c>
      <x:c r="E903" s="2">
        <x:v>0</x:v>
      </x:c>
      <x:c r="F903" s="2">
        <x:v>250</x:v>
      </x:c>
      <x:c r="G903" s="3">
        <x:v>6274.3294100822004</x:v>
      </x:c>
      <x:c r="H903" s="3">
        <x:v>1568582.3525205501</x:v>
      </x:c>
    </x:row>
    <x:row r="904">
      <x:c r="A904" s="2" t="s">
        <x:v>55</x:v>
      </x:c>
      <x:c r="B904" s="2">
        <x:v>11003</x:v>
      </x:c>
      <x:c r="C904" s="2">
        <x:v>12294</x:v>
      </x:c>
      <x:c r="D904" s="2" t="s">
        <x:v>5</x:v>
      </x:c>
      <x:c r="E904" s="2">
        <x:v>0</x:v>
      </x:c>
      <x:c r="F904" s="2">
        <x:v>250</x:v>
      </x:c>
      <x:c r="G904" s="3">
        <x:v>6274.3294100822004</x:v>
      </x:c>
      <x:c r="H904" s="3">
        <x:v>1568582.3525205501</x:v>
      </x:c>
    </x:row>
    <x:row r="905">
      <x:c r="A905" s="2" t="s">
        <x:v>55</x:v>
      </x:c>
      <x:c r="B905" s="2">
        <x:v>11004</x:v>
      </x:c>
      <x:c r="C905" s="2">
        <x:v>12295</x:v>
      </x:c>
      <x:c r="D905" s="2" t="s">
        <x:v>5</x:v>
      </x:c>
      <x:c r="E905" s="2">
        <x:v>0</x:v>
      </x:c>
      <x:c r="F905" s="2">
        <x:v>250</x:v>
      </x:c>
      <x:c r="G905" s="3">
        <x:v>6274.3294100822004</x:v>
      </x:c>
      <x:c r="H905" s="3">
        <x:v>1568582.3525205501</x:v>
      </x:c>
    </x:row>
    <x:row r="906">
      <x:c r="A906" s="2" t="s">
        <x:v>55</x:v>
      </x:c>
      <x:c r="B906" s="2">
        <x:v>11005</x:v>
      </x:c>
      <x:c r="C906" s="2">
        <x:v>12296</x:v>
      </x:c>
      <x:c r="D906" s="2" t="s">
        <x:v>5</x:v>
      </x:c>
      <x:c r="E906" s="2">
        <x:v>0</x:v>
      </x:c>
      <x:c r="F906" s="2">
        <x:v>250</x:v>
      </x:c>
      <x:c r="G906" s="3">
        <x:v>6274.3294100822004</x:v>
      </x:c>
      <x:c r="H906" s="3">
        <x:v>1568582.3525205501</x:v>
      </x:c>
    </x:row>
    <x:row r="907">
      <x:c r="A907" s="2" t="s">
        <x:v>55</x:v>
      </x:c>
      <x:c r="B907" s="2">
        <x:v>11006</x:v>
      </x:c>
      <x:c r="C907" s="2">
        <x:v>12297</x:v>
      </x:c>
      <x:c r="D907" s="2" t="s">
        <x:v>5</x:v>
      </x:c>
      <x:c r="E907" s="2">
        <x:v>0</x:v>
      </x:c>
      <x:c r="F907" s="2">
        <x:v>250</x:v>
      </x:c>
      <x:c r="G907" s="3">
        <x:v>6274.3294100822004</x:v>
      </x:c>
      <x:c r="H907" s="3">
        <x:v>1568582.3525205501</x:v>
      </x:c>
    </x:row>
    <x:row r="908">
      <x:c r="A908" s="2" t="s">
        <x:v>55</x:v>
      </x:c>
      <x:c r="B908" s="2">
        <x:v>11007</x:v>
      </x:c>
      <x:c r="C908" s="2">
        <x:v>12298</x:v>
      </x:c>
      <x:c r="D908" s="2" t="s">
        <x:v>5</x:v>
      </x:c>
      <x:c r="E908" s="2">
        <x:v>0</x:v>
      </x:c>
      <x:c r="F908" s="2">
        <x:v>250</x:v>
      </x:c>
      <x:c r="G908" s="3">
        <x:v>6274.3294100822004</x:v>
      </x:c>
      <x:c r="H908" s="3">
        <x:v>1568582.3525205501</x:v>
      </x:c>
    </x:row>
    <x:row r="909">
      <x:c r="A909" s="2" t="s">
        <x:v>55</x:v>
      </x:c>
      <x:c r="B909" s="2">
        <x:v>11008</x:v>
      </x:c>
      <x:c r="C909" s="2">
        <x:v>12299</x:v>
      </x:c>
      <x:c r="D909" s="2" t="s">
        <x:v>5</x:v>
      </x:c>
      <x:c r="E909" s="2">
        <x:v>0</x:v>
      </x:c>
      <x:c r="F909" s="2">
        <x:v>250</x:v>
      </x:c>
      <x:c r="G909" s="3">
        <x:v>6274.3294100822004</x:v>
      </x:c>
      <x:c r="H909" s="3">
        <x:v>1568582.3525205501</x:v>
      </x:c>
    </x:row>
    <x:row r="910">
      <x:c r="A910" s="2" t="s">
        <x:v>55</x:v>
      </x:c>
      <x:c r="B910" s="2">
        <x:v>11009</x:v>
      </x:c>
      <x:c r="C910" s="2">
        <x:v>12300</x:v>
      </x:c>
      <x:c r="D910" s="2" t="s">
        <x:v>5</x:v>
      </x:c>
      <x:c r="E910" s="2">
        <x:v>0</x:v>
      </x:c>
      <x:c r="F910" s="2">
        <x:v>250</x:v>
      </x:c>
      <x:c r="G910" s="3">
        <x:v>6274.3294100822004</x:v>
      </x:c>
      <x:c r="H910" s="3">
        <x:v>1568582.3525205501</x:v>
      </x:c>
    </x:row>
    <x:row r="911">
      <x:c r="A911" s="2" t="s">
        <x:v>55</x:v>
      </x:c>
      <x:c r="B911" s="2">
        <x:v>11010</x:v>
      </x:c>
      <x:c r="C911" s="2">
        <x:v>12301</x:v>
      </x:c>
      <x:c r="D911" s="2" t="s">
        <x:v>5</x:v>
      </x:c>
      <x:c r="E911" s="2">
        <x:v>0</x:v>
      </x:c>
      <x:c r="F911" s="2">
        <x:v>250</x:v>
      </x:c>
      <x:c r="G911" s="3">
        <x:v>6274.3294100822004</x:v>
      </x:c>
      <x:c r="H911" s="3">
        <x:v>1568582.3525205501</x:v>
      </x:c>
    </x:row>
    <x:row r="912">
      <x:c r="A912" s="2" t="s">
        <x:v>55</x:v>
      </x:c>
      <x:c r="B912" s="2">
        <x:v>11011</x:v>
      </x:c>
      <x:c r="C912" s="2">
        <x:v>12302</x:v>
      </x:c>
      <x:c r="D912" s="2" t="s">
        <x:v>5</x:v>
      </x:c>
      <x:c r="E912" s="2">
        <x:v>0</x:v>
      </x:c>
      <x:c r="F912" s="2">
        <x:v>250</x:v>
      </x:c>
      <x:c r="G912" s="3">
        <x:v>6274.3294100822004</x:v>
      </x:c>
      <x:c r="H912" s="3">
        <x:v>1568582.3525205501</x:v>
      </x:c>
    </x:row>
    <x:row r="913">
      <x:c r="A913" s="2" t="s">
        <x:v>55</x:v>
      </x:c>
      <x:c r="B913" s="2">
        <x:v>11012</x:v>
      </x:c>
      <x:c r="C913" s="2">
        <x:v>12303</x:v>
      </x:c>
      <x:c r="D913" s="2" t="s">
        <x:v>5</x:v>
      </x:c>
      <x:c r="E913" s="2">
        <x:v>0</x:v>
      </x:c>
      <x:c r="F913" s="2">
        <x:v>250</x:v>
      </x:c>
      <x:c r="G913" s="3">
        <x:v>6274.3294100822004</x:v>
      </x:c>
      <x:c r="H913" s="3">
        <x:v>1568582.3525205501</x:v>
      </x:c>
    </x:row>
    <x:row r="914">
      <x:c r="A914" s="2" t="s">
        <x:v>55</x:v>
      </x:c>
      <x:c r="B914" s="2">
        <x:v>11013</x:v>
      </x:c>
      <x:c r="C914" s="2">
        <x:v>12304</x:v>
      </x:c>
      <x:c r="D914" s="2" t="s">
        <x:v>5</x:v>
      </x:c>
      <x:c r="E914" s="2">
        <x:v>0</x:v>
      </x:c>
      <x:c r="F914" s="2">
        <x:v>250</x:v>
      </x:c>
      <x:c r="G914" s="3">
        <x:v>6274.3294100822004</x:v>
      </x:c>
      <x:c r="H914" s="3">
        <x:v>1568582.3525205501</x:v>
      </x:c>
    </x:row>
    <x:row r="915">
      <x:c r="A915" s="2" t="s">
        <x:v>55</x:v>
      </x:c>
      <x:c r="B915" s="2">
        <x:v>11014</x:v>
      </x:c>
      <x:c r="C915" s="2">
        <x:v>12305</x:v>
      </x:c>
      <x:c r="D915" s="2" t="s">
        <x:v>5</x:v>
      </x:c>
      <x:c r="E915" s="2">
        <x:v>0</x:v>
      </x:c>
      <x:c r="F915" s="2">
        <x:v>250</x:v>
      </x:c>
      <x:c r="G915" s="3">
        <x:v>6274.3294100822004</x:v>
      </x:c>
      <x:c r="H915" s="3">
        <x:v>1568582.3525205501</x:v>
      </x:c>
    </x:row>
    <x:row r="916">
      <x:c r="A916" s="2" t="s">
        <x:v>55</x:v>
      </x:c>
      <x:c r="B916" s="2">
        <x:v>11015</x:v>
      </x:c>
      <x:c r="C916" s="2">
        <x:v>12306</x:v>
      </x:c>
      <x:c r="D916" s="2" t="s">
        <x:v>5</x:v>
      </x:c>
      <x:c r="E916" s="2">
        <x:v>0</x:v>
      </x:c>
      <x:c r="F916" s="2">
        <x:v>250</x:v>
      </x:c>
      <x:c r="G916" s="3">
        <x:v>6274.3294100822004</x:v>
      </x:c>
      <x:c r="H916" s="3">
        <x:v>1568582.3525205501</x:v>
      </x:c>
    </x:row>
    <x:row r="917">
      <x:c r="A917" s="2" t="s">
        <x:v>55</x:v>
      </x:c>
      <x:c r="B917" s="2">
        <x:v>11016</x:v>
      </x:c>
      <x:c r="C917" s="2">
        <x:v>12307</x:v>
      </x:c>
      <x:c r="D917" s="2" t="s">
        <x:v>5</x:v>
      </x:c>
      <x:c r="E917" s="2">
        <x:v>0</x:v>
      </x:c>
      <x:c r="F917" s="2">
        <x:v>250</x:v>
      </x:c>
      <x:c r="G917" s="3">
        <x:v>6274.3294100822004</x:v>
      </x:c>
      <x:c r="H917" s="3">
        <x:v>1568582.3525205501</x:v>
      </x:c>
    </x:row>
    <x:row r="918">
      <x:c r="A918" s="2" t="s">
        <x:v>55</x:v>
      </x:c>
      <x:c r="B918" s="2">
        <x:v>11017</x:v>
      </x:c>
      <x:c r="C918" s="2">
        <x:v>12308</x:v>
      </x:c>
      <x:c r="D918" s="2" t="s">
        <x:v>5</x:v>
      </x:c>
      <x:c r="E918" s="2">
        <x:v>0</x:v>
      </x:c>
      <x:c r="F918" s="2">
        <x:v>250</x:v>
      </x:c>
      <x:c r="G918" s="3">
        <x:v>6274.3294100822004</x:v>
      </x:c>
      <x:c r="H918" s="3">
        <x:v>1568582.3525205501</x:v>
      </x:c>
    </x:row>
    <x:row r="919">
      <x:c r="A919" s="2" t="s">
        <x:v>55</x:v>
      </x:c>
      <x:c r="B919" s="2">
        <x:v>11018</x:v>
      </x:c>
      <x:c r="C919" s="2">
        <x:v>12309</x:v>
      </x:c>
      <x:c r="D919" s="2" t="s">
        <x:v>5</x:v>
      </x:c>
      <x:c r="E919" s="2">
        <x:v>0</x:v>
      </x:c>
      <x:c r="F919" s="2">
        <x:v>250</x:v>
      </x:c>
      <x:c r="G919" s="3">
        <x:v>6274.3294100822004</x:v>
      </x:c>
      <x:c r="H919" s="3">
        <x:v>1568582.3525205501</x:v>
      </x:c>
    </x:row>
    <x:row r="920">
      <x:c r="A920" s="2" t="s">
        <x:v>55</x:v>
      </x:c>
      <x:c r="B920" s="2">
        <x:v>11019</x:v>
      </x:c>
      <x:c r="C920" s="2">
        <x:v>12310</x:v>
      </x:c>
      <x:c r="D920" s="2" t="s">
        <x:v>5</x:v>
      </x:c>
      <x:c r="E920" s="2">
        <x:v>0</x:v>
      </x:c>
      <x:c r="F920" s="2">
        <x:v>250</x:v>
      </x:c>
      <x:c r="G920" s="3">
        <x:v>6274.3294100822004</x:v>
      </x:c>
      <x:c r="H920" s="3">
        <x:v>1568582.3525205501</x:v>
      </x:c>
    </x:row>
    <x:row r="921">
      <x:c r="A921" s="2" t="s">
        <x:v>55</x:v>
      </x:c>
      <x:c r="B921" s="2">
        <x:v>11020</x:v>
      </x:c>
      <x:c r="C921" s="2">
        <x:v>12311</x:v>
      </x:c>
      <x:c r="D921" s="2" t="s">
        <x:v>5</x:v>
      </x:c>
      <x:c r="E921" s="2">
        <x:v>0</x:v>
      </x:c>
      <x:c r="F921" s="2">
        <x:v>250</x:v>
      </x:c>
      <x:c r="G921" s="3">
        <x:v>6274.3294100822004</x:v>
      </x:c>
      <x:c r="H921" s="3">
        <x:v>1568582.3525205501</x:v>
      </x:c>
    </x:row>
    <x:row r="922">
      <x:c r="A922" s="2" t="s">
        <x:v>55</x:v>
      </x:c>
      <x:c r="B922" s="2">
        <x:v>11021</x:v>
      </x:c>
      <x:c r="C922" s="2">
        <x:v>12312</x:v>
      </x:c>
      <x:c r="D922" s="2" t="s">
        <x:v>5</x:v>
      </x:c>
      <x:c r="E922" s="2">
        <x:v>0</x:v>
      </x:c>
      <x:c r="F922" s="2">
        <x:v>250</x:v>
      </x:c>
      <x:c r="G922" s="3">
        <x:v>6274.3294100822004</x:v>
      </x:c>
      <x:c r="H922" s="3">
        <x:v>1568582.3525205501</x:v>
      </x:c>
    </x:row>
    <x:row r="923">
      <x:c r="A923" s="2" t="s">
        <x:v>55</x:v>
      </x:c>
      <x:c r="B923" s="2">
        <x:v>11022</x:v>
      </x:c>
      <x:c r="C923" s="2">
        <x:v>12313</x:v>
      </x:c>
      <x:c r="D923" s="2" t="s">
        <x:v>5</x:v>
      </x:c>
      <x:c r="E923" s="2">
        <x:v>0</x:v>
      </x:c>
      <x:c r="F923" s="2">
        <x:v>250</x:v>
      </x:c>
      <x:c r="G923" s="3">
        <x:v>6274.3294100822004</x:v>
      </x:c>
      <x:c r="H923" s="3">
        <x:v>1568582.3525205501</x:v>
      </x:c>
    </x:row>
    <x:row r="924">
      <x:c r="A924" s="2" t="s">
        <x:v>55</x:v>
      </x:c>
      <x:c r="B924" s="2">
        <x:v>11023</x:v>
      </x:c>
      <x:c r="C924" s="2">
        <x:v>12314</x:v>
      </x:c>
      <x:c r="D924" s="2" t="s">
        <x:v>5</x:v>
      </x:c>
      <x:c r="E924" s="2">
        <x:v>0</x:v>
      </x:c>
      <x:c r="F924" s="2">
        <x:v>250</x:v>
      </x:c>
      <x:c r="G924" s="3">
        <x:v>6274.3294100822004</x:v>
      </x:c>
      <x:c r="H924" s="3">
        <x:v>1568582.3525205501</x:v>
      </x:c>
    </x:row>
    <x:row r="925">
      <x:c r="A925" s="2" t="s">
        <x:v>55</x:v>
      </x:c>
      <x:c r="B925" s="2">
        <x:v>11024</x:v>
      </x:c>
      <x:c r="C925" s="2">
        <x:v>12315</x:v>
      </x:c>
      <x:c r="D925" s="2" t="s">
        <x:v>5</x:v>
      </x:c>
      <x:c r="E925" s="2">
        <x:v>0</x:v>
      </x:c>
      <x:c r="F925" s="2">
        <x:v>250</x:v>
      </x:c>
      <x:c r="G925" s="3">
        <x:v>6274.3294100822004</x:v>
      </x:c>
      <x:c r="H925" s="3">
        <x:v>1568582.3525205501</x:v>
      </x:c>
    </x:row>
    <x:row r="926">
      <x:c r="A926" s="2" t="s">
        <x:v>55</x:v>
      </x:c>
      <x:c r="B926" s="2">
        <x:v>11025</x:v>
      </x:c>
      <x:c r="C926" s="2">
        <x:v>12316</x:v>
      </x:c>
      <x:c r="D926" s="2" t="s">
        <x:v>5</x:v>
      </x:c>
      <x:c r="E926" s="2">
        <x:v>0</x:v>
      </x:c>
      <x:c r="F926" s="2">
        <x:v>250</x:v>
      </x:c>
      <x:c r="G926" s="3">
        <x:v>6274.3294100822004</x:v>
      </x:c>
      <x:c r="H926" s="3">
        <x:v>1568582.3525205501</x:v>
      </x:c>
    </x:row>
    <x:row r="927">
      <x:c r="A927" s="2" t="s">
        <x:v>55</x:v>
      </x:c>
      <x:c r="B927" s="2">
        <x:v>11026</x:v>
      </x:c>
      <x:c r="C927" s="2">
        <x:v>12317</x:v>
      </x:c>
      <x:c r="D927" s="2" t="s">
        <x:v>5</x:v>
      </x:c>
      <x:c r="E927" s="2">
        <x:v>0</x:v>
      </x:c>
      <x:c r="F927" s="2">
        <x:v>250</x:v>
      </x:c>
      <x:c r="G927" s="3">
        <x:v>6274.3294100822004</x:v>
      </x:c>
      <x:c r="H927" s="3">
        <x:v>1568582.3525205501</x:v>
      </x:c>
    </x:row>
    <x:row r="928">
      <x:c r="A928" s="2" t="s">
        <x:v>55</x:v>
      </x:c>
      <x:c r="B928" s="2">
        <x:v>11027</x:v>
      </x:c>
      <x:c r="C928" s="2">
        <x:v>12318</x:v>
      </x:c>
      <x:c r="D928" s="2" t="s">
        <x:v>5</x:v>
      </x:c>
      <x:c r="E928" s="2">
        <x:v>0</x:v>
      </x:c>
      <x:c r="F928" s="2">
        <x:v>250</x:v>
      </x:c>
      <x:c r="G928" s="3">
        <x:v>6274.3294100822004</x:v>
      </x:c>
      <x:c r="H928" s="3">
        <x:v>1568582.3525205501</x:v>
      </x:c>
    </x:row>
    <x:row r="929">
      <x:c r="A929" s="2" t="s">
        <x:v>55</x:v>
      </x:c>
      <x:c r="B929" s="2">
        <x:v>11028</x:v>
      </x:c>
      <x:c r="C929" s="2">
        <x:v>12319</x:v>
      </x:c>
      <x:c r="D929" s="2" t="s">
        <x:v>5</x:v>
      </x:c>
      <x:c r="E929" s="2">
        <x:v>0</x:v>
      </x:c>
      <x:c r="F929" s="2">
        <x:v>250</x:v>
      </x:c>
      <x:c r="G929" s="3">
        <x:v>6274.3294100822004</x:v>
      </x:c>
      <x:c r="H929" s="3">
        <x:v>1568582.3525205501</x:v>
      </x:c>
    </x:row>
    <x:row r="930">
      <x:c r="A930" s="2" t="s">
        <x:v>55</x:v>
      </x:c>
      <x:c r="B930" s="2">
        <x:v>11029</x:v>
      </x:c>
      <x:c r="C930" s="2">
        <x:v>12320</x:v>
      </x:c>
      <x:c r="D930" s="2" t="s">
        <x:v>5</x:v>
      </x:c>
      <x:c r="E930" s="2">
        <x:v>0</x:v>
      </x:c>
      <x:c r="F930" s="2">
        <x:v>250</x:v>
      </x:c>
      <x:c r="G930" s="3">
        <x:v>6274.3294100822004</x:v>
      </x:c>
      <x:c r="H930" s="3">
        <x:v>1568582.3525205501</x:v>
      </x:c>
    </x:row>
    <x:row r="931">
      <x:c r="A931" s="2" t="s">
        <x:v>55</x:v>
      </x:c>
      <x:c r="B931" s="2">
        <x:v>11030</x:v>
      </x:c>
      <x:c r="C931" s="2">
        <x:v>12321</x:v>
      </x:c>
      <x:c r="D931" s="2" t="s">
        <x:v>5</x:v>
      </x:c>
      <x:c r="E931" s="2">
        <x:v>0</x:v>
      </x:c>
      <x:c r="F931" s="2">
        <x:v>250</x:v>
      </x:c>
      <x:c r="G931" s="3">
        <x:v>6274.3294100822004</x:v>
      </x:c>
      <x:c r="H931" s="3">
        <x:v>1568582.3525205501</x:v>
      </x:c>
    </x:row>
    <x:row r="932">
      <x:c r="A932" s="2" t="s">
        <x:v>55</x:v>
      </x:c>
      <x:c r="B932" s="2">
        <x:v>11031</x:v>
      </x:c>
      <x:c r="C932" s="2">
        <x:v>12322</x:v>
      </x:c>
      <x:c r="D932" s="2" t="s">
        <x:v>5</x:v>
      </x:c>
      <x:c r="E932" s="2">
        <x:v>0</x:v>
      </x:c>
      <x:c r="F932" s="2">
        <x:v>250</x:v>
      </x:c>
      <x:c r="G932" s="3">
        <x:v>6274.3294100822004</x:v>
      </x:c>
      <x:c r="H932" s="3">
        <x:v>1568582.3525205501</x:v>
      </x:c>
    </x:row>
    <x:row r="933">
      <x:c r="A933" s="2" t="s">
        <x:v>55</x:v>
      </x:c>
      <x:c r="B933" s="2">
        <x:v>11032</x:v>
      </x:c>
      <x:c r="C933" s="2">
        <x:v>12323</x:v>
      </x:c>
      <x:c r="D933" s="2" t="s">
        <x:v>5</x:v>
      </x:c>
      <x:c r="E933" s="2">
        <x:v>0</x:v>
      </x:c>
      <x:c r="F933" s="2">
        <x:v>250</x:v>
      </x:c>
      <x:c r="G933" s="3">
        <x:v>6274.3294100822004</x:v>
      </x:c>
      <x:c r="H933" s="3">
        <x:v>1568582.3525205501</x:v>
      </x:c>
    </x:row>
    <x:row r="934">
      <x:c r="A934" s="2" t="s">
        <x:v>55</x:v>
      </x:c>
      <x:c r="B934" s="2">
        <x:v>11033</x:v>
      </x:c>
      <x:c r="C934" s="2">
        <x:v>12324</x:v>
      </x:c>
      <x:c r="D934" s="2" t="s">
        <x:v>5</x:v>
      </x:c>
      <x:c r="E934" s="2">
        <x:v>0</x:v>
      </x:c>
      <x:c r="F934" s="2">
        <x:v>250</x:v>
      </x:c>
      <x:c r="G934" s="3">
        <x:v>6274.3294100822004</x:v>
      </x:c>
      <x:c r="H934" s="3">
        <x:v>1568582.3525205501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5"/>
  <x:cols>
    <x:col min="1" max="1" width="9.1796875" style="11" customWidth="1"/>
    <x:col min="2" max="2" width="11.08984375" style="11" customWidth="1"/>
    <x:col min="3" max="3" width="12.81640625" style="11" customWidth="1"/>
    <x:col min="4" max="4" width="12.81640625" style="11" customWidth="1"/>
    <x:col min="5" max="5" width="16.1796875" style="11" customWidth="1"/>
    <x:col min="6" max="7" width="10.26953125" style="11" customWidth="1"/>
    <x:col min="8" max="9" width="10.26953125" style="23" customWidth="1"/>
    <x:col min="10" max="10" width="16.6328125" style="11" customWidth="1"/>
    <x:col min="11" max="11" width="11.6328125" style="11" customWidth="1"/>
  </x:cols>
  <x:sheetData>
    <x:row r="1">
      <x:c r="A1" s="1" t="s">
        <x:v>11</x:v>
      </x:c>
      <x:c r="B1" s="1" t="s">
        <x:v>12</x:v>
      </x:c>
      <x:c r="C1" s="1" t="s">
        <x:v>13</x:v>
      </x:c>
      <x:c r="D1" s="1" t="s">
        <x:v>57</x:v>
      </x:c>
      <x:c r="E1" s="1" t="s">
        <x:v>14</x:v>
      </x:c>
      <x:c r="F1" s="1" t="s">
        <x:v>15</x:v>
      </x:c>
      <x:c r="G1" s="1" t="s">
        <x:v>16</x:v>
      </x:c>
      <x:c r="H1" s="5" t="s">
        <x:v>17</x:v>
      </x:c>
      <x:c r="I1" s="5" t="s">
        <x:v>18</x:v>
      </x:c>
      <x:c r="J1" s="1" t="s">
        <x:v>58</x:v>
      </x:c>
      <x:c r="K1" s="1" t="s">
        <x:v>59</x:v>
      </x:c>
    </x:row>
    <x:row r="2">
      <x:c r="A2" s="10" t="s">
        <x:v>60</x:v>
      </x:c>
      <x:c r="B2" s="10">
        <x:v>9038</x:v>
      </x:c>
      <x:c r="C2" s="10">
        <x:v>13372</x:v>
      </x:c>
      <x:c r="D2" s="10" t="s">
        <x:v>9</x:v>
      </x:c>
      <x:c r="E2" s="10" t="s">
        <x:v>9</x:v>
      </x:c>
      <x:c r="F2" s="10">
        <x:v>36</x:v>
      </x:c>
      <x:c r="G2" s="10">
        <x:v>159</x:v>
      </x:c>
      <x:c r="H2" s="22" t="n">
        <x:f>I2/G2</x:f>
        <x:v>9000</x:v>
      </x:c>
      <x:c r="I2" s="22">
        <x:v>1431000</x:v>
      </x:c>
      <x:c r="J2" s="10">
        <x:v>1</x:v>
      </x:c>
      <x:c r="K2" s="10">
        <x:v>1</x:v>
      </x:c>
    </x:row>
    <x:row r="3">
      <x:c r="A3" s="10" t="s">
        <x:v>60</x:v>
      </x:c>
      <x:c r="B3" s="10">
        <x:v>8646</x:v>
      </x:c>
      <x:c r="C3" s="10">
        <x:v>13373</x:v>
      </x:c>
      <x:c r="D3" s="10" t="s">
        <x:v>9</x:v>
      </x:c>
      <x:c r="E3" s="10" t="s">
        <x:v>9</x:v>
      </x:c>
      <x:c r="F3" s="10">
        <x:v>59</x:v>
      </x:c>
      <x:c r="G3" s="10">
        <x:v>199</x:v>
      </x:c>
      <x:c r="H3" s="22" t="n">
        <x:f t="shared" ref="H3:H66" si="0">I3/G3</x:f>
        <x:v>9000</x:v>
      </x:c>
      <x:c r="I3" s="22">
        <x:v>1791000</x:v>
      </x:c>
      <x:c r="J3" s="10">
        <x:v>1</x:v>
      </x:c>
      <x:c r="K3" s="10">
        <x:v>2</x:v>
      </x:c>
    </x:row>
    <x:row r="4">
      <x:c r="A4" s="10" t="s">
        <x:v>60</x:v>
      </x:c>
      <x:c r="B4" s="10">
        <x:v>5922</x:v>
      </x:c>
      <x:c r="C4" s="10">
        <x:v>13374</x:v>
      </x:c>
      <x:c r="D4" s="10" t="s">
        <x:v>9</x:v>
      </x:c>
      <x:c r="E4" s="10" t="s">
        <x:v>34</x:v>
      </x:c>
      <x:c r="F4" s="10">
        <x:v>28</x:v>
      </x:c>
      <x:c r="G4" s="10">
        <x:v>193</x:v>
      </x:c>
      <x:c r="H4" s="22">
        <x:f t="shared" si="0"/>
        <x:v>10597.78187540259</x:v>
      </x:c>
      <x:c r="I4" s="22">
        <x:v>2045371.9019527</x:v>
      </x:c>
      <x:c r="J4" s="10">
        <x:v>1</x:v>
      </x:c>
      <x:c r="K4" s="10">
        <x:v>3</x:v>
      </x:c>
    </x:row>
    <x:row r="5">
      <x:c r="A5" s="10" t="s">
        <x:v>60</x:v>
      </x:c>
      <x:c r="B5" s="10">
        <x:v>9280</x:v>
      </x:c>
      <x:c r="C5" s="10">
        <x:v>13375</x:v>
      </x:c>
      <x:c r="D5" s="10" t="s">
        <x:v>9</x:v>
      </x:c>
      <x:c r="E5" s="10" t="s">
        <x:v>9</x:v>
      </x:c>
      <x:c r="F5" s="10">
        <x:v>31</x:v>
      </x:c>
      <x:c r="G5" s="10">
        <x:v>192</x:v>
      </x:c>
      <x:c r="H5" s="22">
        <x:f t="shared" si="0"/>
        <x:v>9000</x:v>
      </x:c>
      <x:c r="I5" s="22">
        <x:v>1728000</x:v>
      </x:c>
      <x:c r="J5" s="10">
        <x:v>1</x:v>
      </x:c>
      <x:c r="K5" s="10">
        <x:v>4</x:v>
      </x:c>
    </x:row>
    <x:row r="6">
      <x:c r="A6" s="10" t="s">
        <x:v>60</x:v>
      </x:c>
      <x:c r="B6" s="10">
        <x:v>10509</x:v>
      </x:c>
      <x:c r="C6" s="10">
        <x:v>13376</x:v>
      </x:c>
      <x:c r="D6" s="10" t="s">
        <x:v>9</x:v>
      </x:c>
      <x:c r="E6" s="10" t="s">
        <x:v>33</x:v>
      </x:c>
      <x:c r="F6" s="10">
        <x:v>41</x:v>
      </x:c>
      <x:c r="G6" s="10">
        <x:v>192</x:v>
      </x:c>
      <x:c r="H6" s="22">
        <x:f t="shared" si="0"/>
        <x:v>8676.2941900312489</x:v>
      </x:c>
      <x:c r="I6" s="22">
        <x:v>1665848.4844859999</x:v>
      </x:c>
      <x:c r="J6" s="10">
        <x:v>1</x:v>
      </x:c>
      <x:c r="K6" s="10">
        <x:v>5</x:v>
      </x:c>
    </x:row>
    <x:row r="7">
      <x:c r="A7" s="10" t="s">
        <x:v>60</x:v>
      </x:c>
      <x:c r="B7" s="10">
        <x:v>8660</x:v>
      </x:c>
      <x:c r="C7" s="10">
        <x:v>13377</x:v>
      </x:c>
      <x:c r="D7" s="10" t="s">
        <x:v>9</x:v>
      </x:c>
      <x:c r="E7" s="10" t="s">
        <x:v>9</x:v>
      </x:c>
      <x:c r="F7" s="10">
        <x:v>65</x:v>
      </x:c>
      <x:c r="G7" s="10">
        <x:v>237</x:v>
      </x:c>
      <x:c r="H7" s="22">
        <x:f t="shared" si="0"/>
        <x:v>9000</x:v>
      </x:c>
      <x:c r="I7" s="22">
        <x:v>2133000</x:v>
      </x:c>
      <x:c r="J7" s="10">
        <x:v>1</x:v>
      </x:c>
      <x:c r="K7" s="10">
        <x:v>6</x:v>
      </x:c>
    </x:row>
    <x:row r="8">
      <x:c r="A8" s="10" t="s">
        <x:v>60</x:v>
      </x:c>
      <x:c r="B8" s="10">
        <x:v>8751</x:v>
      </x:c>
      <x:c r="C8" s="10">
        <x:v>13378</x:v>
      </x:c>
      <x:c r="D8" s="10" t="s">
        <x:v>9</x:v>
      </x:c>
      <x:c r="E8" s="10" t="s">
        <x:v>9</x:v>
      </x:c>
      <x:c r="F8" s="10">
        <x:v>44</x:v>
      </x:c>
      <x:c r="G8" s="10">
        <x:v>190</x:v>
      </x:c>
      <x:c r="H8" s="22">
        <x:f t="shared" si="0"/>
        <x:v>9000</x:v>
      </x:c>
      <x:c r="I8" s="22">
        <x:v>1710000</x:v>
      </x:c>
      <x:c r="J8" s="10">
        <x:v>1</x:v>
      </x:c>
      <x:c r="K8" s="10">
        <x:v>7</x:v>
      </x:c>
    </x:row>
    <x:row r="9">
      <x:c r="A9" s="10" t="s">
        <x:v>60</x:v>
      </x:c>
      <x:c r="B9" s="10">
        <x:v>8750</x:v>
      </x:c>
      <x:c r="C9" s="10">
        <x:v>13379</x:v>
      </x:c>
      <x:c r="D9" s="10" t="s">
        <x:v>9</x:v>
      </x:c>
      <x:c r="E9" s="10" t="s">
        <x:v>9</x:v>
      </x:c>
      <x:c r="F9" s="10">
        <x:v>36</x:v>
      </x:c>
      <x:c r="G9" s="10">
        <x:v>199</x:v>
      </x:c>
      <x:c r="H9" s="22">
        <x:f t="shared" si="0"/>
        <x:v>9000</x:v>
      </x:c>
      <x:c r="I9" s="22">
        <x:v>1791000</x:v>
      </x:c>
      <x:c r="J9" s="10">
        <x:v>1</x:v>
      </x:c>
      <x:c r="K9" s="10">
        <x:v>8</x:v>
      </x:c>
    </x:row>
    <x:row r="10">
      <x:c r="A10" s="10" t="s">
        <x:v>60</x:v>
      </x:c>
      <x:c r="B10" s="10">
        <x:v>8738</x:v>
      </x:c>
      <x:c r="C10" s="10">
        <x:v>13380</x:v>
      </x:c>
      <x:c r="D10" s="10" t="s">
        <x:v>9</x:v>
      </x:c>
      <x:c r="E10" s="10" t="s">
        <x:v>9</x:v>
      </x:c>
      <x:c r="F10" s="10">
        <x:v>19</x:v>
      </x:c>
      <x:c r="G10" s="10">
        <x:v>86</x:v>
      </x:c>
      <x:c r="H10" s="22">
        <x:f t="shared" si="0"/>
        <x:v>9000</x:v>
      </x:c>
      <x:c r="I10" s="22">
        <x:v>774000</x:v>
      </x:c>
      <x:c r="J10" s="10">
        <x:v>1</x:v>
      </x:c>
      <x:c r="K10" s="10">
        <x:v>9</x:v>
      </x:c>
    </x:row>
    <x:row r="11">
      <x:c r="A11" s="10" t="s">
        <x:v>60</x:v>
      </x:c>
      <x:c r="B11" s="10">
        <x:v>8802</x:v>
      </x:c>
      <x:c r="C11" s="10">
        <x:v>13381</x:v>
      </x:c>
      <x:c r="D11" s="10" t="s">
        <x:v>9</x:v>
      </x:c>
      <x:c r="E11" s="10" t="s">
        <x:v>9</x:v>
      </x:c>
      <x:c r="F11" s="10">
        <x:v>49</x:v>
      </x:c>
      <x:c r="G11" s="10">
        <x:v>201</x:v>
      </x:c>
      <x:c r="H11" s="22">
        <x:f t="shared" si="0"/>
        <x:v>9000</x:v>
      </x:c>
      <x:c r="I11" s="22">
        <x:v>1809000</x:v>
      </x:c>
      <x:c r="J11" s="10">
        <x:v>1</x:v>
      </x:c>
      <x:c r="K11" s="10">
        <x:v>10</x:v>
      </x:c>
    </x:row>
    <x:row r="12">
      <x:c r="A12" s="10" t="s">
        <x:v>60</x:v>
      </x:c>
      <x:c r="B12" s="10">
        <x:v>10485</x:v>
      </x:c>
      <x:c r="C12" s="10">
        <x:v>13382</x:v>
      </x:c>
      <x:c r="D12" s="10" t="s">
        <x:v>9</x:v>
      </x:c>
      <x:c r="E12" s="10" t="s">
        <x:v>33</x:v>
      </x:c>
      <x:c r="F12" s="10">
        <x:v>41</x:v>
      </x:c>
      <x:c r="G12" s="10">
        <x:v>192</x:v>
      </x:c>
      <x:c r="H12" s="22">
        <x:f t="shared" si="0"/>
        <x:v>8676.2941900312489</x:v>
      </x:c>
      <x:c r="I12" s="22">
        <x:v>1665848.4844859999</x:v>
      </x:c>
      <x:c r="J12" s="10">
        <x:v>1</x:v>
      </x:c>
      <x:c r="K12" s="10">
        <x:v>11</x:v>
      </x:c>
    </x:row>
    <x:row r="13">
      <x:c r="A13" s="10" t="s">
        <x:v>60</x:v>
      </x:c>
      <x:c r="B13" s="10">
        <x:v>10500</x:v>
      </x:c>
      <x:c r="C13" s="10">
        <x:v>13383</x:v>
      </x:c>
      <x:c r="D13" s="10" t="s">
        <x:v>9</x:v>
      </x:c>
      <x:c r="E13" s="10" t="s">
        <x:v>33</x:v>
      </x:c>
      <x:c r="F13" s="10">
        <x:v>35</x:v>
      </x:c>
      <x:c r="G13" s="10">
        <x:v>192</x:v>
      </x:c>
      <x:c r="H13" s="22">
        <x:f t="shared" si="0"/>
        <x:v>8676.2941900312489</x:v>
      </x:c>
      <x:c r="I13" s="22">
        <x:v>1665848.4844859999</x:v>
      </x:c>
      <x:c r="J13" s="10">
        <x:v>1</x:v>
      </x:c>
      <x:c r="K13" s="10">
        <x:v>12</x:v>
      </x:c>
    </x:row>
    <x:row r="14">
      <x:c r="A14" s="10" t="s">
        <x:v>60</x:v>
      </x:c>
      <x:c r="B14" s="10">
        <x:v>10515</x:v>
      </x:c>
      <x:c r="C14" s="10">
        <x:v>13384</x:v>
      </x:c>
      <x:c r="D14" s="10" t="s">
        <x:v>9</x:v>
      </x:c>
      <x:c r="E14" s="10" t="s">
        <x:v>33</x:v>
      </x:c>
      <x:c r="F14" s="10">
        <x:v>41</x:v>
      </x:c>
      <x:c r="G14" s="10">
        <x:v>192</x:v>
      </x:c>
      <x:c r="H14" s="22">
        <x:f t="shared" si="0"/>
        <x:v>8676.2941900312489</x:v>
      </x:c>
      <x:c r="I14" s="22">
        <x:v>1665848.4844859999</x:v>
      </x:c>
      <x:c r="J14" s="10">
        <x:v>1</x:v>
      </x:c>
      <x:c r="K14" s="10">
        <x:v>13</x:v>
      </x:c>
    </x:row>
    <x:row r="15">
      <x:c r="A15" s="10" t="s">
        <x:v>60</x:v>
      </x:c>
      <x:c r="B15" s="10">
        <x:v>10476</x:v>
      </x:c>
      <x:c r="C15" s="10">
        <x:v>13385</x:v>
      </x:c>
      <x:c r="D15" s="10" t="s">
        <x:v>9</x:v>
      </x:c>
      <x:c r="E15" s="10" t="s">
        <x:v>33</x:v>
      </x:c>
      <x:c r="F15" s="10">
        <x:v>41</x:v>
      </x:c>
      <x:c r="G15" s="10">
        <x:v>193</x:v>
      </x:c>
      <x:c r="H15" s="22">
        <x:f t="shared" si="0"/>
        <x:v>8631.3392978549218</x:v>
      </x:c>
      <x:c r="I15" s="22">
        <x:v>1665848.4844859999</x:v>
      </x:c>
      <x:c r="J15" s="10">
        <x:v>1</x:v>
      </x:c>
      <x:c r="K15" s="10">
        <x:v>14</x:v>
      </x:c>
    </x:row>
    <x:row r="16">
      <x:c r="A16" s="10" t="s">
        <x:v>60</x:v>
      </x:c>
      <x:c r="B16" s="10">
        <x:v>9449</x:v>
      </x:c>
      <x:c r="C16" s="10">
        <x:v>13386</x:v>
      </x:c>
      <x:c r="D16" s="10" t="s">
        <x:v>9</x:v>
      </x:c>
      <x:c r="E16" s="10" t="s">
        <x:v>9</x:v>
      </x:c>
      <x:c r="F16" s="10">
        <x:v>0</x:v>
      </x:c>
      <x:c r="G16" s="10">
        <x:v>101</x:v>
      </x:c>
      <x:c r="H16" s="22">
        <x:f t="shared" si="0"/>
        <x:v>9000</x:v>
      </x:c>
      <x:c r="I16" s="22">
        <x:v>909000</x:v>
      </x:c>
      <x:c r="J16" s="10">
        <x:v>1</x:v>
      </x:c>
      <x:c r="K16" s="10">
        <x:v>15</x:v>
      </x:c>
    </x:row>
    <x:row r="17">
      <x:c r="A17" s="10" t="s">
        <x:v>60</x:v>
      </x:c>
      <x:c r="B17" s="10">
        <x:v>9322</x:v>
      </x:c>
      <x:c r="C17" s="10">
        <x:v>13387</x:v>
      </x:c>
      <x:c r="D17" s="10" t="s">
        <x:v>9</x:v>
      </x:c>
      <x:c r="E17" s="10" t="s">
        <x:v>9</x:v>
      </x:c>
      <x:c r="F17" s="10">
        <x:v>33</x:v>
      </x:c>
      <x:c r="G17" s="10">
        <x:v>180</x:v>
      </x:c>
      <x:c r="H17" s="22">
        <x:f t="shared" si="0"/>
        <x:v>9000</x:v>
      </x:c>
      <x:c r="I17" s="22">
        <x:v>1620000</x:v>
      </x:c>
      <x:c r="J17" s="10">
        <x:v>1</x:v>
      </x:c>
      <x:c r="K17" s="10">
        <x:v>16</x:v>
      </x:c>
    </x:row>
    <x:row r="18">
      <x:c r="A18" s="10" t="s">
        <x:v>60</x:v>
      </x:c>
      <x:c r="B18" s="10">
        <x:v>9321</x:v>
      </x:c>
      <x:c r="C18" s="10">
        <x:v>13388</x:v>
      </x:c>
      <x:c r="D18" s="10" t="s">
        <x:v>9</x:v>
      </x:c>
      <x:c r="E18" s="10" t="s">
        <x:v>9</x:v>
      </x:c>
      <x:c r="F18" s="10">
        <x:v>0</x:v>
      </x:c>
      <x:c r="G18" s="10">
        <x:v>91</x:v>
      </x:c>
      <x:c r="H18" s="22">
        <x:f t="shared" si="0"/>
        <x:v>9000</x:v>
      </x:c>
      <x:c r="I18" s="22">
        <x:v>819000</x:v>
      </x:c>
      <x:c r="J18" s="10">
        <x:v>1</x:v>
      </x:c>
      <x:c r="K18" s="10">
        <x:v>17</x:v>
      </x:c>
    </x:row>
    <x:row r="19">
      <x:c r="A19" s="10" t="s">
        <x:v>60</x:v>
      </x:c>
      <x:c r="B19" s="10">
        <x:v>9414</x:v>
      </x:c>
      <x:c r="C19" s="10">
        <x:v>13389</x:v>
      </x:c>
      <x:c r="D19" s="10" t="s">
        <x:v>9</x:v>
      </x:c>
      <x:c r="E19" s="10" t="s">
        <x:v>9</x:v>
      </x:c>
      <x:c r="F19" s="10">
        <x:v>25</x:v>
      </x:c>
      <x:c r="G19" s="10">
        <x:v>88</x:v>
      </x:c>
      <x:c r="H19" s="22">
        <x:f t="shared" si="0"/>
        <x:v>9000</x:v>
      </x:c>
      <x:c r="I19" s="22">
        <x:v>792000</x:v>
      </x:c>
      <x:c r="J19" s="10">
        <x:v>2</x:v>
      </x:c>
      <x:c r="K19" s="10">
        <x:v>1</x:v>
      </x:c>
    </x:row>
    <x:row r="20">
      <x:c r="A20" s="10" t="s">
        <x:v>60</x:v>
      </x:c>
      <x:c r="B20" s="10">
        <x:v>9428</x:v>
      </x:c>
      <x:c r="C20" s="10">
        <x:v>13390</x:v>
      </x:c>
      <x:c r="D20" s="10" t="s">
        <x:v>9</x:v>
      </x:c>
      <x:c r="E20" s="10" t="s">
        <x:v>9</x:v>
      </x:c>
      <x:c r="F20" s="10">
        <x:v>22</x:v>
      </x:c>
      <x:c r="G20" s="10">
        <x:v>70</x:v>
      </x:c>
      <x:c r="H20" s="22">
        <x:f t="shared" si="0"/>
        <x:v>9000</x:v>
      </x:c>
      <x:c r="I20" s="22">
        <x:v>630000</x:v>
      </x:c>
      <x:c r="J20" s="10">
        <x:v>2</x:v>
      </x:c>
      <x:c r="K20" s="10">
        <x:v>2</x:v>
      </x:c>
    </x:row>
    <x:row r="21">
      <x:c r="A21" s="10" t="s">
        <x:v>60</x:v>
      </x:c>
      <x:c r="B21" s="10">
        <x:v>9429</x:v>
      </x:c>
      <x:c r="C21" s="10">
        <x:v>13391</x:v>
      </x:c>
      <x:c r="D21" s="10" t="s">
        <x:v>9</x:v>
      </x:c>
      <x:c r="E21" s="10" t="s">
        <x:v>9</x:v>
      </x:c>
      <x:c r="F21" s="10">
        <x:v>0</x:v>
      </x:c>
      <x:c r="G21" s="10">
        <x:v>82</x:v>
      </x:c>
      <x:c r="H21" s="22">
        <x:f t="shared" si="0"/>
        <x:v>9000</x:v>
      </x:c>
      <x:c r="I21" s="22">
        <x:v>738000</x:v>
      </x:c>
      <x:c r="J21" s="10">
        <x:v>2</x:v>
      </x:c>
      <x:c r="K21" s="10">
        <x:v>3</x:v>
      </x:c>
    </x:row>
    <x:row r="22">
      <x:c r="A22" s="10" t="s">
        <x:v>60</x:v>
      </x:c>
      <x:c r="B22" s="10">
        <x:v>9430</x:v>
      </x:c>
      <x:c r="C22" s="10">
        <x:v>13392</x:v>
      </x:c>
      <x:c r="D22" s="10" t="s">
        <x:v>9</x:v>
      </x:c>
      <x:c r="E22" s="10" t="s">
        <x:v>9</x:v>
      </x:c>
      <x:c r="F22" s="10">
        <x:v>0</x:v>
      </x:c>
      <x:c r="G22" s="10">
        <x:v>94</x:v>
      </x:c>
      <x:c r="H22" s="22">
        <x:f t="shared" si="0"/>
        <x:v>9000</x:v>
      </x:c>
      <x:c r="I22" s="22">
        <x:v>846000</x:v>
      </x:c>
      <x:c r="J22" s="10">
        <x:v>2</x:v>
      </x:c>
      <x:c r="K22" s="10">
        <x:v>4</x:v>
      </x:c>
    </x:row>
    <x:row r="23">
      <x:c r="A23" s="10" t="s">
        <x:v>60</x:v>
      </x:c>
      <x:c r="B23" s="10">
        <x:v>9406</x:v>
      </x:c>
      <x:c r="C23" s="10">
        <x:v>13393</x:v>
      </x:c>
      <x:c r="D23" s="10" t="s">
        <x:v>9</x:v>
      </x:c>
      <x:c r="E23" s="10" t="s">
        <x:v>9</x:v>
      </x:c>
      <x:c r="F23" s="10">
        <x:v>0</x:v>
      </x:c>
      <x:c r="G23" s="10">
        <x:v>94</x:v>
      </x:c>
      <x:c r="H23" s="22">
        <x:f t="shared" si="0"/>
        <x:v>9000</x:v>
      </x:c>
      <x:c r="I23" s="22">
        <x:v>846000</x:v>
      </x:c>
      <x:c r="J23" s="10">
        <x:v>2</x:v>
      </x:c>
      <x:c r="K23" s="10">
        <x:v>5</x:v>
      </x:c>
    </x:row>
    <x:row r="24">
      <x:c r="A24" s="10" t="s">
        <x:v>60</x:v>
      </x:c>
      <x:c r="B24" s="10">
        <x:v>9409</x:v>
      </x:c>
      <x:c r="C24" s="10">
        <x:v>13394</x:v>
      </x:c>
      <x:c r="D24" s="10" t="s">
        <x:v>9</x:v>
      </x:c>
      <x:c r="E24" s="10" t="s">
        <x:v>9</x:v>
      </x:c>
      <x:c r="F24" s="10">
        <x:v>0</x:v>
      </x:c>
      <x:c r="G24" s="10">
        <x:v>110</x:v>
      </x:c>
      <x:c r="H24" s="22">
        <x:f t="shared" si="0"/>
        <x:v>9000</x:v>
      </x:c>
      <x:c r="I24" s="22">
        <x:v>990000</x:v>
      </x:c>
      <x:c r="J24" s="10">
        <x:v>2</x:v>
      </x:c>
      <x:c r="K24" s="10">
        <x:v>6</x:v>
      </x:c>
    </x:row>
    <x:row r="25">
      <x:c r="A25" s="10" t="s">
        <x:v>60</x:v>
      </x:c>
      <x:c r="B25" s="10">
        <x:v>9410</x:v>
      </x:c>
      <x:c r="C25" s="10">
        <x:v>13395</x:v>
      </x:c>
      <x:c r="D25" s="10" t="s">
        <x:v>9</x:v>
      </x:c>
      <x:c r="E25" s="10" t="s">
        <x:v>9</x:v>
      </x:c>
      <x:c r="F25" s="10">
        <x:v>0</x:v>
      </x:c>
      <x:c r="G25" s="10">
        <x:v>104</x:v>
      </x:c>
      <x:c r="H25" s="22">
        <x:f t="shared" si="0"/>
        <x:v>9000</x:v>
      </x:c>
      <x:c r="I25" s="22">
        <x:v>936000</x:v>
      </x:c>
      <x:c r="J25" s="10">
        <x:v>2</x:v>
      </x:c>
      <x:c r="K25" s="10">
        <x:v>7</x:v>
      </x:c>
    </x:row>
    <x:row r="26">
      <x:c r="A26" s="10" t="s">
        <x:v>60</x:v>
      </x:c>
      <x:c r="B26" s="10">
        <x:v>9418</x:v>
      </x:c>
      <x:c r="C26" s="10">
        <x:v>13396</x:v>
      </x:c>
      <x:c r="D26" s="10" t="s">
        <x:v>9</x:v>
      </x:c>
      <x:c r="E26" s="10" t="s">
        <x:v>9</x:v>
      </x:c>
      <x:c r="F26" s="10">
        <x:v>0</x:v>
      </x:c>
      <x:c r="G26" s="10">
        <x:v>94</x:v>
      </x:c>
      <x:c r="H26" s="22">
        <x:f t="shared" si="0"/>
        <x:v>9000</x:v>
      </x:c>
      <x:c r="I26" s="22">
        <x:v>846000</x:v>
      </x:c>
      <x:c r="J26" s="10">
        <x:v>2</x:v>
      </x:c>
      <x:c r="K26" s="10">
        <x:v>8</x:v>
      </x:c>
    </x:row>
    <x:row r="27">
      <x:c r="A27" s="10" t="s">
        <x:v>60</x:v>
      </x:c>
      <x:c r="B27" s="10">
        <x:v>9373</x:v>
      </x:c>
      <x:c r="C27" s="10">
        <x:v>13397</x:v>
      </x:c>
      <x:c r="D27" s="10" t="s">
        <x:v>0</x:v>
      </x:c>
      <x:c r="E27" s="10" t="s">
        <x:v>0</x:v>
      </x:c>
      <x:c r="F27" s="10">
        <x:v>0</x:v>
      </x:c>
      <x:c r="G27" s="10">
        <x:v>132</x:v>
      </x:c>
      <x:c r="H27" s="22">
        <x:f t="shared" si="0"/>
        <x:v>13000</x:v>
      </x:c>
      <x:c r="I27" s="22">
        <x:v>1716000</x:v>
      </x:c>
      <x:c r="J27" s="10">
        <x:v>2</x:v>
      </x:c>
      <x:c r="K27" s="10">
        <x:v>9</x:v>
      </x:c>
    </x:row>
    <x:row r="28">
      <x:c r="A28" s="10" t="s">
        <x:v>60</x:v>
      </x:c>
      <x:c r="B28" s="10">
        <x:v>9405</x:v>
      </x:c>
      <x:c r="C28" s="10">
        <x:v>13398</x:v>
      </x:c>
      <x:c r="D28" s="10" t="s">
        <x:v>9</x:v>
      </x:c>
      <x:c r="E28" s="10" t="s">
        <x:v>9</x:v>
      </x:c>
      <x:c r="F28" s="10">
        <x:v>33</x:v>
      </x:c>
      <x:c r="G28" s="10">
        <x:v>181</x:v>
      </x:c>
      <x:c r="H28" s="22">
        <x:f t="shared" si="0"/>
        <x:v>9000</x:v>
      </x:c>
      <x:c r="I28" s="22">
        <x:v>1629000</x:v>
      </x:c>
      <x:c r="J28" s="10">
        <x:v>2</x:v>
      </x:c>
      <x:c r="K28" s="10">
        <x:v>10</x:v>
      </x:c>
    </x:row>
    <x:row r="29">
      <x:c r="A29" s="10" t="s">
        <x:v>60</x:v>
      </x:c>
      <x:c r="B29" s="10">
        <x:v>9378</x:v>
      </x:c>
      <x:c r="C29" s="10">
        <x:v>13399</x:v>
      </x:c>
      <x:c r="D29" s="10" t="s">
        <x:v>9</x:v>
      </x:c>
      <x:c r="E29" s="10" t="s">
        <x:v>9</x:v>
      </x:c>
      <x:c r="F29" s="10">
        <x:v>29</x:v>
      </x:c>
      <x:c r="G29" s="10">
        <x:v>186</x:v>
      </x:c>
      <x:c r="H29" s="22">
        <x:f t="shared" si="0"/>
        <x:v>9000</x:v>
      </x:c>
      <x:c r="I29" s="22">
        <x:v>1674000</x:v>
      </x:c>
      <x:c r="J29" s="10">
        <x:v>2</x:v>
      </x:c>
      <x:c r="K29" s="10">
        <x:v>11</x:v>
      </x:c>
    </x:row>
    <x:row r="30">
      <x:c r="A30" s="10" t="s">
        <x:v>60</x:v>
      </x:c>
      <x:c r="B30" s="10">
        <x:v>9325</x:v>
      </x:c>
      <x:c r="C30" s="10">
        <x:v>13400</x:v>
      </x:c>
      <x:c r="D30" s="10" t="s">
        <x:v>9</x:v>
      </x:c>
      <x:c r="E30" s="10" t="s">
        <x:v>9</x:v>
      </x:c>
      <x:c r="F30" s="10">
        <x:v>0</x:v>
      </x:c>
      <x:c r="G30" s="10">
        <x:v>99</x:v>
      </x:c>
      <x:c r="H30" s="22">
        <x:f t="shared" si="0"/>
        <x:v>9000</x:v>
      </x:c>
      <x:c r="I30" s="22">
        <x:v>891000</x:v>
      </x:c>
      <x:c r="J30" s="10">
        <x:v>2</x:v>
      </x:c>
      <x:c r="K30" s="10">
        <x:v>12</x:v>
      </x:c>
    </x:row>
    <x:row r="31">
      <x:c r="A31" s="10" t="s">
        <x:v>60</x:v>
      </x:c>
      <x:c r="B31" s="10">
        <x:v>9326</x:v>
      </x:c>
      <x:c r="C31" s="10">
        <x:v>13401</x:v>
      </x:c>
      <x:c r="D31" s="10" t="s">
        <x:v>9</x:v>
      </x:c>
      <x:c r="E31" s="10" t="s">
        <x:v>9</x:v>
      </x:c>
      <x:c r="F31" s="10">
        <x:v>0</x:v>
      </x:c>
      <x:c r="G31" s="10">
        <x:v>99</x:v>
      </x:c>
      <x:c r="H31" s="22">
        <x:f t="shared" si="0"/>
        <x:v>9000</x:v>
      </x:c>
      <x:c r="I31" s="22">
        <x:v>891000</x:v>
      </x:c>
      <x:c r="J31" s="10">
        <x:v>2</x:v>
      </x:c>
      <x:c r="K31" s="10">
        <x:v>13</x:v>
      </x:c>
    </x:row>
    <x:row r="32">
      <x:c r="A32" s="10" t="s">
        <x:v>60</x:v>
      </x:c>
      <x:c r="B32" s="10">
        <x:v>9327</x:v>
      </x:c>
      <x:c r="C32" s="10">
        <x:v>13402</x:v>
      </x:c>
      <x:c r="D32" s="10" t="s">
        <x:v>9</x:v>
      </x:c>
      <x:c r="E32" s="10" t="s">
        <x:v>9</x:v>
      </x:c>
      <x:c r="F32" s="10">
        <x:v>0</x:v>
      </x:c>
      <x:c r="G32" s="10">
        <x:v>147</x:v>
      </x:c>
      <x:c r="H32" s="22">
        <x:f t="shared" si="0"/>
        <x:v>9000</x:v>
      </x:c>
      <x:c r="I32" s="22">
        <x:v>1323000</x:v>
      </x:c>
      <x:c r="J32" s="10">
        <x:v>2</x:v>
      </x:c>
      <x:c r="K32" s="10">
        <x:v>14</x:v>
      </x:c>
    </x:row>
    <x:row r="33">
      <x:c r="A33" s="10" t="s">
        <x:v>60</x:v>
      </x:c>
      <x:c r="B33" s="10">
        <x:v>9328</x:v>
      </x:c>
      <x:c r="C33" s="10">
        <x:v>13403</x:v>
      </x:c>
      <x:c r="D33" s="10" t="s">
        <x:v>9</x:v>
      </x:c>
      <x:c r="E33" s="10" t="s">
        <x:v>9</x:v>
      </x:c>
      <x:c r="F33" s="10">
        <x:v>0</x:v>
      </x:c>
      <x:c r="G33" s="10">
        <x:v>92</x:v>
      </x:c>
      <x:c r="H33" s="22">
        <x:f t="shared" si="0"/>
        <x:v>9000</x:v>
      </x:c>
      <x:c r="I33" s="22">
        <x:v>828000</x:v>
      </x:c>
      <x:c r="J33" s="10">
        <x:v>2</x:v>
      </x:c>
      <x:c r="K33" s="10">
        <x:v>15</x:v>
      </x:c>
    </x:row>
    <x:row r="34">
      <x:c r="A34" s="10" t="s">
        <x:v>60</x:v>
      </x:c>
      <x:c r="B34" s="10">
        <x:v>9476</x:v>
      </x:c>
      <x:c r="C34" s="10">
        <x:v>13404</x:v>
      </x:c>
      <x:c r="D34" s="10" t="s">
        <x:v>9</x:v>
      </x:c>
      <x:c r="E34" s="10" t="s">
        <x:v>9</x:v>
      </x:c>
      <x:c r="F34" s="10">
        <x:v>0</x:v>
      </x:c>
      <x:c r="G34" s="10">
        <x:v>93</x:v>
      </x:c>
      <x:c r="H34" s="22">
        <x:f t="shared" si="0"/>
        <x:v>9000</x:v>
      </x:c>
      <x:c r="I34" s="22">
        <x:v>837000</x:v>
      </x:c>
      <x:c r="J34" s="10">
        <x:v>2</x:v>
      </x:c>
      <x:c r="K34" s="10">
        <x:v>16</x:v>
      </x:c>
    </x:row>
    <x:row r="35">
      <x:c r="A35" s="10" t="s">
        <x:v>60</x:v>
      </x:c>
      <x:c r="B35" s="10">
        <x:v>9447</x:v>
      </x:c>
      <x:c r="C35" s="10">
        <x:v>13405</x:v>
      </x:c>
      <x:c r="D35" s="10" t="s">
        <x:v>9</x:v>
      </x:c>
      <x:c r="E35" s="10" t="s">
        <x:v>9</x:v>
      </x:c>
      <x:c r="F35" s="10">
        <x:v>0</x:v>
      </x:c>
      <x:c r="G35" s="10">
        <x:v>87</x:v>
      </x:c>
      <x:c r="H35" s="22">
        <x:f t="shared" si="0"/>
        <x:v>9000</x:v>
      </x:c>
      <x:c r="I35" s="22">
        <x:v>783000</x:v>
      </x:c>
      <x:c r="J35" s="10">
        <x:v>2</x:v>
      </x:c>
      <x:c r="K35" s="10">
        <x:v>17</x:v>
      </x:c>
    </x:row>
    <x:row r="36">
      <x:c r="A36" s="10" t="s">
        <x:v>60</x:v>
      </x:c>
      <x:c r="B36" s="10">
        <x:v>9427</x:v>
      </x:c>
      <x:c r="C36" s="10">
        <x:v>13406</x:v>
      </x:c>
      <x:c r="D36" s="10" t="s">
        <x:v>9</x:v>
      </x:c>
      <x:c r="E36" s="10" t="s">
        <x:v>9</x:v>
      </x:c>
      <x:c r="F36" s="10">
        <x:v>19</x:v>
      </x:c>
      <x:c r="G36" s="10">
        <x:v>90</x:v>
      </x:c>
      <x:c r="H36" s="22">
        <x:f t="shared" si="0"/>
        <x:v>9000</x:v>
      </x:c>
      <x:c r="I36" s="22">
        <x:v>810000</x:v>
      </x:c>
      <x:c r="J36" s="10">
        <x:v>2</x:v>
      </x:c>
      <x:c r="K36" s="10">
        <x:v>18</x:v>
      </x:c>
    </x:row>
    <x:row r="37">
      <x:c r="A37" s="10" t="s">
        <x:v>60</x:v>
      </x:c>
      <x:c r="B37" s="10">
        <x:v>9468</x:v>
      </x:c>
      <x:c r="C37" s="10">
        <x:v>13407</x:v>
      </x:c>
      <x:c r="D37" s="10" t="s">
        <x:v>9</x:v>
      </x:c>
      <x:c r="E37" s="10" t="s">
        <x:v>9</x:v>
      </x:c>
      <x:c r="F37" s="10">
        <x:v>0</x:v>
      </x:c>
      <x:c r="G37" s="10">
        <x:v>86</x:v>
      </x:c>
      <x:c r="H37" s="22">
        <x:f t="shared" si="0"/>
        <x:v>9000</x:v>
      </x:c>
      <x:c r="I37" s="22">
        <x:v>774000</x:v>
      </x:c>
      <x:c r="J37" s="10">
        <x:v>2</x:v>
      </x:c>
      <x:c r="K37" s="10">
        <x:v>19</x:v>
      </x:c>
    </x:row>
    <x:row r="38">
      <x:c r="A38" s="10" t="s">
        <x:v>60</x:v>
      </x:c>
      <x:c r="B38" s="10">
        <x:v>9431</x:v>
      </x:c>
      <x:c r="C38" s="10">
        <x:v>13408</x:v>
      </x:c>
      <x:c r="D38" s="10" t="s">
        <x:v>9</x:v>
      </x:c>
      <x:c r="E38" s="10" t="s">
        <x:v>9</x:v>
      </x:c>
      <x:c r="F38" s="10">
        <x:v>0</x:v>
      </x:c>
      <x:c r="G38" s="10">
        <x:v>89</x:v>
      </x:c>
      <x:c r="H38" s="22">
        <x:f t="shared" si="0"/>
        <x:v>9000</x:v>
      </x:c>
      <x:c r="I38" s="22">
        <x:v>801000</x:v>
      </x:c>
      <x:c r="J38" s="10">
        <x:v>2</x:v>
      </x:c>
      <x:c r="K38" s="10">
        <x:v>20</x:v>
      </x:c>
    </x:row>
    <x:row r="39">
      <x:c r="A39" s="10" t="s">
        <x:v>60</x:v>
      </x:c>
      <x:c r="B39" s="10">
        <x:v>9416</x:v>
      </x:c>
      <x:c r="C39" s="10">
        <x:v>13409</x:v>
      </x:c>
      <x:c r="D39" s="10" t="s">
        <x:v>9</x:v>
      </x:c>
      <x:c r="E39" s="10" t="s">
        <x:v>9</x:v>
      </x:c>
      <x:c r="F39" s="10">
        <x:v>15</x:v>
      </x:c>
      <x:c r="G39" s="10">
        <x:v>95</x:v>
      </x:c>
      <x:c r="H39" s="22">
        <x:f t="shared" si="0"/>
        <x:v>9000</x:v>
      </x:c>
      <x:c r="I39" s="22">
        <x:v>855000</x:v>
      </x:c>
      <x:c r="J39" s="10">
        <x:v>3</x:v>
      </x:c>
      <x:c r="K39" s="10">
        <x:v>1</x:v>
      </x:c>
    </x:row>
    <x:row r="40">
      <x:c r="A40" s="10" t="s">
        <x:v>60</x:v>
      </x:c>
      <x:c r="B40" s="10">
        <x:v>8595</x:v>
      </x:c>
      <x:c r="C40" s="10">
        <x:v>13410</x:v>
      </x:c>
      <x:c r="D40" s="10" t="s">
        <x:v>9</x:v>
      </x:c>
      <x:c r="E40" s="10" t="s">
        <x:v>9</x:v>
      </x:c>
      <x:c r="F40" s="10">
        <x:v>39</x:v>
      </x:c>
      <x:c r="G40" s="10">
        <x:v>196</x:v>
      </x:c>
      <x:c r="H40" s="22">
        <x:f t="shared" si="0"/>
        <x:v>9000</x:v>
      </x:c>
      <x:c r="I40" s="22">
        <x:v>1764000</x:v>
      </x:c>
      <x:c r="J40" s="10">
        <x:v>3</x:v>
      </x:c>
      <x:c r="K40" s="10">
        <x:v>2</x:v>
      </x:c>
    </x:row>
    <x:row r="41">
      <x:c r="A41" s="10" t="s">
        <x:v>60</x:v>
      </x:c>
      <x:c r="B41" s="10">
        <x:v>9434</x:v>
      </x:c>
      <x:c r="C41" s="10">
        <x:v>13411</x:v>
      </x:c>
      <x:c r="D41" s="10" t="s">
        <x:v>9</x:v>
      </x:c>
      <x:c r="E41" s="10" t="s">
        <x:v>9</x:v>
      </x:c>
      <x:c r="F41" s="10">
        <x:v>0</x:v>
      </x:c>
      <x:c r="G41" s="10">
        <x:v>106</x:v>
      </x:c>
      <x:c r="H41" s="22">
        <x:f t="shared" si="0"/>
        <x:v>9000</x:v>
      </x:c>
      <x:c r="I41" s="22">
        <x:v>954000</x:v>
      </x:c>
      <x:c r="J41" s="10">
        <x:v>3</x:v>
      </x:c>
      <x:c r="K41" s="10">
        <x:v>3</x:v>
      </x:c>
    </x:row>
    <x:row r="42">
      <x:c r="A42" s="10" t="s">
        <x:v>60</x:v>
      </x:c>
      <x:c r="B42" s="10">
        <x:v>9408</x:v>
      </x:c>
      <x:c r="C42" s="10">
        <x:v>13412</x:v>
      </x:c>
      <x:c r="D42" s="10" t="s">
        <x:v>9</x:v>
      </x:c>
      <x:c r="E42" s="10" t="s">
        <x:v>9</x:v>
      </x:c>
      <x:c r="F42" s="10">
        <x:v>0</x:v>
      </x:c>
      <x:c r="G42" s="10">
        <x:v>86</x:v>
      </x:c>
      <x:c r="H42" s="22">
        <x:f t="shared" si="0"/>
        <x:v>9000</x:v>
      </x:c>
      <x:c r="I42" s="22">
        <x:v>774000</x:v>
      </x:c>
      <x:c r="J42" s="10">
        <x:v>3</x:v>
      </x:c>
      <x:c r="K42" s="10">
        <x:v>4</x:v>
      </x:c>
    </x:row>
    <x:row r="43">
      <x:c r="A43" s="10" t="s">
        <x:v>60</x:v>
      </x:c>
      <x:c r="B43" s="10">
        <x:v>9407</x:v>
      </x:c>
      <x:c r="C43" s="10">
        <x:v>13413</x:v>
      </x:c>
      <x:c r="D43" s="10" t="s">
        <x:v>9</x:v>
      </x:c>
      <x:c r="E43" s="10" t="s">
        <x:v>9</x:v>
      </x:c>
      <x:c r="F43" s="10">
        <x:v>0</x:v>
      </x:c>
      <x:c r="G43" s="10">
        <x:v>95</x:v>
      </x:c>
      <x:c r="H43" s="22">
        <x:f t="shared" si="0"/>
        <x:v>9000</x:v>
      </x:c>
      <x:c r="I43" s="22">
        <x:v>855000</x:v>
      </x:c>
      <x:c r="J43" s="10">
        <x:v>3</x:v>
      </x:c>
      <x:c r="K43" s="10">
        <x:v>5</x:v>
      </x:c>
    </x:row>
    <x:row r="44">
      <x:c r="A44" s="10" t="s">
        <x:v>60</x:v>
      </x:c>
      <x:c r="B44" s="10">
        <x:v>9337</x:v>
      </x:c>
      <x:c r="C44" s="10">
        <x:v>13414</x:v>
      </x:c>
      <x:c r="D44" s="10" t="s">
        <x:v>9</x:v>
      </x:c>
      <x:c r="E44" s="10" t="s">
        <x:v>9</x:v>
      </x:c>
      <x:c r="F44" s="10">
        <x:v>0</x:v>
      </x:c>
      <x:c r="G44" s="10">
        <x:v>99</x:v>
      </x:c>
      <x:c r="H44" s="22">
        <x:f t="shared" si="0"/>
        <x:v>9000</x:v>
      </x:c>
      <x:c r="I44" s="22">
        <x:v>891000</x:v>
      </x:c>
      <x:c r="J44" s="10">
        <x:v>3</x:v>
      </x:c>
      <x:c r="K44" s="10">
        <x:v>6</x:v>
      </x:c>
    </x:row>
    <x:row r="45">
      <x:c r="A45" s="10" t="s">
        <x:v>60</x:v>
      </x:c>
      <x:c r="B45" s="10">
        <x:v>8600</x:v>
      </x:c>
      <x:c r="C45" s="10">
        <x:v>13415</x:v>
      </x:c>
      <x:c r="D45" s="10" t="s">
        <x:v>9</x:v>
      </x:c>
      <x:c r="E45" s="10" t="s">
        <x:v>9</x:v>
      </x:c>
      <x:c r="F45" s="10">
        <x:v>46</x:v>
      </x:c>
      <x:c r="G45" s="10">
        <x:v>198</x:v>
      </x:c>
      <x:c r="H45" s="22">
        <x:f t="shared" si="0"/>
        <x:v>9000</x:v>
      </x:c>
      <x:c r="I45" s="22">
        <x:v>1782000</x:v>
      </x:c>
      <x:c r="J45" s="10">
        <x:v>3</x:v>
      </x:c>
      <x:c r="K45" s="10">
        <x:v>7</x:v>
      </x:c>
    </x:row>
    <x:row r="46">
      <x:c r="A46" s="10" t="s">
        <x:v>60</x:v>
      </x:c>
      <x:c r="B46" s="10">
        <x:v>9464</x:v>
      </x:c>
      <x:c r="C46" s="10">
        <x:v>13416</x:v>
      </x:c>
      <x:c r="D46" s="10" t="s">
        <x:v>6</x:v>
      </x:c>
      <x:c r="E46" s="10" t="s">
        <x:v>6</x:v>
      </x:c>
      <x:c r="F46" s="10">
        <x:v>0</x:v>
      </x:c>
      <x:c r="G46" s="10">
        <x:v>20</x:v>
      </x:c>
      <x:c r="H46" s="22">
        <x:f t="shared" si="0"/>
        <x:v>7500</x:v>
      </x:c>
      <x:c r="I46" s="22">
        <x:v>150000</x:v>
      </x:c>
      <x:c r="J46" s="10">
        <x:v>3</x:v>
      </x:c>
      <x:c r="K46" s="10">
        <x:v>8</x:v>
      </x:c>
    </x:row>
    <x:row r="47">
      <x:c r="A47" s="10" t="s">
        <x:v>60</x:v>
      </x:c>
      <x:c r="B47" s="10">
        <x:v>9357</x:v>
      </x:c>
      <x:c r="C47" s="10">
        <x:v>13417</x:v>
      </x:c>
      <x:c r="D47" s="10" t="s">
        <x:v>9</x:v>
      </x:c>
      <x:c r="E47" s="10" t="s">
        <x:v>9</x:v>
      </x:c>
      <x:c r="F47" s="10">
        <x:v>23</x:v>
      </x:c>
      <x:c r="G47" s="10">
        <x:v>85</x:v>
      </x:c>
      <x:c r="H47" s="22">
        <x:f t="shared" si="0"/>
        <x:v>9000</x:v>
      </x:c>
      <x:c r="I47" s="22">
        <x:v>765000</x:v>
      </x:c>
      <x:c r="J47" s="10">
        <x:v>3</x:v>
      </x:c>
      <x:c r="K47" s="10">
        <x:v>9</x:v>
      </x:c>
    </x:row>
    <x:row r="48">
      <x:c r="A48" s="10" t="s">
        <x:v>60</x:v>
      </x:c>
      <x:c r="B48" s="10">
        <x:v>9358</x:v>
      </x:c>
      <x:c r="C48" s="10">
        <x:v>13418</x:v>
      </x:c>
      <x:c r="D48" s="10" t="s">
        <x:v>9</x:v>
      </x:c>
      <x:c r="E48" s="10" t="s">
        <x:v>9</x:v>
      </x:c>
      <x:c r="F48" s="10">
        <x:v>25</x:v>
      </x:c>
      <x:c r="G48" s="10">
        <x:v>95</x:v>
      </x:c>
      <x:c r="H48" s="22">
        <x:f t="shared" si="0"/>
        <x:v>9000</x:v>
      </x:c>
      <x:c r="I48" s="22">
        <x:v>855000</x:v>
      </x:c>
      <x:c r="J48" s="10">
        <x:v>3</x:v>
      </x:c>
      <x:c r="K48" s="10">
        <x:v>10</x:v>
      </x:c>
    </x:row>
    <x:row r="49">
      <x:c r="A49" s="10" t="s">
        <x:v>60</x:v>
      </x:c>
      <x:c r="B49" s="10">
        <x:v>9318</x:v>
      </x:c>
      <x:c r="C49" s="10">
        <x:v>13419</x:v>
      </x:c>
      <x:c r="D49" s="10" t="s">
        <x:v>9</x:v>
      </x:c>
      <x:c r="E49" s="10" t="s">
        <x:v>9</x:v>
      </x:c>
      <x:c r="F49" s="10">
        <x:v>0</x:v>
      </x:c>
      <x:c r="G49" s="10">
        <x:v>74</x:v>
      </x:c>
      <x:c r="H49" s="22">
        <x:f t="shared" si="0"/>
        <x:v>9000</x:v>
      </x:c>
      <x:c r="I49" s="22">
        <x:v>666000</x:v>
      </x:c>
      <x:c r="J49" s="10">
        <x:v>3</x:v>
      </x:c>
      <x:c r="K49" s="10">
        <x:v>11</x:v>
      </x:c>
    </x:row>
    <x:row r="50">
      <x:c r="A50" s="10" t="s">
        <x:v>60</x:v>
      </x:c>
      <x:c r="B50" s="10">
        <x:v>9320</x:v>
      </x:c>
      <x:c r="C50" s="10">
        <x:v>13420</x:v>
      </x:c>
      <x:c r="D50" s="10" t="s">
        <x:v>9</x:v>
      </x:c>
      <x:c r="E50" s="10" t="s">
        <x:v>9</x:v>
      </x:c>
      <x:c r="F50" s="10">
        <x:v>0</x:v>
      </x:c>
      <x:c r="G50" s="10">
        <x:v>78</x:v>
      </x:c>
      <x:c r="H50" s="22">
        <x:f t="shared" si="0"/>
        <x:v>9000</x:v>
      </x:c>
      <x:c r="I50" s="22">
        <x:v>702000</x:v>
      </x:c>
      <x:c r="J50" s="10">
        <x:v>3</x:v>
      </x:c>
      <x:c r="K50" s="10">
        <x:v>12</x:v>
      </x:c>
    </x:row>
    <x:row r="51">
      <x:c r="A51" s="10" t="s">
        <x:v>60</x:v>
      </x:c>
      <x:c r="B51" s="10">
        <x:v>9338</x:v>
      </x:c>
      <x:c r="C51" s="10">
        <x:v>13421</x:v>
      </x:c>
      <x:c r="D51" s="10" t="s">
        <x:v>9</x:v>
      </x:c>
      <x:c r="E51" s="10" t="s">
        <x:v>9</x:v>
      </x:c>
      <x:c r="F51" s="10">
        <x:v>31</x:v>
      </x:c>
      <x:c r="G51" s="10">
        <x:v>186</x:v>
      </x:c>
      <x:c r="H51" s="22">
        <x:f t="shared" si="0"/>
        <x:v>9000</x:v>
      </x:c>
      <x:c r="I51" s="22">
        <x:v>1674000</x:v>
      </x:c>
      <x:c r="J51" s="10">
        <x:v>3</x:v>
      </x:c>
      <x:c r="K51" s="10">
        <x:v>13</x:v>
      </x:c>
    </x:row>
    <x:row r="52">
      <x:c r="A52" s="10" t="s">
        <x:v>60</x:v>
      </x:c>
      <x:c r="B52" s="10">
        <x:v>9478</x:v>
      </x:c>
      <x:c r="C52" s="10">
        <x:v>13422</x:v>
      </x:c>
      <x:c r="D52" s="10" t="s">
        <x:v>9</x:v>
      </x:c>
      <x:c r="E52" s="10" t="s">
        <x:v>9</x:v>
      </x:c>
      <x:c r="F52" s="10">
        <x:v>20</x:v>
      </x:c>
      <x:c r="G52" s="10">
        <x:v>95</x:v>
      </x:c>
      <x:c r="H52" s="22">
        <x:f t="shared" si="0"/>
        <x:v>9000</x:v>
      </x:c>
      <x:c r="I52" s="22">
        <x:v>855000</x:v>
      </x:c>
      <x:c r="J52" s="10">
        <x:v>3</x:v>
      </x:c>
      <x:c r="K52" s="10">
        <x:v>14</x:v>
      </x:c>
    </x:row>
    <x:row r="53">
      <x:c r="A53" s="10" t="s">
        <x:v>60</x:v>
      </x:c>
      <x:c r="B53" s="10">
        <x:v>9501</x:v>
      </x:c>
      <x:c r="C53" s="10">
        <x:v>13423</x:v>
      </x:c>
      <x:c r="D53" s="10" t="s">
        <x:v>9</x:v>
      </x:c>
      <x:c r="E53" s="10" t="s">
        <x:v>9</x:v>
      </x:c>
      <x:c r="F53" s="10">
        <x:v>0</x:v>
      </x:c>
      <x:c r="G53" s="10">
        <x:v>104</x:v>
      </x:c>
      <x:c r="H53" s="22">
        <x:f t="shared" si="0"/>
        <x:v>9000</x:v>
      </x:c>
      <x:c r="I53" s="22">
        <x:v>936000</x:v>
      </x:c>
      <x:c r="J53" s="10">
        <x:v>3</x:v>
      </x:c>
      <x:c r="K53" s="10">
        <x:v>15</x:v>
      </x:c>
    </x:row>
    <x:row r="54">
      <x:c r="A54" s="10" t="s">
        <x:v>60</x:v>
      </x:c>
      <x:c r="B54" s="10">
        <x:v>9503</x:v>
      </x:c>
      <x:c r="C54" s="10">
        <x:v>13424</x:v>
      </x:c>
      <x:c r="D54" s="10" t="s">
        <x:v>9</x:v>
      </x:c>
      <x:c r="E54" s="10" t="s">
        <x:v>9</x:v>
      </x:c>
      <x:c r="F54" s="10">
        <x:v>0</x:v>
      </x:c>
      <x:c r="G54" s="10">
        <x:v>86</x:v>
      </x:c>
      <x:c r="H54" s="22">
        <x:f t="shared" si="0"/>
        <x:v>9000</x:v>
      </x:c>
      <x:c r="I54" s="22">
        <x:v>774000</x:v>
      </x:c>
      <x:c r="J54" s="10">
        <x:v>3</x:v>
      </x:c>
      <x:c r="K54" s="10">
        <x:v>16</x:v>
      </x:c>
    </x:row>
    <x:row r="55">
      <x:c r="A55" s="10" t="s">
        <x:v>60</x:v>
      </x:c>
      <x:c r="B55" s="10">
        <x:v>9354</x:v>
      </x:c>
      <x:c r="C55" s="10">
        <x:v>13425</x:v>
      </x:c>
      <x:c r="D55" s="10" t="s">
        <x:v>9</x:v>
      </x:c>
      <x:c r="E55" s="10" t="s">
        <x:v>9</x:v>
      </x:c>
      <x:c r="F55" s="10">
        <x:v>15</x:v>
      </x:c>
      <x:c r="G55" s="10">
        <x:v>85</x:v>
      </x:c>
      <x:c r="H55" s="22">
        <x:f t="shared" si="0"/>
        <x:v>9000</x:v>
      </x:c>
      <x:c r="I55" s="22">
        <x:v>765000</x:v>
      </x:c>
      <x:c r="J55" s="10">
        <x:v>3</x:v>
      </x:c>
      <x:c r="K55" s="10">
        <x:v>17</x:v>
      </x:c>
    </x:row>
    <x:row r="56">
      <x:c r="A56" s="10" t="s">
        <x:v>60</x:v>
      </x:c>
      <x:c r="B56" s="10">
        <x:v>9355</x:v>
      </x:c>
      <x:c r="C56" s="10">
        <x:v>13426</x:v>
      </x:c>
      <x:c r="D56" s="10" t="s">
        <x:v>9</x:v>
      </x:c>
      <x:c r="E56" s="10" t="s">
        <x:v>9</x:v>
      </x:c>
      <x:c r="F56" s="10">
        <x:v>16</x:v>
      </x:c>
      <x:c r="G56" s="10">
        <x:v>80</x:v>
      </x:c>
      <x:c r="H56" s="22">
        <x:f t="shared" si="0"/>
        <x:v>9000</x:v>
      </x:c>
      <x:c r="I56" s="22">
        <x:v>720000</x:v>
      </x:c>
      <x:c r="J56" s="10">
        <x:v>3</x:v>
      </x:c>
      <x:c r="K56" s="10">
        <x:v>18</x:v>
      </x:c>
    </x:row>
    <x:row r="57">
      <x:c r="A57" s="10" t="s">
        <x:v>60</x:v>
      </x:c>
      <x:c r="B57" s="10">
        <x:v>8512</x:v>
      </x:c>
      <x:c r="C57" s="10">
        <x:v>13427</x:v>
      </x:c>
      <x:c r="D57" s="10" t="s">
        <x:v>9</x:v>
      </x:c>
      <x:c r="E57" s="10" t="s">
        <x:v>9</x:v>
      </x:c>
      <x:c r="F57" s="10">
        <x:v>44</x:v>
      </x:c>
      <x:c r="G57" s="10">
        <x:v>202</x:v>
      </x:c>
      <x:c r="H57" s="22">
        <x:f t="shared" si="0"/>
        <x:v>9000</x:v>
      </x:c>
      <x:c r="I57" s="22">
        <x:v>1818000</x:v>
      </x:c>
      <x:c r="J57" s="10">
        <x:v>3</x:v>
      </x:c>
      <x:c r="K57" s="10">
        <x:v>19</x:v>
      </x:c>
    </x:row>
    <x:row r="58">
      <x:c r="A58" s="10" t="s">
        <x:v>60</x:v>
      </x:c>
      <x:c r="B58" s="10">
        <x:v>8577</x:v>
      </x:c>
      <x:c r="C58" s="10">
        <x:v>13428</x:v>
      </x:c>
      <x:c r="D58" s="10" t="s">
        <x:v>9</x:v>
      </x:c>
      <x:c r="E58" s="10" t="s">
        <x:v>9</x:v>
      </x:c>
      <x:c r="F58" s="10">
        <x:v>43</x:v>
      </x:c>
      <x:c r="G58" s="10">
        <x:v>200</x:v>
      </x:c>
      <x:c r="H58" s="22">
        <x:f t="shared" si="0"/>
        <x:v>9000</x:v>
      </x:c>
      <x:c r="I58" s="22">
        <x:v>1800000</x:v>
      </x:c>
      <x:c r="J58" s="10">
        <x:v>3</x:v>
      </x:c>
      <x:c r="K58" s="10">
        <x:v>20</x:v>
      </x:c>
    </x:row>
    <x:row r="59">
      <x:c r="A59" s="10" t="s">
        <x:v>60</x:v>
      </x:c>
      <x:c r="B59" s="10">
        <x:v>9207</x:v>
      </x:c>
      <x:c r="C59" s="10">
        <x:v>13608</x:v>
      </x:c>
      <x:c r="D59" s="10" t="s">
        <x:v>9</x:v>
      </x:c>
      <x:c r="E59" s="10" t="s">
        <x:v>9</x:v>
      </x:c>
      <x:c r="F59" s="10">
        <x:v>14</x:v>
      </x:c>
      <x:c r="G59" s="10">
        <x:v>77</x:v>
      </x:c>
      <x:c r="H59" s="22">
        <x:f t="shared" si="0"/>
        <x:v>9000</x:v>
      </x:c>
      <x:c r="I59" s="22">
        <x:v>693000</x:v>
      </x:c>
      <x:c r="J59" s="10">
        <x:v>4</x:v>
      </x:c>
      <x:c r="K59" s="10">
        <x:v>1</x:v>
      </x:c>
    </x:row>
    <x:row r="60">
      <x:c r="A60" s="10" t="s">
        <x:v>60</x:v>
      </x:c>
      <x:c r="B60" s="10">
        <x:v>9223</x:v>
      </x:c>
      <x:c r="C60" s="10">
        <x:v>13609</x:v>
      </x:c>
      <x:c r="D60" s="10" t="s">
        <x:v>9</x:v>
      </x:c>
      <x:c r="E60" s="10" t="s">
        <x:v>9</x:v>
      </x:c>
      <x:c r="F60" s="10">
        <x:v>33</x:v>
      </x:c>
      <x:c r="G60" s="10">
        <x:v>183</x:v>
      </x:c>
      <x:c r="H60" s="22">
        <x:f t="shared" si="0"/>
        <x:v>9000</x:v>
      </x:c>
      <x:c r="I60" s="22">
        <x:v>1647000</x:v>
      </x:c>
      <x:c r="J60" s="10">
        <x:v>4</x:v>
      </x:c>
      <x:c r="K60" s="10">
        <x:v>2</x:v>
      </x:c>
    </x:row>
    <x:row r="61">
      <x:c r="A61" s="10" t="s">
        <x:v>60</x:v>
      </x:c>
      <x:c r="B61" s="10">
        <x:v>9131</x:v>
      </x:c>
      <x:c r="C61" s="10">
        <x:v>13610</x:v>
      </x:c>
      <x:c r="D61" s="10" t="s">
        <x:v>9</x:v>
      </x:c>
      <x:c r="E61" s="10" t="s">
        <x:v>9</x:v>
      </x:c>
      <x:c r="F61" s="10">
        <x:v>16</x:v>
      </x:c>
      <x:c r="G61" s="10">
        <x:v>88</x:v>
      </x:c>
      <x:c r="H61" s="22">
        <x:f t="shared" si="0"/>
        <x:v>9000</x:v>
      </x:c>
      <x:c r="I61" s="22">
        <x:v>792000</x:v>
      </x:c>
      <x:c r="J61" s="10">
        <x:v>4</x:v>
      </x:c>
      <x:c r="K61" s="10">
        <x:v>3</x:v>
      </x:c>
    </x:row>
    <x:row r="62">
      <x:c r="A62" s="10" t="s">
        <x:v>60</x:v>
      </x:c>
      <x:c r="B62" s="10">
        <x:v>9170</x:v>
      </x:c>
      <x:c r="C62" s="10">
        <x:v>13611</x:v>
      </x:c>
      <x:c r="D62" s="10" t="s">
        <x:v>9</x:v>
      </x:c>
      <x:c r="E62" s="10" t="s">
        <x:v>9</x:v>
      </x:c>
      <x:c r="F62" s="10">
        <x:v>58</x:v>
      </x:c>
      <x:c r="G62" s="10">
        <x:v>300</x:v>
      </x:c>
      <x:c r="H62" s="22">
        <x:f t="shared" si="0"/>
        <x:v>9000</x:v>
      </x:c>
      <x:c r="I62" s="22">
        <x:v>2700000</x:v>
      </x:c>
      <x:c r="J62" s="10">
        <x:v>4</x:v>
      </x:c>
      <x:c r="K62" s="10">
        <x:v>4</x:v>
      </x:c>
    </x:row>
    <x:row r="63">
      <x:c r="A63" s="10" t="s">
        <x:v>60</x:v>
      </x:c>
      <x:c r="B63" s="10">
        <x:v>9178</x:v>
      </x:c>
      <x:c r="C63" s="10">
        <x:v>13612</x:v>
      </x:c>
      <x:c r="D63" s="10" t="s">
        <x:v>9</x:v>
      </x:c>
      <x:c r="E63" s="10" t="s">
        <x:v>9</x:v>
      </x:c>
      <x:c r="F63" s="10">
        <x:v>20</x:v>
      </x:c>
      <x:c r="G63" s="10">
        <x:v>105</x:v>
      </x:c>
      <x:c r="H63" s="22">
        <x:f t="shared" si="0"/>
        <x:v>9000</x:v>
      </x:c>
      <x:c r="I63" s="22">
        <x:v>945000</x:v>
      </x:c>
      <x:c r="J63" s="10">
        <x:v>4</x:v>
      </x:c>
      <x:c r="K63" s="10">
        <x:v>5</x:v>
      </x:c>
    </x:row>
    <x:row r="64">
      <x:c r="A64" s="10" t="s">
        <x:v>60</x:v>
      </x:c>
      <x:c r="B64" s="10">
        <x:v>9226</x:v>
      </x:c>
      <x:c r="C64" s="10">
        <x:v>13613</x:v>
      </x:c>
      <x:c r="D64" s="10" t="s">
        <x:v>9</x:v>
      </x:c>
      <x:c r="E64" s="10" t="s">
        <x:v>9</x:v>
      </x:c>
      <x:c r="F64" s="10">
        <x:v>32</x:v>
      </x:c>
      <x:c r="G64" s="10">
        <x:v>190</x:v>
      </x:c>
      <x:c r="H64" s="22">
        <x:f t="shared" si="0"/>
        <x:v>9000</x:v>
      </x:c>
      <x:c r="I64" s="22">
        <x:v>1710000</x:v>
      </x:c>
      <x:c r="J64" s="10">
        <x:v>4</x:v>
      </x:c>
      <x:c r="K64" s="10">
        <x:v>6</x:v>
      </x:c>
    </x:row>
    <x:row r="65">
      <x:c r="A65" s="10" t="s">
        <x:v>60</x:v>
      </x:c>
      <x:c r="B65" s="10">
        <x:v>9209</x:v>
      </x:c>
      <x:c r="C65" s="10">
        <x:v>13614</x:v>
      </x:c>
      <x:c r="D65" s="10" t="s">
        <x:v>9</x:v>
      </x:c>
      <x:c r="E65" s="10" t="s">
        <x:v>9</x:v>
      </x:c>
      <x:c r="F65" s="10">
        <x:v>18</x:v>
      </x:c>
      <x:c r="G65" s="10">
        <x:v>111</x:v>
      </x:c>
      <x:c r="H65" s="22">
        <x:f t="shared" si="0"/>
        <x:v>9000</x:v>
      </x:c>
      <x:c r="I65" s="22">
        <x:v>999000</x:v>
      </x:c>
      <x:c r="J65" s="10">
        <x:v>4</x:v>
      </x:c>
      <x:c r="K65" s="10">
        <x:v>7</x:v>
      </x:c>
    </x:row>
    <x:row r="66">
      <x:c r="A66" s="10" t="s">
        <x:v>60</x:v>
      </x:c>
      <x:c r="B66" s="10">
        <x:v>10511</x:v>
      </x:c>
      <x:c r="C66" s="10">
        <x:v>13615</x:v>
      </x:c>
      <x:c r="D66" s="10" t="s">
        <x:v>9</x:v>
      </x:c>
      <x:c r="E66" s="10" t="s">
        <x:v>33</x:v>
      </x:c>
      <x:c r="F66" s="10">
        <x:v>26</x:v>
      </x:c>
      <x:c r="G66" s="10">
        <x:v>194</x:v>
      </x:c>
      <x:c r="H66" s="22">
        <x:f t="shared" si="0"/>
        <x:v>8586.847858175257</x:v>
      </x:c>
      <x:c r="I66" s="22">
        <x:v>1665848.4844859999</x:v>
      </x:c>
      <x:c r="J66" s="10">
        <x:v>4</x:v>
      </x:c>
      <x:c r="K66" s="10">
        <x:v>8</x:v>
      </x:c>
    </x:row>
    <x:row r="67">
      <x:c r="A67" s="10" t="s">
        <x:v>60</x:v>
      </x:c>
      <x:c r="B67" s="10">
        <x:v>10495</x:v>
      </x:c>
      <x:c r="C67" s="10">
        <x:v>13616</x:v>
      </x:c>
      <x:c r="D67" s="10" t="s">
        <x:v>9</x:v>
      </x:c>
      <x:c r="E67" s="10" t="s">
        <x:v>33</x:v>
      </x:c>
      <x:c r="F67" s="10">
        <x:v>41</x:v>
      </x:c>
      <x:c r="G67" s="10">
        <x:v>192</x:v>
      </x:c>
      <x:c r="H67" s="22" t="n">
        <x:f t="shared" ref="H67:H130" si="1">I67/G67</x:f>
        <x:v>8676.294190031249</x:v>
      </x:c>
      <x:c r="I67" s="22">
        <x:v>1665848.4844859999</x:v>
      </x:c>
      <x:c r="J67" s="10">
        <x:v>4</x:v>
      </x:c>
      <x:c r="K67" s="10">
        <x:v>9</x:v>
      </x:c>
    </x:row>
    <x:row r="68">
      <x:c r="A68" s="10" t="s">
        <x:v>60</x:v>
      </x:c>
      <x:c r="B68" s="10">
        <x:v>10484</x:v>
      </x:c>
      <x:c r="C68" s="10">
        <x:v>13617</x:v>
      </x:c>
      <x:c r="D68" s="10" t="s">
        <x:v>9</x:v>
      </x:c>
      <x:c r="E68" s="10" t="s">
        <x:v>33</x:v>
      </x:c>
      <x:c r="F68" s="10">
        <x:v>41</x:v>
      </x:c>
      <x:c r="G68" s="10">
        <x:v>192</x:v>
      </x:c>
      <x:c r="H68" s="22">
        <x:f t="shared" si="1"/>
        <x:v>8676.2941900312489</x:v>
      </x:c>
      <x:c r="I68" s="22">
        <x:v>1665848.4844859999</x:v>
      </x:c>
      <x:c r="J68" s="10">
        <x:v>4</x:v>
      </x:c>
      <x:c r="K68" s="10">
        <x:v>10</x:v>
      </x:c>
    </x:row>
    <x:row r="69">
      <x:c r="A69" s="10" t="s">
        <x:v>60</x:v>
      </x:c>
      <x:c r="B69" s="10">
        <x:v>9294</x:v>
      </x:c>
      <x:c r="C69" s="10">
        <x:v>13618</x:v>
      </x:c>
      <x:c r="D69" s="10" t="s">
        <x:v>9</x:v>
      </x:c>
      <x:c r="E69" s="10" t="s">
        <x:v>9</x:v>
      </x:c>
      <x:c r="F69" s="10">
        <x:v>15</x:v>
      </x:c>
      <x:c r="G69" s="10">
        <x:v>82</x:v>
      </x:c>
      <x:c r="H69" s="22">
        <x:f t="shared" si="1"/>
        <x:v>9000</x:v>
      </x:c>
      <x:c r="I69" s="22">
        <x:v>738000</x:v>
      </x:c>
      <x:c r="J69" s="10">
        <x:v>4</x:v>
      </x:c>
      <x:c r="K69" s="10">
        <x:v>11</x:v>
      </x:c>
    </x:row>
    <x:row r="70">
      <x:c r="A70" s="10" t="s">
        <x:v>60</x:v>
      </x:c>
      <x:c r="B70" s="10">
        <x:v>9319</x:v>
      </x:c>
      <x:c r="C70" s="10">
        <x:v>13619</x:v>
      </x:c>
      <x:c r="D70" s="10" t="s">
        <x:v>9</x:v>
      </x:c>
      <x:c r="E70" s="10" t="s">
        <x:v>9</x:v>
      </x:c>
      <x:c r="F70" s="10">
        <x:v>31</x:v>
      </x:c>
      <x:c r="G70" s="10">
        <x:v>181</x:v>
      </x:c>
      <x:c r="H70" s="22">
        <x:f t="shared" si="1"/>
        <x:v>9000</x:v>
      </x:c>
      <x:c r="I70" s="22">
        <x:v>1629000</x:v>
      </x:c>
      <x:c r="J70" s="10">
        <x:v>4</x:v>
      </x:c>
      <x:c r="K70" s="10">
        <x:v>12</x:v>
      </x:c>
    </x:row>
    <x:row r="71">
      <x:c r="A71" s="10" t="s">
        <x:v>60</x:v>
      </x:c>
      <x:c r="B71" s="10">
        <x:v>8934</x:v>
      </x:c>
      <x:c r="C71" s="10">
        <x:v>13620</x:v>
      </x:c>
      <x:c r="D71" s="10" t="s">
        <x:v>9</x:v>
      </x:c>
      <x:c r="E71" s="10" t="s">
        <x:v>9</x:v>
      </x:c>
      <x:c r="F71" s="10">
        <x:v>61</x:v>
      </x:c>
      <x:c r="G71" s="10">
        <x:v>369</x:v>
      </x:c>
      <x:c r="H71" s="22">
        <x:f t="shared" si="1"/>
        <x:v>9000</x:v>
      </x:c>
      <x:c r="I71" s="22">
        <x:v>3321000</x:v>
      </x:c>
      <x:c r="J71" s="10">
        <x:v>4</x:v>
      </x:c>
      <x:c r="K71" s="10">
        <x:v>13</x:v>
      </x:c>
    </x:row>
    <x:row r="72">
      <x:c r="A72" s="10" t="s">
        <x:v>60</x:v>
      </x:c>
      <x:c r="B72" s="10">
        <x:v>9296</x:v>
      </x:c>
      <x:c r="C72" s="10">
        <x:v>13621</x:v>
      </x:c>
      <x:c r="D72" s="10" t="s">
        <x:v>9</x:v>
      </x:c>
      <x:c r="E72" s="10" t="s">
        <x:v>9</x:v>
      </x:c>
      <x:c r="F72" s="10">
        <x:v>28</x:v>
      </x:c>
      <x:c r="G72" s="10">
        <x:v>189</x:v>
      </x:c>
      <x:c r="H72" s="22">
        <x:f t="shared" si="1"/>
        <x:v>9000</x:v>
      </x:c>
      <x:c r="I72" s="22">
        <x:v>1701000</x:v>
      </x:c>
      <x:c r="J72" s="10">
        <x:v>4</x:v>
      </x:c>
      <x:c r="K72" s="10">
        <x:v>14</x:v>
      </x:c>
    </x:row>
    <x:row r="73">
      <x:c r="A73" s="10" t="s">
        <x:v>60</x:v>
      </x:c>
      <x:c r="B73" s="10">
        <x:v>8917</x:v>
      </x:c>
      <x:c r="C73" s="10">
        <x:v>13622</x:v>
      </x:c>
      <x:c r="D73" s="10" t="s">
        <x:v>9</x:v>
      </x:c>
      <x:c r="E73" s="10" t="s">
        <x:v>9</x:v>
      </x:c>
      <x:c r="F73" s="10">
        <x:v>44</x:v>
      </x:c>
      <x:c r="G73" s="10">
        <x:v>201</x:v>
      </x:c>
      <x:c r="H73" s="22">
        <x:f t="shared" si="1"/>
        <x:v>9000</x:v>
      </x:c>
      <x:c r="I73" s="22">
        <x:v>1809000</x:v>
      </x:c>
      <x:c r="J73" s="10">
        <x:v>4</x:v>
      </x:c>
      <x:c r="K73" s="10">
        <x:v>15</x:v>
      </x:c>
    </x:row>
    <x:row r="74">
      <x:c r="A74" s="10" t="s">
        <x:v>60</x:v>
      </x:c>
      <x:c r="B74" s="10">
        <x:v>8822</x:v>
      </x:c>
      <x:c r="C74" s="10">
        <x:v>13623</x:v>
      </x:c>
      <x:c r="D74" s="10" t="s">
        <x:v>9</x:v>
      </x:c>
      <x:c r="E74" s="10" t="s">
        <x:v>9</x:v>
      </x:c>
      <x:c r="F74" s="10">
        <x:v>18</x:v>
      </x:c>
      <x:c r="G74" s="10">
        <x:v>62</x:v>
      </x:c>
      <x:c r="H74" s="22">
        <x:f t="shared" si="1"/>
        <x:v>9000</x:v>
      </x:c>
      <x:c r="I74" s="22">
        <x:v>558000</x:v>
      </x:c>
      <x:c r="J74" s="10">
        <x:v>4</x:v>
      </x:c>
      <x:c r="K74" s="10">
        <x:v>16</x:v>
      </x:c>
    </x:row>
    <x:row r="75">
      <x:c r="A75" s="10" t="s">
        <x:v>60</x:v>
      </x:c>
      <x:c r="B75" s="10">
        <x:v>8654</x:v>
      </x:c>
      <x:c r="C75" s="10">
        <x:v>13624</x:v>
      </x:c>
      <x:c r="D75" s="10" t="s">
        <x:v>9</x:v>
      </x:c>
      <x:c r="E75" s="10" t="s">
        <x:v>9</x:v>
      </x:c>
      <x:c r="F75" s="10">
        <x:v>50</x:v>
      </x:c>
      <x:c r="G75" s="10">
        <x:v>200</x:v>
      </x:c>
      <x:c r="H75" s="22">
        <x:f t="shared" si="1"/>
        <x:v>9000</x:v>
      </x:c>
      <x:c r="I75" s="22">
        <x:v>1800000</x:v>
      </x:c>
      <x:c r="J75" s="10">
        <x:v>4</x:v>
      </x:c>
      <x:c r="K75" s="10">
        <x:v>17</x:v>
      </x:c>
    </x:row>
    <x:row r="76">
      <x:c r="A76" s="10" t="s">
        <x:v>60</x:v>
      </x:c>
      <x:c r="B76" s="10">
        <x:v>10502</x:v>
      </x:c>
      <x:c r="C76" s="10">
        <x:v>13625</x:v>
      </x:c>
      <x:c r="D76" s="10" t="s">
        <x:v>9</x:v>
      </x:c>
      <x:c r="E76" s="10" t="s">
        <x:v>33</x:v>
      </x:c>
      <x:c r="F76" s="10">
        <x:v>35</x:v>
      </x:c>
      <x:c r="G76" s="10">
        <x:v>192</x:v>
      </x:c>
      <x:c r="H76" s="22">
        <x:f t="shared" si="1"/>
        <x:v>8676.2941900312489</x:v>
      </x:c>
      <x:c r="I76" s="22">
        <x:v>1665848.4844859999</x:v>
      </x:c>
      <x:c r="J76" s="10">
        <x:v>4</x:v>
      </x:c>
      <x:c r="K76" s="10">
        <x:v>18</x:v>
      </x:c>
    </x:row>
    <x:row r="77">
      <x:c r="A77" s="10" t="s">
        <x:v>60</x:v>
      </x:c>
      <x:c r="B77" s="10">
        <x:v>10488</x:v>
      </x:c>
      <x:c r="C77" s="10">
        <x:v>13626</x:v>
      </x:c>
      <x:c r="D77" s="10" t="s">
        <x:v>9</x:v>
      </x:c>
      <x:c r="E77" s="10" t="s">
        <x:v>33</x:v>
      </x:c>
      <x:c r="F77" s="10">
        <x:v>41</x:v>
      </x:c>
      <x:c r="G77" s="10">
        <x:v>192</x:v>
      </x:c>
      <x:c r="H77" s="22">
        <x:f t="shared" si="1"/>
        <x:v>8676.2941900312489</x:v>
      </x:c>
      <x:c r="I77" s="22">
        <x:v>1665848.4844859999</x:v>
      </x:c>
      <x:c r="J77" s="10">
        <x:v>4</x:v>
      </x:c>
      <x:c r="K77" s="10">
        <x:v>19</x:v>
      </x:c>
    </x:row>
    <x:row r="78">
      <x:c r="A78" s="10" t="s">
        <x:v>60</x:v>
      </x:c>
      <x:c r="B78" s="10">
        <x:v>10489</x:v>
      </x:c>
      <x:c r="C78" s="10">
        <x:v>13627</x:v>
      </x:c>
      <x:c r="D78" s="10" t="s">
        <x:v>9</x:v>
      </x:c>
      <x:c r="E78" s="10" t="s">
        <x:v>33</x:v>
      </x:c>
      <x:c r="F78" s="10">
        <x:v>41</x:v>
      </x:c>
      <x:c r="G78" s="10">
        <x:v>193</x:v>
      </x:c>
      <x:c r="H78" s="22">
        <x:f t="shared" si="1"/>
        <x:v>8631.3392978549218</x:v>
      </x:c>
      <x:c r="I78" s="22">
        <x:v>1665848.4844859999</x:v>
      </x:c>
      <x:c r="J78" s="10">
        <x:v>4</x:v>
      </x:c>
      <x:c r="K78" s="10">
        <x:v>20</x:v>
      </x:c>
    </x:row>
    <x:row r="79">
      <x:c r="A79" s="10" t="s">
        <x:v>60</x:v>
      </x:c>
      <x:c r="B79" s="10">
        <x:v>9557</x:v>
      </x:c>
      <x:c r="C79" s="10">
        <x:v>13628</x:v>
      </x:c>
      <x:c r="D79" s="10" t="s">
        <x:v>9</x:v>
      </x:c>
      <x:c r="E79" s="10" t="s">
        <x:v>9</x:v>
      </x:c>
      <x:c r="F79" s="10">
        <x:v>0</x:v>
      </x:c>
      <x:c r="G79" s="10">
        <x:v>103</x:v>
      </x:c>
      <x:c r="H79" s="22">
        <x:f t="shared" si="1"/>
        <x:v>9000</x:v>
      </x:c>
      <x:c r="I79" s="22">
        <x:v>927000</x:v>
      </x:c>
      <x:c r="J79" s="10">
        <x:v>5</x:v>
      </x:c>
      <x:c r="K79" s="10">
        <x:v>1</x:v>
      </x:c>
    </x:row>
    <x:row r="80">
      <x:c r="A80" s="10" t="s">
        <x:v>60</x:v>
      </x:c>
      <x:c r="B80" s="10">
        <x:v>9474</x:v>
      </x:c>
      <x:c r="C80" s="10">
        <x:v>13629</x:v>
      </x:c>
      <x:c r="D80" s="10" t="s">
        <x:v>9</x:v>
      </x:c>
      <x:c r="E80" s="10" t="s">
        <x:v>9</x:v>
      </x:c>
      <x:c r="F80" s="10">
        <x:v>21</x:v>
      </x:c>
      <x:c r="G80" s="10">
        <x:v>91</x:v>
      </x:c>
      <x:c r="H80" s="22">
        <x:f t="shared" si="1"/>
        <x:v>9000</x:v>
      </x:c>
      <x:c r="I80" s="22">
        <x:v>819000</x:v>
      </x:c>
      <x:c r="J80" s="10">
        <x:v>5</x:v>
      </x:c>
      <x:c r="K80" s="10">
        <x:v>2</x:v>
      </x:c>
    </x:row>
    <x:row r="81">
      <x:c r="A81" s="10" t="s">
        <x:v>60</x:v>
      </x:c>
      <x:c r="B81" s="10">
        <x:v>9509</x:v>
      </x:c>
      <x:c r="C81" s="10">
        <x:v>13630</x:v>
      </x:c>
      <x:c r="D81" s="10" t="s">
        <x:v>9</x:v>
      </x:c>
      <x:c r="E81" s="10" t="s">
        <x:v>9</x:v>
      </x:c>
      <x:c r="F81" s="10">
        <x:v>0</x:v>
      </x:c>
      <x:c r="G81" s="10">
        <x:v>101</x:v>
      </x:c>
      <x:c r="H81" s="22">
        <x:f t="shared" si="1"/>
        <x:v>9000</x:v>
      </x:c>
      <x:c r="I81" s="22">
        <x:v>909000</x:v>
      </x:c>
      <x:c r="J81" s="10">
        <x:v>5</x:v>
      </x:c>
      <x:c r="K81" s="10">
        <x:v>3</x:v>
      </x:c>
    </x:row>
    <x:row r="82">
      <x:c r="A82" s="10" t="s">
        <x:v>60</x:v>
      </x:c>
      <x:c r="B82" s="10">
        <x:v>9440</x:v>
      </x:c>
      <x:c r="C82" s="10">
        <x:v>13631</x:v>
      </x:c>
      <x:c r="D82" s="10" t="s">
        <x:v>9</x:v>
      </x:c>
      <x:c r="E82" s="10" t="s">
        <x:v>9</x:v>
      </x:c>
      <x:c r="F82" s="10">
        <x:v>0</x:v>
      </x:c>
      <x:c r="G82" s="10">
        <x:v>108</x:v>
      </x:c>
      <x:c r="H82" s="22">
        <x:f t="shared" si="1"/>
        <x:v>9000</x:v>
      </x:c>
      <x:c r="I82" s="22">
        <x:v>972000</x:v>
      </x:c>
      <x:c r="J82" s="10">
        <x:v>5</x:v>
      </x:c>
      <x:c r="K82" s="10">
        <x:v>4</x:v>
      </x:c>
    </x:row>
    <x:row r="83">
      <x:c r="A83" s="10" t="s">
        <x:v>60</x:v>
      </x:c>
      <x:c r="B83" s="10">
        <x:v>9483</x:v>
      </x:c>
      <x:c r="C83" s="10">
        <x:v>13632</x:v>
      </x:c>
      <x:c r="D83" s="10" t="s">
        <x:v>9</x:v>
      </x:c>
      <x:c r="E83" s="10" t="s">
        <x:v>9</x:v>
      </x:c>
      <x:c r="F83" s="10">
        <x:v>0</x:v>
      </x:c>
      <x:c r="G83" s="10">
        <x:v>90</x:v>
      </x:c>
      <x:c r="H83" s="22">
        <x:f t="shared" si="1"/>
        <x:v>9000</x:v>
      </x:c>
      <x:c r="I83" s="22">
        <x:v>810000</x:v>
      </x:c>
      <x:c r="J83" s="10">
        <x:v>5</x:v>
      </x:c>
      <x:c r="K83" s="10">
        <x:v>5</x:v>
      </x:c>
    </x:row>
    <x:row r="84">
      <x:c r="A84" s="10" t="s">
        <x:v>60</x:v>
      </x:c>
      <x:c r="B84" s="10">
        <x:v>9540</x:v>
      </x:c>
      <x:c r="C84" s="10">
        <x:v>13633</x:v>
      </x:c>
      <x:c r="D84" s="10" t="s">
        <x:v>6</x:v>
      </x:c>
      <x:c r="E84" s="10" t="s">
        <x:v>6</x:v>
      </x:c>
      <x:c r="F84" s="10">
        <x:v>0</x:v>
      </x:c>
      <x:c r="G84" s="10">
        <x:v>252</x:v>
      </x:c>
      <x:c r="H84" s="22">
        <x:f t="shared" si="1"/>
        <x:v>7500</x:v>
      </x:c>
      <x:c r="I84" s="22">
        <x:v>1890000</x:v>
      </x:c>
      <x:c r="J84" s="10">
        <x:v>5</x:v>
      </x:c>
      <x:c r="K84" s="10">
        <x:v>6</x:v>
      </x:c>
    </x:row>
    <x:row r="85">
      <x:c r="A85" s="10" t="s">
        <x:v>60</x:v>
      </x:c>
      <x:c r="B85" s="10">
        <x:v>9552</x:v>
      </x:c>
      <x:c r="C85" s="10">
        <x:v>13634</x:v>
      </x:c>
      <x:c r="D85" s="10" t="s">
        <x:v>9</x:v>
      </x:c>
      <x:c r="E85" s="10" t="s">
        <x:v>9</x:v>
      </x:c>
      <x:c r="F85" s="10">
        <x:v>17</x:v>
      </x:c>
      <x:c r="G85" s="10">
        <x:v>68</x:v>
      </x:c>
      <x:c r="H85" s="22">
        <x:f t="shared" si="1"/>
        <x:v>9000</x:v>
      </x:c>
      <x:c r="I85" s="22">
        <x:v>612000</x:v>
      </x:c>
      <x:c r="J85" s="10">
        <x:v>5</x:v>
      </x:c>
      <x:c r="K85" s="10">
        <x:v>7</x:v>
      </x:c>
    </x:row>
    <x:row r="86">
      <x:c r="A86" s="10" t="s">
        <x:v>60</x:v>
      </x:c>
      <x:c r="B86" s="10">
        <x:v>9498</x:v>
      </x:c>
      <x:c r="C86" s="10">
        <x:v>13635</x:v>
      </x:c>
      <x:c r="D86" s="10" t="s">
        <x:v>9</x:v>
      </x:c>
      <x:c r="E86" s="10" t="s">
        <x:v>9</x:v>
      </x:c>
      <x:c r="F86" s="10">
        <x:v>20</x:v>
      </x:c>
      <x:c r="G86" s="10">
        <x:v>106</x:v>
      </x:c>
      <x:c r="H86" s="22">
        <x:f t="shared" si="1"/>
        <x:v>9000</x:v>
      </x:c>
      <x:c r="I86" s="22">
        <x:v>954000</x:v>
      </x:c>
      <x:c r="J86" s="10">
        <x:v>5</x:v>
      </x:c>
      <x:c r="K86" s="10">
        <x:v>8</x:v>
      </x:c>
    </x:row>
    <x:row r="87">
      <x:c r="A87" s="10" t="s">
        <x:v>60</x:v>
      </x:c>
      <x:c r="B87" s="10">
        <x:v>9496</x:v>
      </x:c>
      <x:c r="C87" s="10">
        <x:v>13636</x:v>
      </x:c>
      <x:c r="D87" s="10" t="s">
        <x:v>9</x:v>
      </x:c>
      <x:c r="E87" s="10" t="s">
        <x:v>9</x:v>
      </x:c>
      <x:c r="F87" s="10">
        <x:v>15</x:v>
      </x:c>
      <x:c r="G87" s="10">
        <x:v>124</x:v>
      </x:c>
      <x:c r="H87" s="22">
        <x:f t="shared" si="1"/>
        <x:v>9000</x:v>
      </x:c>
      <x:c r="I87" s="22">
        <x:v>1116000</x:v>
      </x:c>
      <x:c r="J87" s="10">
        <x:v>5</x:v>
      </x:c>
      <x:c r="K87" s="10">
        <x:v>9</x:v>
      </x:c>
    </x:row>
    <x:row r="88">
      <x:c r="A88" s="10" t="s">
        <x:v>60</x:v>
      </x:c>
      <x:c r="B88" s="10">
        <x:v>9492</x:v>
      </x:c>
      <x:c r="C88" s="10">
        <x:v>13637</x:v>
      </x:c>
      <x:c r="D88" s="10" t="s">
        <x:v>9</x:v>
      </x:c>
      <x:c r="E88" s="10" t="s">
        <x:v>9</x:v>
      </x:c>
      <x:c r="F88" s="10">
        <x:v>0</x:v>
      </x:c>
      <x:c r="G88" s="10">
        <x:v>87</x:v>
      </x:c>
      <x:c r="H88" s="22">
        <x:f t="shared" si="1"/>
        <x:v>9000</x:v>
      </x:c>
      <x:c r="I88" s="22">
        <x:v>783000</x:v>
      </x:c>
      <x:c r="J88" s="10">
        <x:v>5</x:v>
      </x:c>
      <x:c r="K88" s="10">
        <x:v>10</x:v>
      </x:c>
    </x:row>
    <x:row r="89">
      <x:c r="A89" s="10" t="s">
        <x:v>60</x:v>
      </x:c>
      <x:c r="B89" s="10">
        <x:v>9396</x:v>
      </x:c>
      <x:c r="C89" s="10">
        <x:v>13638</x:v>
      </x:c>
      <x:c r="D89" s="10" t="s">
        <x:v>9</x:v>
      </x:c>
      <x:c r="E89" s="10" t="s">
        <x:v>9</x:v>
      </x:c>
      <x:c r="F89" s="10">
        <x:v>25</x:v>
      </x:c>
      <x:c r="G89" s="10">
        <x:v>88</x:v>
      </x:c>
      <x:c r="H89" s="22">
        <x:f t="shared" si="1"/>
        <x:v>9000</x:v>
      </x:c>
      <x:c r="I89" s="22">
        <x:v>792000</x:v>
      </x:c>
      <x:c r="J89" s="10">
        <x:v>5</x:v>
      </x:c>
      <x:c r="K89" s="10">
        <x:v>11</x:v>
      </x:c>
    </x:row>
    <x:row r="90">
      <x:c r="A90" s="10" t="s">
        <x:v>60</x:v>
      </x:c>
      <x:c r="B90" s="10">
        <x:v>9395</x:v>
      </x:c>
      <x:c r="C90" s="10">
        <x:v>13639</x:v>
      </x:c>
      <x:c r="D90" s="10" t="s">
        <x:v>9</x:v>
      </x:c>
      <x:c r="E90" s="10" t="s">
        <x:v>9</x:v>
      </x:c>
      <x:c r="F90" s="10">
        <x:v>0</x:v>
      </x:c>
      <x:c r="G90" s="10">
        <x:v>91</x:v>
      </x:c>
      <x:c r="H90" s="22">
        <x:f t="shared" si="1"/>
        <x:v>9000</x:v>
      </x:c>
      <x:c r="I90" s="22">
        <x:v>819000</x:v>
      </x:c>
      <x:c r="J90" s="10">
        <x:v>5</x:v>
      </x:c>
      <x:c r="K90" s="10">
        <x:v>12</x:v>
      </x:c>
    </x:row>
    <x:row r="91">
      <x:c r="A91" s="10" t="s">
        <x:v>60</x:v>
      </x:c>
      <x:c r="B91" s="10">
        <x:v>9394</x:v>
      </x:c>
      <x:c r="C91" s="10">
        <x:v>13640</x:v>
      </x:c>
      <x:c r="D91" s="10" t="s">
        <x:v>9</x:v>
      </x:c>
      <x:c r="E91" s="10" t="s">
        <x:v>9</x:v>
      </x:c>
      <x:c r="F91" s="10">
        <x:v>0</x:v>
      </x:c>
      <x:c r="G91" s="10">
        <x:v>97</x:v>
      </x:c>
      <x:c r="H91" s="22">
        <x:f t="shared" si="1"/>
        <x:v>9000</x:v>
      </x:c>
      <x:c r="I91" s="22">
        <x:v>873000</x:v>
      </x:c>
      <x:c r="J91" s="10">
        <x:v>5</x:v>
      </x:c>
      <x:c r="K91" s="10">
        <x:v>13</x:v>
      </x:c>
    </x:row>
    <x:row r="92">
      <x:c r="A92" s="10" t="s">
        <x:v>60</x:v>
      </x:c>
      <x:c r="B92" s="10">
        <x:v>9393</x:v>
      </x:c>
      <x:c r="C92" s="10">
        <x:v>13641</x:v>
      </x:c>
      <x:c r="D92" s="10" t="s">
        <x:v>9</x:v>
      </x:c>
      <x:c r="E92" s="10" t="s">
        <x:v>9</x:v>
      </x:c>
      <x:c r="F92" s="10">
        <x:v>0</x:v>
      </x:c>
      <x:c r="G92" s="10">
        <x:v>57</x:v>
      </x:c>
      <x:c r="H92" s="22">
        <x:f t="shared" si="1"/>
        <x:v>9000</x:v>
      </x:c>
      <x:c r="I92" s="22">
        <x:v>513000</x:v>
      </x:c>
      <x:c r="J92" s="10">
        <x:v>5</x:v>
      </x:c>
      <x:c r="K92" s="10">
        <x:v>14</x:v>
      </x:c>
    </x:row>
    <x:row r="93">
      <x:c r="A93" s="10" t="s">
        <x:v>60</x:v>
      </x:c>
      <x:c r="B93" s="10">
        <x:v>9536</x:v>
      </x:c>
      <x:c r="C93" s="10">
        <x:v>13642</x:v>
      </x:c>
      <x:c r="D93" s="10" t="s">
        <x:v>9</x:v>
      </x:c>
      <x:c r="E93" s="10" t="s">
        <x:v>9</x:v>
      </x:c>
      <x:c r="F93" s="10">
        <x:v>0</x:v>
      </x:c>
      <x:c r="G93" s="10">
        <x:v>118</x:v>
      </x:c>
      <x:c r="H93" s="22">
        <x:f t="shared" si="1"/>
        <x:v>9000</x:v>
      </x:c>
      <x:c r="I93" s="22">
        <x:v>1062000</x:v>
      </x:c>
      <x:c r="J93" s="10">
        <x:v>5</x:v>
      </x:c>
      <x:c r="K93" s="10">
        <x:v>15</x:v>
      </x:c>
    </x:row>
    <x:row r="94">
      <x:c r="A94" s="10" t="s">
        <x:v>60</x:v>
      </x:c>
      <x:c r="B94" s="10">
        <x:v>9458</x:v>
      </x:c>
      <x:c r="C94" s="10">
        <x:v>13643</x:v>
      </x:c>
      <x:c r="D94" s="10" t="s">
        <x:v>9</x:v>
      </x:c>
      <x:c r="E94" s="10" t="s">
        <x:v>9</x:v>
      </x:c>
      <x:c r="F94" s="10">
        <x:v>31</x:v>
      </x:c>
      <x:c r="G94" s="10">
        <x:v>181</x:v>
      </x:c>
      <x:c r="H94" s="22">
        <x:f t="shared" si="1"/>
        <x:v>9000</x:v>
      </x:c>
      <x:c r="I94" s="22">
        <x:v>1629000</x:v>
      </x:c>
      <x:c r="J94" s="10">
        <x:v>5</x:v>
      </x:c>
      <x:c r="K94" s="10">
        <x:v>16</x:v>
      </x:c>
    </x:row>
    <x:row r="95">
      <x:c r="A95" s="10" t="s">
        <x:v>60</x:v>
      </x:c>
      <x:c r="B95" s="10">
        <x:v>8623</x:v>
      </x:c>
      <x:c r="C95" s="10">
        <x:v>13644</x:v>
      </x:c>
      <x:c r="D95" s="10" t="s">
        <x:v>9</x:v>
      </x:c>
      <x:c r="E95" s="10" t="s">
        <x:v>9</x:v>
      </x:c>
      <x:c r="F95" s="10">
        <x:v>42</x:v>
      </x:c>
      <x:c r="G95" s="10">
        <x:v>201</x:v>
      </x:c>
      <x:c r="H95" s="22">
        <x:f t="shared" si="1"/>
        <x:v>9000</x:v>
      </x:c>
      <x:c r="I95" s="22">
        <x:v>1809000</x:v>
      </x:c>
      <x:c r="J95" s="10">
        <x:v>5</x:v>
      </x:c>
      <x:c r="K95" s="10">
        <x:v>17</x:v>
      </x:c>
    </x:row>
    <x:row r="96">
      <x:c r="A96" s="10" t="s">
        <x:v>60</x:v>
      </x:c>
      <x:c r="B96" s="10">
        <x:v>9435</x:v>
      </x:c>
      <x:c r="C96" s="10">
        <x:v>13645</x:v>
      </x:c>
      <x:c r="D96" s="10" t="s">
        <x:v>9</x:v>
      </x:c>
      <x:c r="E96" s="10" t="s">
        <x:v>9</x:v>
      </x:c>
      <x:c r="F96" s="10">
        <x:v>0</x:v>
      </x:c>
      <x:c r="G96" s="10">
        <x:v>88</x:v>
      </x:c>
      <x:c r="H96" s="22">
        <x:f t="shared" si="1"/>
        <x:v>9000</x:v>
      </x:c>
      <x:c r="I96" s="22">
        <x:v>792000</x:v>
      </x:c>
      <x:c r="J96" s="10">
        <x:v>5</x:v>
      </x:c>
      <x:c r="K96" s="10">
        <x:v>18</x:v>
      </x:c>
    </x:row>
    <x:row r="97">
      <x:c r="A97" s="10" t="s">
        <x:v>60</x:v>
      </x:c>
      <x:c r="B97" s="10">
        <x:v>9436</x:v>
      </x:c>
      <x:c r="C97" s="10">
        <x:v>13646</x:v>
      </x:c>
      <x:c r="D97" s="10" t="s">
        <x:v>9</x:v>
      </x:c>
      <x:c r="E97" s="10" t="s">
        <x:v>9</x:v>
      </x:c>
      <x:c r="F97" s="10">
        <x:v>0</x:v>
      </x:c>
      <x:c r="G97" s="10">
        <x:v>92</x:v>
      </x:c>
      <x:c r="H97" s="22">
        <x:f t="shared" si="1"/>
        <x:v>9000</x:v>
      </x:c>
      <x:c r="I97" s="22">
        <x:v>828000</x:v>
      </x:c>
      <x:c r="J97" s="10">
        <x:v>5</x:v>
      </x:c>
      <x:c r="K97" s="10">
        <x:v>19</x:v>
      </x:c>
    </x:row>
    <x:row r="98">
      <x:c r="A98" s="10" t="s">
        <x:v>60</x:v>
      </x:c>
      <x:c r="B98" s="10">
        <x:v>9437</x:v>
      </x:c>
      <x:c r="C98" s="10">
        <x:v>13647</x:v>
      </x:c>
      <x:c r="D98" s="10" t="s">
        <x:v>9</x:v>
      </x:c>
      <x:c r="E98" s="10" t="s">
        <x:v>9</x:v>
      </x:c>
      <x:c r="F98" s="10">
        <x:v>0</x:v>
      </x:c>
      <x:c r="G98" s="10">
        <x:v>103</x:v>
      </x:c>
      <x:c r="H98" s="22">
        <x:f t="shared" si="1"/>
        <x:v>9000</x:v>
      </x:c>
      <x:c r="I98" s="22">
        <x:v>927000</x:v>
      </x:c>
      <x:c r="J98" s="10">
        <x:v>5</x:v>
      </x:c>
      <x:c r="K98" s="10">
        <x:v>20</x:v>
      </x:c>
    </x:row>
    <x:row r="99">
      <x:c r="A99" s="10" t="s">
        <x:v>60</x:v>
      </x:c>
      <x:c r="B99" s="10">
        <x:v>8828</x:v>
      </x:c>
      <x:c r="C99" s="10">
        <x:v>13648</x:v>
      </x:c>
      <x:c r="D99" s="10" t="s">
        <x:v>0</x:v>
      </x:c>
      <x:c r="E99" s="10" t="s">
        <x:v>0</x:v>
      </x:c>
      <x:c r="F99" s="10">
        <x:v>20</x:v>
      </x:c>
      <x:c r="G99" s="10">
        <x:v>89</x:v>
      </x:c>
      <x:c r="H99" s="22">
        <x:f t="shared" si="1"/>
        <x:v>13000</x:v>
      </x:c>
      <x:c r="I99" s="22">
        <x:v>1157000</x:v>
      </x:c>
      <x:c r="J99" s="10">
        <x:v>6</x:v>
      </x:c>
      <x:c r="K99" s="10">
        <x:v>1</x:v>
      </x:c>
    </x:row>
    <x:row r="100">
      <x:c r="A100" s="10" t="s">
        <x:v>60</x:v>
      </x:c>
      <x:c r="B100" s="10">
        <x:v>8848</x:v>
      </x:c>
      <x:c r="C100" s="10">
        <x:v>13649</x:v>
      </x:c>
      <x:c r="D100" s="10" t="s">
        <x:v>0</x:v>
      </x:c>
      <x:c r="E100" s="10" t="s">
        <x:v>0</x:v>
      </x:c>
      <x:c r="F100" s="10">
        <x:v>16</x:v>
      </x:c>
      <x:c r="G100" s="10">
        <x:v>79</x:v>
      </x:c>
      <x:c r="H100" s="22">
        <x:f t="shared" si="1"/>
        <x:v>13000</x:v>
      </x:c>
      <x:c r="I100" s="22">
        <x:v>1027000</x:v>
      </x:c>
      <x:c r="J100" s="10">
        <x:v>6</x:v>
      </x:c>
      <x:c r="K100" s="10">
        <x:v>2</x:v>
      </x:c>
    </x:row>
    <x:row r="101">
      <x:c r="A101" s="10" t="s">
        <x:v>60</x:v>
      </x:c>
      <x:c r="B101" s="10">
        <x:v>8847</x:v>
      </x:c>
      <x:c r="C101" s="10">
        <x:v>13650</x:v>
      </x:c>
      <x:c r="D101" s="10" t="s">
        <x:v>0</x:v>
      </x:c>
      <x:c r="E101" s="10" t="s">
        <x:v>0</x:v>
      </x:c>
      <x:c r="F101" s="10">
        <x:v>15</x:v>
      </x:c>
      <x:c r="G101" s="10">
        <x:v>85</x:v>
      </x:c>
      <x:c r="H101" s="22">
        <x:f t="shared" si="1"/>
        <x:v>13000</x:v>
      </x:c>
      <x:c r="I101" s="22">
        <x:v>1105000</x:v>
      </x:c>
      <x:c r="J101" s="10">
        <x:v>6</x:v>
      </x:c>
      <x:c r="K101" s="10">
        <x:v>3</x:v>
      </x:c>
    </x:row>
    <x:row r="102">
      <x:c r="A102" s="10" t="s">
        <x:v>60</x:v>
      </x:c>
      <x:c r="B102" s="10">
        <x:v>10608</x:v>
      </x:c>
      <x:c r="C102" s="10">
        <x:v>13651</x:v>
      </x:c>
      <x:c r="D102" s="10" t="s">
        <x:v>0</x:v>
      </x:c>
      <x:c r="E102" s="10" t="s">
        <x:v>22</x:v>
      </x:c>
      <x:c r="F102" s="10">
        <x:v>39</x:v>
      </x:c>
      <x:c r="G102" s="10">
        <x:v>200</x:v>
      </x:c>
      <x:c r="H102" s="22">
        <x:f t="shared" si="1"/>
        <x:v>8329.2424224299994</x:v>
      </x:c>
      <x:c r="I102" s="22">
        <x:v>1665848.4844859999</x:v>
      </x:c>
      <x:c r="J102" s="10">
        <x:v>6</x:v>
      </x:c>
      <x:c r="K102" s="10">
        <x:v>4</x:v>
      </x:c>
    </x:row>
    <x:row r="103">
      <x:c r="A103" s="10" t="s">
        <x:v>60</x:v>
      </x:c>
      <x:c r="B103" s="10">
        <x:v>6973</x:v>
      </x:c>
      <x:c r="C103" s="10">
        <x:v>13652</x:v>
      </x:c>
      <x:c r="D103" s="10" t="s">
        <x:v>0</x:v>
      </x:c>
      <x:c r="E103" s="10" t="s">
        <x:v>24</x:v>
      </x:c>
      <x:c r="F103" s="10">
        <x:v>26</x:v>
      </x:c>
      <x:c r="G103" s="10">
        <x:v>192</x:v>
      </x:c>
      <x:c r="H103" s="22">
        <x:f t="shared" si="1"/>
        <x:v>10652.978656003646</x:v>
      </x:c>
      <x:c r="I103" s="22">
        <x:v>2045371.9019527</x:v>
      </x:c>
      <x:c r="J103" s="10">
        <x:v>6</x:v>
      </x:c>
      <x:c r="K103" s="10">
        <x:v>5</x:v>
      </x:c>
    </x:row>
    <x:row r="104">
      <x:c r="A104" s="10" t="s">
        <x:v>60</x:v>
      </x:c>
      <x:c r="B104" s="10">
        <x:v>8771</x:v>
      </x:c>
      <x:c r="C104" s="10">
        <x:v>13653</x:v>
      </x:c>
      <x:c r="D104" s="10" t="s">
        <x:v>0</x:v>
      </x:c>
      <x:c r="E104" s="10" t="s">
        <x:v>0</x:v>
      </x:c>
      <x:c r="F104" s="10">
        <x:v>33</x:v>
      </x:c>
      <x:c r="G104" s="10">
        <x:v>186</x:v>
      </x:c>
      <x:c r="H104" s="22">
        <x:f t="shared" si="1"/>
        <x:v>13000</x:v>
      </x:c>
      <x:c r="I104" s="22">
        <x:v>2418000</x:v>
      </x:c>
      <x:c r="J104" s="10">
        <x:v>6</x:v>
      </x:c>
      <x:c r="K104" s="10">
        <x:v>6</x:v>
      </x:c>
    </x:row>
    <x:row r="105">
      <x:c r="A105" s="10" t="s">
        <x:v>60</x:v>
      </x:c>
      <x:c r="B105" s="10">
        <x:v>8818</x:v>
      </x:c>
      <x:c r="C105" s="10">
        <x:v>13654</x:v>
      </x:c>
      <x:c r="D105" s="10" t="s">
        <x:v>0</x:v>
      </x:c>
      <x:c r="E105" s="10" t="s">
        <x:v>0</x:v>
      </x:c>
      <x:c r="F105" s="10">
        <x:v>83</x:v>
      </x:c>
      <x:c r="G105" s="10">
        <x:v>384</x:v>
      </x:c>
      <x:c r="H105" s="22">
        <x:f t="shared" si="1"/>
        <x:v>13000</x:v>
      </x:c>
      <x:c r="I105" s="22">
        <x:v>4992000</x:v>
      </x:c>
      <x:c r="J105" s="10">
        <x:v>6</x:v>
      </x:c>
      <x:c r="K105" s="10">
        <x:v>7</x:v>
      </x:c>
    </x:row>
    <x:row r="106">
      <x:c r="A106" s="10" t="s">
        <x:v>60</x:v>
      </x:c>
      <x:c r="B106" s="10">
        <x:v>8812</x:v>
      </x:c>
      <x:c r="C106" s="10">
        <x:v>13655</x:v>
      </x:c>
      <x:c r="D106" s="10" t="s">
        <x:v>0</x:v>
      </x:c>
      <x:c r="E106" s="10" t="s">
        <x:v>0</x:v>
      </x:c>
      <x:c r="F106" s="10">
        <x:v>65</x:v>
      </x:c>
      <x:c r="G106" s="10">
        <x:v>338</x:v>
      </x:c>
      <x:c r="H106" s="22">
        <x:f t="shared" si="1"/>
        <x:v>13000</x:v>
      </x:c>
      <x:c r="I106" s="22">
        <x:v>4394000</x:v>
      </x:c>
      <x:c r="J106" s="10">
        <x:v>6</x:v>
      </x:c>
      <x:c r="K106" s="10">
        <x:v>8</x:v>
      </x:c>
    </x:row>
    <x:row r="107">
      <x:c r="A107" s="10" t="s">
        <x:v>60</x:v>
      </x:c>
      <x:c r="B107" s="10">
        <x:v>8803</x:v>
      </x:c>
      <x:c r="C107" s="10">
        <x:v>13656</x:v>
      </x:c>
      <x:c r="D107" s="10" t="s">
        <x:v>0</x:v>
      </x:c>
      <x:c r="E107" s="10" t="s">
        <x:v>0</x:v>
      </x:c>
      <x:c r="F107" s="10">
        <x:v>17</x:v>
      </x:c>
      <x:c r="G107" s="10">
        <x:v>84</x:v>
      </x:c>
      <x:c r="H107" s="22">
        <x:f t="shared" si="1"/>
        <x:v>13000</x:v>
      </x:c>
      <x:c r="I107" s="22">
        <x:v>1092000</x:v>
      </x:c>
      <x:c r="J107" s="10">
        <x:v>6</x:v>
      </x:c>
      <x:c r="K107" s="10">
        <x:v>9</x:v>
      </x:c>
    </x:row>
    <x:row r="108">
      <x:c r="A108" s="10" t="s">
        <x:v>60</x:v>
      </x:c>
      <x:c r="B108" s="10">
        <x:v>8817</x:v>
      </x:c>
      <x:c r="C108" s="10">
        <x:v>13657</x:v>
      </x:c>
      <x:c r="D108" s="10" t="s">
        <x:v>0</x:v>
      </x:c>
      <x:c r="E108" s="10" t="s">
        <x:v>0</x:v>
      </x:c>
      <x:c r="F108" s="10">
        <x:v>80</x:v>
      </x:c>
      <x:c r="G108" s="10">
        <x:v>370</x:v>
      </x:c>
      <x:c r="H108" s="22">
        <x:f t="shared" si="1"/>
        <x:v>13000</x:v>
      </x:c>
      <x:c r="I108" s="22">
        <x:v>4810000</x:v>
      </x:c>
      <x:c r="J108" s="10">
        <x:v>6</x:v>
      </x:c>
      <x:c r="K108" s="10">
        <x:v>10</x:v>
      </x:c>
    </x:row>
    <x:row r="109">
      <x:c r="A109" s="10" t="s">
        <x:v>60</x:v>
      </x:c>
      <x:c r="B109" s="10">
        <x:v>8800</x:v>
      </x:c>
      <x:c r="C109" s="10">
        <x:v>13658</x:v>
      </x:c>
      <x:c r="D109" s="10" t="s">
        <x:v>0</x:v>
      </x:c>
      <x:c r="E109" s="10" t="s">
        <x:v>0</x:v>
      </x:c>
      <x:c r="F109" s="10">
        <x:v>38</x:v>
      </x:c>
      <x:c r="G109" s="10">
        <x:v>198</x:v>
      </x:c>
      <x:c r="H109" s="22">
        <x:f t="shared" si="1"/>
        <x:v>13000</x:v>
      </x:c>
      <x:c r="I109" s="22">
        <x:v>2574000</x:v>
      </x:c>
      <x:c r="J109" s="10">
        <x:v>6</x:v>
      </x:c>
      <x:c r="K109" s="10">
        <x:v>11</x:v>
      </x:c>
    </x:row>
    <x:row r="110">
      <x:c r="A110" s="10" t="s">
        <x:v>60</x:v>
      </x:c>
      <x:c r="B110" s="10">
        <x:v>8839</x:v>
      </x:c>
      <x:c r="C110" s="10">
        <x:v>13659</x:v>
      </x:c>
      <x:c r="D110" s="10" t="s">
        <x:v>0</x:v>
      </x:c>
      <x:c r="E110" s="10" t="s">
        <x:v>0</x:v>
      </x:c>
      <x:c r="F110" s="10">
        <x:v>87</x:v>
      </x:c>
      <x:c r="G110" s="10">
        <x:v>361</x:v>
      </x:c>
      <x:c r="H110" s="22">
        <x:f t="shared" si="1"/>
        <x:v>13000</x:v>
      </x:c>
      <x:c r="I110" s="22">
        <x:v>4693000</x:v>
      </x:c>
      <x:c r="J110" s="10">
        <x:v>6</x:v>
      </x:c>
      <x:c r="K110" s="10">
        <x:v>12</x:v>
      </x:c>
    </x:row>
    <x:row r="111">
      <x:c r="A111" s="10" t="s">
        <x:v>60</x:v>
      </x:c>
      <x:c r="B111" s="10">
        <x:v>8829</x:v>
      </x:c>
      <x:c r="C111" s="10">
        <x:v>13660</x:v>
      </x:c>
      <x:c r="D111" s="10" t="s">
        <x:v>0</x:v>
      </x:c>
      <x:c r="E111" s="10" t="s">
        <x:v>0</x:v>
      </x:c>
      <x:c r="F111" s="10">
        <x:v>42</x:v>
      </x:c>
      <x:c r="G111" s="10">
        <x:v>174</x:v>
      </x:c>
      <x:c r="H111" s="22">
        <x:f t="shared" si="1"/>
        <x:v>13000</x:v>
      </x:c>
      <x:c r="I111" s="22">
        <x:v>2262000</x:v>
      </x:c>
      <x:c r="J111" s="10">
        <x:v>6</x:v>
      </x:c>
      <x:c r="K111" s="10">
        <x:v>13</x:v>
      </x:c>
    </x:row>
    <x:row r="112">
      <x:c r="A112" s="10" t="s">
        <x:v>60</x:v>
      </x:c>
      <x:c r="B112" s="10">
        <x:v>8883</x:v>
      </x:c>
      <x:c r="C112" s="10">
        <x:v>13661</x:v>
      </x:c>
      <x:c r="D112" s="10" t="s">
        <x:v>0</x:v>
      </x:c>
      <x:c r="E112" s="10" t="s">
        <x:v>0</x:v>
      </x:c>
      <x:c r="F112" s="10">
        <x:v>67</x:v>
      </x:c>
      <x:c r="G112" s="10">
        <x:v>370</x:v>
      </x:c>
      <x:c r="H112" s="22">
        <x:f t="shared" si="1"/>
        <x:v>13000</x:v>
      </x:c>
      <x:c r="I112" s="22">
        <x:v>4810000</x:v>
      </x:c>
      <x:c r="J112" s="10">
        <x:v>6</x:v>
      </x:c>
      <x:c r="K112" s="10">
        <x:v>14</x:v>
      </x:c>
    </x:row>
    <x:row r="113">
      <x:c r="A113" s="10" t="s">
        <x:v>60</x:v>
      </x:c>
      <x:c r="B113" s="10">
        <x:v>8882</x:v>
      </x:c>
      <x:c r="C113" s="10">
        <x:v>13662</x:v>
      </x:c>
      <x:c r="D113" s="10" t="s">
        <x:v>0</x:v>
      </x:c>
      <x:c r="E113" s="10" t="s">
        <x:v>0</x:v>
      </x:c>
      <x:c r="F113" s="10">
        <x:v>77</x:v>
      </x:c>
      <x:c r="G113" s="10">
        <x:v>392</x:v>
      </x:c>
      <x:c r="H113" s="22">
        <x:f t="shared" si="1"/>
        <x:v>13000</x:v>
      </x:c>
      <x:c r="I113" s="22">
        <x:v>5096000</x:v>
      </x:c>
      <x:c r="J113" s="10">
        <x:v>6</x:v>
      </x:c>
      <x:c r="K113" s="10">
        <x:v>15</x:v>
      </x:c>
    </x:row>
    <x:row r="114">
      <x:c r="A114" s="10" t="s">
        <x:v>60</x:v>
      </x:c>
      <x:c r="B114" s="10">
        <x:v>8881</x:v>
      </x:c>
      <x:c r="C114" s="10">
        <x:v>13663</x:v>
      </x:c>
      <x:c r="D114" s="10" t="s">
        <x:v>0</x:v>
      </x:c>
      <x:c r="E114" s="10" t="s">
        <x:v>0</x:v>
      </x:c>
      <x:c r="F114" s="10">
        <x:v>67</x:v>
      </x:c>
      <x:c r="G114" s="10">
        <x:v>371</x:v>
      </x:c>
      <x:c r="H114" s="22">
        <x:f t="shared" si="1"/>
        <x:v>13000</x:v>
      </x:c>
      <x:c r="I114" s="22">
        <x:v>4823000</x:v>
      </x:c>
      <x:c r="J114" s="10">
        <x:v>6</x:v>
      </x:c>
      <x:c r="K114" s="10">
        <x:v>16</x:v>
      </x:c>
    </x:row>
    <x:row r="115">
      <x:c r="A115" s="10" t="s">
        <x:v>60</x:v>
      </x:c>
      <x:c r="B115" s="10">
        <x:v>8887</x:v>
      </x:c>
      <x:c r="C115" s="10">
        <x:v>13664</x:v>
      </x:c>
      <x:c r="D115" s="10" t="s">
        <x:v>0</x:v>
      </x:c>
      <x:c r="E115" s="10" t="s">
        <x:v>0</x:v>
      </x:c>
      <x:c r="F115" s="10">
        <x:v>28</x:v>
      </x:c>
      <x:c r="G115" s="10">
        <x:v>178</x:v>
      </x:c>
      <x:c r="H115" s="22">
        <x:f t="shared" si="1"/>
        <x:v>13000</x:v>
      </x:c>
      <x:c r="I115" s="22">
        <x:v>2314000</x:v>
      </x:c>
      <x:c r="J115" s="10">
        <x:v>6</x:v>
      </x:c>
      <x:c r="K115" s="10">
        <x:v>17</x:v>
      </x:c>
    </x:row>
    <x:row r="116">
      <x:c r="A116" s="10" t="s">
        <x:v>60</x:v>
      </x:c>
      <x:c r="B116" s="10">
        <x:v>8886</x:v>
      </x:c>
      <x:c r="C116" s="10">
        <x:v>13665</x:v>
      </x:c>
      <x:c r="D116" s="10" t="s">
        <x:v>0</x:v>
      </x:c>
      <x:c r="E116" s="10" t="s">
        <x:v>0</x:v>
      </x:c>
      <x:c r="F116" s="10">
        <x:v>28</x:v>
      </x:c>
      <x:c r="G116" s="10">
        <x:v>174</x:v>
      </x:c>
      <x:c r="H116" s="22">
        <x:f t="shared" si="1"/>
        <x:v>13000</x:v>
      </x:c>
      <x:c r="I116" s="22">
        <x:v>2262000</x:v>
      </x:c>
      <x:c r="J116" s="10">
        <x:v>6</x:v>
      </x:c>
      <x:c r="K116" s="10">
        <x:v>18</x:v>
      </x:c>
    </x:row>
    <x:row r="117">
      <x:c r="A117" s="10" t="s">
        <x:v>60</x:v>
      </x:c>
      <x:c r="B117" s="10">
        <x:v>8672</x:v>
      </x:c>
      <x:c r="C117" s="10">
        <x:v>13666</x:v>
      </x:c>
      <x:c r="D117" s="10" t="s">
        <x:v>0</x:v>
      </x:c>
      <x:c r="E117" s="10" t="s">
        <x:v>0</x:v>
      </x:c>
      <x:c r="F117" s="10">
        <x:v>40</x:v>
      </x:c>
      <x:c r="G117" s="10">
        <x:v>201</x:v>
      </x:c>
      <x:c r="H117" s="22">
        <x:f t="shared" si="1"/>
        <x:v>13000</x:v>
      </x:c>
      <x:c r="I117" s="22">
        <x:v>2613000</x:v>
      </x:c>
      <x:c r="J117" s="10">
        <x:v>6</x:v>
      </x:c>
      <x:c r="K117" s="10">
        <x:v>19</x:v>
      </x:c>
    </x:row>
    <x:row r="118">
      <x:c r="A118" s="10" t="s">
        <x:v>60</x:v>
      </x:c>
      <x:c r="B118" s="10">
        <x:v>8854</x:v>
      </x:c>
      <x:c r="C118" s="10">
        <x:v>13667</x:v>
      </x:c>
      <x:c r="D118" s="10" t="s">
        <x:v>0</x:v>
      </x:c>
      <x:c r="E118" s="10" t="s">
        <x:v>0</x:v>
      </x:c>
      <x:c r="F118" s="10">
        <x:v>31</x:v>
      </x:c>
      <x:c r="G118" s="10">
        <x:v>198</x:v>
      </x:c>
      <x:c r="H118" s="22">
        <x:f t="shared" si="1"/>
        <x:v>13000</x:v>
      </x:c>
      <x:c r="I118" s="22">
        <x:v>2574000</x:v>
      </x:c>
      <x:c r="J118" s="10">
        <x:v>6</x:v>
      </x:c>
      <x:c r="K118" s="10">
        <x:v>20</x:v>
      </x:c>
    </x:row>
    <x:row r="119">
      <x:c r="A119" s="10" t="s">
        <x:v>60</x:v>
      </x:c>
      <x:c r="B119" s="10">
        <x:v>9381</x:v>
      </x:c>
      <x:c r="C119" s="10">
        <x:v>13668</x:v>
      </x:c>
      <x:c r="D119" s="10" t="s">
        <x:v>9</x:v>
      </x:c>
      <x:c r="E119" s="10" t="s">
        <x:v>9</x:v>
      </x:c>
      <x:c r="F119" s="10">
        <x:v>0</x:v>
      </x:c>
      <x:c r="G119" s="10">
        <x:v>98</x:v>
      </x:c>
      <x:c r="H119" s="22">
        <x:f t="shared" si="1"/>
        <x:v>9000</x:v>
      </x:c>
      <x:c r="I119" s="22">
        <x:v>882000</x:v>
      </x:c>
      <x:c r="J119" s="10">
        <x:v>7</x:v>
      </x:c>
      <x:c r="K119" s="10">
        <x:v>1</x:v>
      </x:c>
    </x:row>
    <x:row r="120">
      <x:c r="A120" s="10" t="s">
        <x:v>60</x:v>
      </x:c>
      <x:c r="B120" s="10">
        <x:v>10517</x:v>
      </x:c>
      <x:c r="C120" s="10">
        <x:v>13669</x:v>
      </x:c>
      <x:c r="D120" s="10" t="s">
        <x:v>9</x:v>
      </x:c>
      <x:c r="E120" s="10" t="s">
        <x:v>33</x:v>
      </x:c>
      <x:c r="F120" s="10">
        <x:v>41</x:v>
      </x:c>
      <x:c r="G120" s="10">
        <x:v>190</x:v>
      </x:c>
      <x:c r="H120" s="22">
        <x:f t="shared" si="1"/>
        <x:v>8767.6236025578946</x:v>
      </x:c>
      <x:c r="I120" s="22">
        <x:v>1665848.4844859999</x:v>
      </x:c>
      <x:c r="J120" s="10">
        <x:v>7</x:v>
      </x:c>
      <x:c r="K120" s="10">
        <x:v>2</x:v>
      </x:c>
    </x:row>
    <x:row r="121">
      <x:c r="A121" s="10" t="s">
        <x:v>60</x:v>
      </x:c>
      <x:c r="B121" s="10">
        <x:v>10524</x:v>
      </x:c>
      <x:c r="C121" s="10">
        <x:v>13670</x:v>
      </x:c>
      <x:c r="D121" s="10" t="s">
        <x:v>9</x:v>
      </x:c>
      <x:c r="E121" s="10" t="s">
        <x:v>34</x:v>
      </x:c>
      <x:c r="F121" s="10">
        <x:v>41</x:v>
      </x:c>
      <x:c r="G121" s="10">
        <x:v>193</x:v>
      </x:c>
      <x:c r="H121" s="22">
        <x:f t="shared" si="1"/>
        <x:v>8631.3392978549218</x:v>
      </x:c>
      <x:c r="I121" s="22">
        <x:v>1665848.4844859999</x:v>
      </x:c>
      <x:c r="J121" s="10">
        <x:v>7</x:v>
      </x:c>
      <x:c r="K121" s="10">
        <x:v>3</x:v>
      </x:c>
    </x:row>
    <x:row r="122">
      <x:c r="A122" s="10" t="s">
        <x:v>60</x:v>
      </x:c>
      <x:c r="B122" s="10">
        <x:v>10559</x:v>
      </x:c>
      <x:c r="C122" s="10">
        <x:v>13671</x:v>
      </x:c>
      <x:c r="D122" s="10" t="s">
        <x:v>6</x:v>
      </x:c>
      <x:c r="E122" s="10" t="s">
        <x:v>61</x:v>
      </x:c>
      <x:c r="F122" s="10">
        <x:v>0</x:v>
      </x:c>
      <x:c r="G122" s="10">
        <x:v>193</x:v>
      </x:c>
      <x:c r="H122" s="22">
        <x:f t="shared" si="1"/>
        <x:v>8631.3392978549218</x:v>
      </x:c>
      <x:c r="I122" s="22">
        <x:v>1665848.4844859999</x:v>
      </x:c>
      <x:c r="J122" s="10">
        <x:v>7</x:v>
      </x:c>
      <x:c r="K122" s="10">
        <x:v>4</x:v>
      </x:c>
    </x:row>
    <x:row r="123">
      <x:c r="A123" s="10" t="s">
        <x:v>60</x:v>
      </x:c>
      <x:c r="B123" s="10">
        <x:v>10703</x:v>
      </x:c>
      <x:c r="C123" s="10">
        <x:v>13672</x:v>
      </x:c>
      <x:c r="D123" s="10" t="s">
        <x:v>9</x:v>
      </x:c>
      <x:c r="E123" s="10" t="s">
        <x:v>33</x:v>
      </x:c>
      <x:c r="F123" s="10">
        <x:v>44</x:v>
      </x:c>
      <x:c r="G123" s="10">
        <x:v>185</x:v>
      </x:c>
      <x:c r="H123" s="22">
        <x:f t="shared" si="1"/>
        <x:v>9004.5864026270265</x:v>
      </x:c>
      <x:c r="I123" s="22">
        <x:v>1665848.4844859999</x:v>
      </x:c>
      <x:c r="J123" s="10">
        <x:v>7</x:v>
      </x:c>
      <x:c r="K123" s="10">
        <x:v>5</x:v>
      </x:c>
    </x:row>
    <x:row r="124">
      <x:c r="A124" s="10" t="s">
        <x:v>60</x:v>
      </x:c>
      <x:c r="B124" s="10">
        <x:v>10762</x:v>
      </x:c>
      <x:c r="C124" s="10">
        <x:v>13673</x:v>
      </x:c>
      <x:c r="D124" s="10" t="s">
        <x:v>6</x:v>
      </x:c>
      <x:c r="E124" s="10" t="s">
        <x:v>20</x:v>
      </x:c>
      <x:c r="F124" s="10">
        <x:v>51</x:v>
      </x:c>
      <x:c r="G124" s="10">
        <x:v>192</x:v>
      </x:c>
      <x:c r="H124" s="22">
        <x:f t="shared" si="1"/>
        <x:v>8676.2941900312489</x:v>
      </x:c>
      <x:c r="I124" s="22">
        <x:v>1665848.4844859999</x:v>
      </x:c>
      <x:c r="J124" s="10">
        <x:v>7</x:v>
      </x:c>
      <x:c r="K124" s="10">
        <x:v>6</x:v>
      </x:c>
    </x:row>
    <x:row r="125">
      <x:c r="A125" s="10" t="s">
        <x:v>60</x:v>
      </x:c>
      <x:c r="B125" s="10">
        <x:v>9493</x:v>
      </x:c>
      <x:c r="C125" s="10">
        <x:v>13674</x:v>
      </x:c>
      <x:c r="D125" s="10" t="s">
        <x:v>9</x:v>
      </x:c>
      <x:c r="E125" s="10" t="s">
        <x:v>9</x:v>
      </x:c>
      <x:c r="F125" s="10">
        <x:v>0</x:v>
      </x:c>
      <x:c r="G125" s="10">
        <x:v>92</x:v>
      </x:c>
      <x:c r="H125" s="22">
        <x:f t="shared" si="1"/>
        <x:v>9000</x:v>
      </x:c>
      <x:c r="I125" s="22">
        <x:v>828000</x:v>
      </x:c>
      <x:c r="J125" s="10">
        <x:v>7</x:v>
      </x:c>
      <x:c r="K125" s="10">
        <x:v>7</x:v>
      </x:c>
    </x:row>
    <x:row r="126">
      <x:c r="A126" s="10" t="s">
        <x:v>60</x:v>
      </x:c>
      <x:c r="B126" s="10">
        <x:v>9441</x:v>
      </x:c>
      <x:c r="C126" s="10">
        <x:v>13675</x:v>
      </x:c>
      <x:c r="D126" s="10" t="s">
        <x:v>9</x:v>
      </x:c>
      <x:c r="E126" s="10" t="s">
        <x:v>9</x:v>
      </x:c>
      <x:c r="F126" s="10">
        <x:v>0</x:v>
      </x:c>
      <x:c r="G126" s="10">
        <x:v>102</x:v>
      </x:c>
      <x:c r="H126" s="22">
        <x:f t="shared" si="1"/>
        <x:v>9000</x:v>
      </x:c>
      <x:c r="I126" s="22">
        <x:v>918000</x:v>
      </x:c>
      <x:c r="J126" s="10">
        <x:v>7</x:v>
      </x:c>
      <x:c r="K126" s="10">
        <x:v>8</x:v>
      </x:c>
    </x:row>
    <x:row r="127">
      <x:c r="A127" s="10" t="s">
        <x:v>60</x:v>
      </x:c>
      <x:c r="B127" s="10">
        <x:v>9516</x:v>
      </x:c>
      <x:c r="C127" s="10">
        <x:v>13676</x:v>
      </x:c>
      <x:c r="D127" s="10" t="s">
        <x:v>9</x:v>
      </x:c>
      <x:c r="E127" s="10" t="s">
        <x:v>9</x:v>
      </x:c>
      <x:c r="F127" s="10">
        <x:v>0</x:v>
      </x:c>
      <x:c r="G127" s="10">
        <x:v>103</x:v>
      </x:c>
      <x:c r="H127" s="22">
        <x:f t="shared" si="1"/>
        <x:v>9000</x:v>
      </x:c>
      <x:c r="I127" s="22">
        <x:v>927000</x:v>
      </x:c>
      <x:c r="J127" s="10">
        <x:v>7</x:v>
      </x:c>
      <x:c r="K127" s="10">
        <x:v>9</x:v>
      </x:c>
    </x:row>
    <x:row r="128">
      <x:c r="A128" s="10" t="s">
        <x:v>60</x:v>
      </x:c>
      <x:c r="B128" s="10">
        <x:v>9518</x:v>
      </x:c>
      <x:c r="C128" s="10">
        <x:v>13677</x:v>
      </x:c>
      <x:c r="D128" s="10" t="s">
        <x:v>9</x:v>
      </x:c>
      <x:c r="E128" s="10" t="s">
        <x:v>9</x:v>
      </x:c>
      <x:c r="F128" s="10">
        <x:v>0</x:v>
      </x:c>
      <x:c r="G128" s="10">
        <x:v>94</x:v>
      </x:c>
      <x:c r="H128" s="22">
        <x:f t="shared" si="1"/>
        <x:v>9000</x:v>
      </x:c>
      <x:c r="I128" s="22">
        <x:v>846000</x:v>
      </x:c>
      <x:c r="J128" s="10">
        <x:v>7</x:v>
      </x:c>
      <x:c r="K128" s="10">
        <x:v>10</x:v>
      </x:c>
    </x:row>
    <x:row r="129">
      <x:c r="A129" s="10" t="s">
        <x:v>60</x:v>
      </x:c>
      <x:c r="B129" s="10">
        <x:v>9519</x:v>
      </x:c>
      <x:c r="C129" s="10">
        <x:v>13678</x:v>
      </x:c>
      <x:c r="D129" s="10" t="s">
        <x:v>9</x:v>
      </x:c>
      <x:c r="E129" s="10" t="s">
        <x:v>9</x:v>
      </x:c>
      <x:c r="F129" s="10">
        <x:v>0</x:v>
      </x:c>
      <x:c r="G129" s="10">
        <x:v>93</x:v>
      </x:c>
      <x:c r="H129" s="22">
        <x:f t="shared" si="1"/>
        <x:v>9000</x:v>
      </x:c>
      <x:c r="I129" s="22">
        <x:v>837000</x:v>
      </x:c>
      <x:c r="J129" s="10">
        <x:v>7</x:v>
      </x:c>
      <x:c r="K129" s="10">
        <x:v>11</x:v>
      </x:c>
    </x:row>
    <x:row r="130">
      <x:c r="A130" s="10" t="s">
        <x:v>60</x:v>
      </x:c>
      <x:c r="B130" s="10">
        <x:v>9490</x:v>
      </x:c>
      <x:c r="C130" s="10">
        <x:v>13679</x:v>
      </x:c>
      <x:c r="D130" s="10" t="s">
        <x:v>9</x:v>
      </x:c>
      <x:c r="E130" s="10" t="s">
        <x:v>9</x:v>
      </x:c>
      <x:c r="F130" s="10">
        <x:v>0</x:v>
      </x:c>
      <x:c r="G130" s="10">
        <x:v>98</x:v>
      </x:c>
      <x:c r="H130" s="22">
        <x:f t="shared" si="1"/>
        <x:v>9000</x:v>
      </x:c>
      <x:c r="I130" s="22">
        <x:v>882000</x:v>
      </x:c>
      <x:c r="J130" s="10">
        <x:v>7</x:v>
      </x:c>
      <x:c r="K130" s="10">
        <x:v>12</x:v>
      </x:c>
    </x:row>
    <x:row r="131">
      <x:c r="A131" s="10" t="s">
        <x:v>60</x:v>
      </x:c>
      <x:c r="B131" s="10">
        <x:v>9539</x:v>
      </x:c>
      <x:c r="C131" s="10">
        <x:v>13680</x:v>
      </x:c>
      <x:c r="D131" s="10" t="s">
        <x:v>9</x:v>
      </x:c>
      <x:c r="E131" s="10" t="s">
        <x:v>9</x:v>
      </x:c>
      <x:c r="F131" s="10">
        <x:v>22</x:v>
      </x:c>
      <x:c r="G131" s="10">
        <x:v>108</x:v>
      </x:c>
      <x:c r="H131" s="22" t="n">
        <x:f t="shared" ref="H131:H194" si="2">I131/G131</x:f>
        <x:v>9000</x:v>
      </x:c>
      <x:c r="I131" s="22">
        <x:v>972000</x:v>
      </x:c>
      <x:c r="J131" s="10">
        <x:v>7</x:v>
      </x:c>
      <x:c r="K131" s="10">
        <x:v>13</x:v>
      </x:c>
    </x:row>
    <x:row r="132">
      <x:c r="A132" s="10" t="s">
        <x:v>60</x:v>
      </x:c>
      <x:c r="B132" s="10">
        <x:v>9467</x:v>
      </x:c>
      <x:c r="C132" s="10">
        <x:v>13681</x:v>
      </x:c>
      <x:c r="D132" s="10" t="s">
        <x:v>9</x:v>
      </x:c>
      <x:c r="E132" s="10" t="s">
        <x:v>9</x:v>
      </x:c>
      <x:c r="F132" s="10">
        <x:v>23</x:v>
      </x:c>
      <x:c r="G132" s="10">
        <x:v>110</x:v>
      </x:c>
      <x:c r="H132" s="22">
        <x:f t="shared" si="2"/>
        <x:v>9000</x:v>
      </x:c>
      <x:c r="I132" s="22">
        <x:v>990000</x:v>
      </x:c>
      <x:c r="J132" s="10">
        <x:v>7</x:v>
      </x:c>
      <x:c r="K132" s="10">
        <x:v>14</x:v>
      </x:c>
    </x:row>
    <x:row r="133">
      <x:c r="A133" s="10" t="s">
        <x:v>60</x:v>
      </x:c>
      <x:c r="B133" s="10">
        <x:v>10557</x:v>
      </x:c>
      <x:c r="C133" s="10">
        <x:v>13682</x:v>
      </x:c>
      <x:c r="D133" s="10" t="s">
        <x:v>6</x:v>
      </x:c>
      <x:c r="E133" s="10" t="s">
        <x:v>61</x:v>
      </x:c>
      <x:c r="F133" s="10">
        <x:v>0</x:v>
      </x:c>
      <x:c r="G133" s="10">
        <x:v>186</x:v>
      </x:c>
      <x:c r="H133" s="22">
        <x:f t="shared" si="2"/>
        <x:v>8956.1746477741926</x:v>
      </x:c>
      <x:c r="I133" s="22">
        <x:v>1665848.4844859999</x:v>
      </x:c>
      <x:c r="J133" s="10">
        <x:v>7</x:v>
      </x:c>
      <x:c r="K133" s="10">
        <x:v>15</x:v>
      </x:c>
    </x:row>
    <x:row r="134">
      <x:c r="A134" s="10" t="s">
        <x:v>60</x:v>
      </x:c>
      <x:c r="B134" s="10">
        <x:v>10527</x:v>
      </x:c>
      <x:c r="C134" s="10">
        <x:v>13683</x:v>
      </x:c>
      <x:c r="D134" s="10" t="s">
        <x:v>9</x:v>
      </x:c>
      <x:c r="E134" s="10" t="s">
        <x:v>34</x:v>
      </x:c>
      <x:c r="F134" s="10">
        <x:v>36</x:v>
      </x:c>
      <x:c r="G134" s="10">
        <x:v>184</x:v>
      </x:c>
      <x:c r="H134" s="22">
        <x:f t="shared" si="2"/>
        <x:v>9053.5243722065206</x:v>
      </x:c>
      <x:c r="I134" s="22">
        <x:v>1665848.4844859999</x:v>
      </x:c>
      <x:c r="J134" s="10">
        <x:v>7</x:v>
      </x:c>
      <x:c r="K134" s="10">
        <x:v>16</x:v>
      </x:c>
    </x:row>
    <x:row r="135">
      <x:c r="A135" s="10" t="s">
        <x:v>60</x:v>
      </x:c>
      <x:c r="B135" s="10">
        <x:v>9560</x:v>
      </x:c>
      <x:c r="C135" s="10">
        <x:v>13684</x:v>
      </x:c>
      <x:c r="D135" s="10" t="s">
        <x:v>9</x:v>
      </x:c>
      <x:c r="E135" s="10" t="s">
        <x:v>9</x:v>
      </x:c>
      <x:c r="F135" s="10">
        <x:v>104</x:v>
      </x:c>
      <x:c r="G135" s="10">
        <x:v>418</x:v>
      </x:c>
      <x:c r="H135" s="22">
        <x:f t="shared" si="2"/>
        <x:v>9000</x:v>
      </x:c>
      <x:c r="I135" s="22">
        <x:v>3762000</x:v>
      </x:c>
      <x:c r="J135" s="10">
        <x:v>7</x:v>
      </x:c>
      <x:c r="K135" s="10">
        <x:v>17</x:v>
      </x:c>
    </x:row>
    <x:row r="136">
      <x:c r="A136" s="10" t="s">
        <x:v>60</x:v>
      </x:c>
      <x:c r="B136" s="10">
        <x:v>9547</x:v>
      </x:c>
      <x:c r="C136" s="10">
        <x:v>13685</x:v>
      </x:c>
      <x:c r="D136" s="10" t="s">
        <x:v>9</x:v>
      </x:c>
      <x:c r="E136" s="10" t="s">
        <x:v>9</x:v>
      </x:c>
      <x:c r="F136" s="10">
        <x:v>0</x:v>
      </x:c>
      <x:c r="G136" s="10">
        <x:v>92</x:v>
      </x:c>
      <x:c r="H136" s="22">
        <x:f t="shared" si="2"/>
        <x:v>9000</x:v>
      </x:c>
      <x:c r="I136" s="22">
        <x:v>828000</x:v>
      </x:c>
      <x:c r="J136" s="10">
        <x:v>7</x:v>
      </x:c>
      <x:c r="K136" s="10">
        <x:v>18</x:v>
      </x:c>
    </x:row>
    <x:row r="137">
      <x:c r="A137" s="10" t="s">
        <x:v>60</x:v>
      </x:c>
      <x:c r="B137" s="10">
        <x:v>9432</x:v>
      </x:c>
      <x:c r="C137" s="10">
        <x:v>13686</x:v>
      </x:c>
      <x:c r="D137" s="10" t="s">
        <x:v>9</x:v>
      </x:c>
      <x:c r="E137" s="10" t="s">
        <x:v>9</x:v>
      </x:c>
      <x:c r="F137" s="10">
        <x:v>0</x:v>
      </x:c>
      <x:c r="G137" s="10">
        <x:v>96</x:v>
      </x:c>
      <x:c r="H137" s="22">
        <x:f t="shared" si="2"/>
        <x:v>9000</x:v>
      </x:c>
      <x:c r="I137" s="22">
        <x:v>864000</x:v>
      </x:c>
      <x:c r="J137" s="10">
        <x:v>7</x:v>
      </x:c>
      <x:c r="K137" s="10">
        <x:v>19</x:v>
      </x:c>
    </x:row>
    <x:row r="138">
      <x:c r="A138" s="10" t="s">
        <x:v>60</x:v>
      </x:c>
      <x:c r="B138" s="10">
        <x:v>9324</x:v>
      </x:c>
      <x:c r="C138" s="10">
        <x:v>13687</x:v>
      </x:c>
      <x:c r="D138" s="10" t="s">
        <x:v>9</x:v>
      </x:c>
      <x:c r="E138" s="10" t="s">
        <x:v>9</x:v>
      </x:c>
      <x:c r="F138" s="10">
        <x:v>0</x:v>
      </x:c>
      <x:c r="G138" s="10">
        <x:v>105</x:v>
      </x:c>
      <x:c r="H138" s="22">
        <x:f t="shared" si="2"/>
        <x:v>9000</x:v>
      </x:c>
      <x:c r="I138" s="22">
        <x:v>945000</x:v>
      </x:c>
      <x:c r="J138" s="10">
        <x:v>7</x:v>
      </x:c>
      <x:c r="K138" s="10">
        <x:v>20</x:v>
      </x:c>
    </x:row>
    <x:row r="139">
      <x:c r="A139" s="10" t="s">
        <x:v>60</x:v>
      </x:c>
      <x:c r="B139" s="10">
        <x:v>10516</x:v>
      </x:c>
      <x:c r="C139" s="10">
        <x:v>13688</x:v>
      </x:c>
      <x:c r="D139" s="10" t="s">
        <x:v>9</x:v>
      </x:c>
      <x:c r="E139" s="10" t="s">
        <x:v>33</x:v>
      </x:c>
      <x:c r="F139" s="10">
        <x:v>41</x:v>
      </x:c>
      <x:c r="G139" s="10">
        <x:v>187</x:v>
      </x:c>
      <x:c r="H139" s="22">
        <x:f t="shared" si="2"/>
        <x:v>8908.2806657005349</x:v>
      </x:c>
      <x:c r="I139" s="22">
        <x:v>1665848.4844859999</x:v>
      </x:c>
      <x:c r="J139" s="10">
        <x:v>8</x:v>
      </x:c>
      <x:c r="K139" s="10">
        <x:v>1</x:v>
      </x:c>
    </x:row>
    <x:row r="140">
      <x:c r="A140" s="10" t="s">
        <x:v>60</x:v>
      </x:c>
      <x:c r="B140" s="10">
        <x:v>10871</x:v>
      </x:c>
      <x:c r="C140" s="10">
        <x:v>13689</x:v>
      </x:c>
      <x:c r="D140" s="10" t="s">
        <x:v>9</x:v>
      </x:c>
      <x:c r="E140" s="10" t="s">
        <x:v>33</x:v>
      </x:c>
      <x:c r="F140" s="10">
        <x:v>45</x:v>
      </x:c>
      <x:c r="G140" s="10">
        <x:v>191</x:v>
      </x:c>
      <x:c r="H140" s="22">
        <x:f t="shared" si="2"/>
        <x:v>8721.7198140628261</x:v>
      </x:c>
      <x:c r="I140" s="22">
        <x:v>1665848.4844859999</x:v>
      </x:c>
      <x:c r="J140" s="10">
        <x:v>8</x:v>
      </x:c>
      <x:c r="K140" s="10">
        <x:v>2</x:v>
      </x:c>
    </x:row>
    <x:row r="141">
      <x:c r="A141" s="10" t="s">
        <x:v>60</x:v>
      </x:c>
      <x:c r="B141" s="10">
        <x:v>10859</x:v>
      </x:c>
      <x:c r="C141" s="10">
        <x:v>14346</x:v>
      </x:c>
      <x:c r="D141" s="10" t="s">
        <x:v>9</x:v>
      </x:c>
      <x:c r="E141" s="10" t="s">
        <x:v>33</x:v>
      </x:c>
      <x:c r="F141" s="10">
        <x:v>40</x:v>
      </x:c>
      <x:c r="G141" s="10">
        <x:v>193</x:v>
      </x:c>
      <x:c r="H141" s="22">
        <x:f t="shared" si="2"/>
        <x:v>8631.3392978549218</x:v>
      </x:c>
      <x:c r="I141" s="22">
        <x:v>1665848.4844859999</x:v>
      </x:c>
      <x:c r="J141" s="10">
        <x:v>8</x:v>
      </x:c>
      <x:c r="K141" s="10">
        <x:v>3</x:v>
      </x:c>
    </x:row>
    <x:row r="142">
      <x:c r="A142" s="10" t="s">
        <x:v>60</x:v>
      </x:c>
      <x:c r="B142" s="10">
        <x:v>9083</x:v>
      </x:c>
      <x:c r="C142" s="10">
        <x:v>14348</x:v>
      </x:c>
      <x:c r="D142" s="10" t="s">
        <x:v>9</x:v>
      </x:c>
      <x:c r="E142" s="10" t="s">
        <x:v>9</x:v>
      </x:c>
      <x:c r="F142" s="10">
        <x:v>15</x:v>
      </x:c>
      <x:c r="G142" s="10">
        <x:v>79</x:v>
      </x:c>
      <x:c r="H142" s="22">
        <x:f t="shared" si="2"/>
        <x:v>9000</x:v>
      </x:c>
      <x:c r="I142" s="22">
        <x:v>711000</x:v>
      </x:c>
      <x:c r="J142" s="10">
        <x:v>8</x:v>
      </x:c>
      <x:c r="K142" s="10">
        <x:v>4</x:v>
      </x:c>
    </x:row>
    <x:row r="143">
      <x:c r="A143" s="10" t="s">
        <x:v>60</x:v>
      </x:c>
      <x:c r="B143" s="10">
        <x:v>10848</x:v>
      </x:c>
      <x:c r="C143" s="10">
        <x:v>13694</x:v>
      </x:c>
      <x:c r="D143" s="10" t="s">
        <x:v>9</x:v>
      </x:c>
      <x:c r="E143" s="10" t="s">
        <x:v>34</x:v>
      </x:c>
      <x:c r="F143" s="10">
        <x:v>28</x:v>
      </x:c>
      <x:c r="G143" s="10">
        <x:v>190</x:v>
      </x:c>
      <x:c r="H143" s="22">
        <x:f t="shared" si="2"/>
        <x:v>8767.6236025578946</x:v>
      </x:c>
      <x:c r="I143" s="22">
        <x:v>1665848.4844859999</x:v>
      </x:c>
      <x:c r="J143" s="10">
        <x:v>8</x:v>
      </x:c>
      <x:c r="K143" s="10">
        <x:v>5</x:v>
      </x:c>
    </x:row>
    <x:row r="144">
      <x:c r="A144" s="10" t="s">
        <x:v>60</x:v>
      </x:c>
      <x:c r="B144" s="10">
        <x:v>9290</x:v>
      </x:c>
      <x:c r="C144" s="10">
        <x:v>13695</x:v>
      </x:c>
      <x:c r="D144" s="10" t="s">
        <x:v>9</x:v>
      </x:c>
      <x:c r="E144" s="10" t="s">
        <x:v>9</x:v>
      </x:c>
      <x:c r="F144" s="10">
        <x:v>30</x:v>
      </x:c>
      <x:c r="G144" s="10">
        <x:v>179</x:v>
      </x:c>
      <x:c r="H144" s="22">
        <x:f t="shared" si="2"/>
        <x:v>9000</x:v>
      </x:c>
      <x:c r="I144" s="22">
        <x:v>1611000</x:v>
      </x:c>
      <x:c r="J144" s="10">
        <x:v>8</x:v>
      </x:c>
      <x:c r="K144" s="10">
        <x:v>6</x:v>
      </x:c>
    </x:row>
    <x:row r="145">
      <x:c r="A145" s="10" t="s">
        <x:v>60</x:v>
      </x:c>
      <x:c r="B145" s="10">
        <x:v>9261</x:v>
      </x:c>
      <x:c r="C145" s="10">
        <x:v>13696</x:v>
      </x:c>
      <x:c r="D145" s="10" t="s">
        <x:v>9</x:v>
      </x:c>
      <x:c r="E145" s="10" t="s">
        <x:v>9</x:v>
      </x:c>
      <x:c r="F145" s="10">
        <x:v>18</x:v>
      </x:c>
      <x:c r="G145" s="10">
        <x:v>84</x:v>
      </x:c>
      <x:c r="H145" s="22">
        <x:f t="shared" si="2"/>
        <x:v>9000</x:v>
      </x:c>
      <x:c r="I145" s="22">
        <x:v>756000</x:v>
      </x:c>
      <x:c r="J145" s="10">
        <x:v>8</x:v>
      </x:c>
      <x:c r="K145" s="10">
        <x:v>7</x:v>
      </x:c>
    </x:row>
    <x:row r="146">
      <x:c r="A146" s="10" t="s">
        <x:v>60</x:v>
      </x:c>
      <x:c r="B146" s="10">
        <x:v>10521</x:v>
      </x:c>
      <x:c r="C146" s="10">
        <x:v>13697</x:v>
      </x:c>
      <x:c r="D146" s="10" t="s">
        <x:v>9</x:v>
      </x:c>
      <x:c r="E146" s="10" t="s">
        <x:v>34</x:v>
      </x:c>
      <x:c r="F146" s="10">
        <x:v>37</x:v>
      </x:c>
      <x:c r="G146" s="10">
        <x:v>192</x:v>
      </x:c>
      <x:c r="H146" s="22">
        <x:f t="shared" si="2"/>
        <x:v>8676.2941900312489</x:v>
      </x:c>
      <x:c r="I146" s="22">
        <x:v>1665848.4844859999</x:v>
      </x:c>
      <x:c r="J146" s="10">
        <x:v>8</x:v>
      </x:c>
      <x:c r="K146" s="10">
        <x:v>8</x:v>
      </x:c>
    </x:row>
    <x:row r="147">
      <x:c r="A147" s="10" t="s">
        <x:v>60</x:v>
      </x:c>
      <x:c r="B147" s="10">
        <x:v>10497</x:v>
      </x:c>
      <x:c r="C147" s="10">
        <x:v>13698</x:v>
      </x:c>
      <x:c r="D147" s="10" t="s">
        <x:v>9</x:v>
      </x:c>
      <x:c r="E147" s="10" t="s">
        <x:v>33</x:v>
      </x:c>
      <x:c r="F147" s="10">
        <x:v>41</x:v>
      </x:c>
      <x:c r="G147" s="10">
        <x:v>192</x:v>
      </x:c>
      <x:c r="H147" s="22">
        <x:f t="shared" si="2"/>
        <x:v>8676.2941900312489</x:v>
      </x:c>
      <x:c r="I147" s="22">
        <x:v>1665848.4844859999</x:v>
      </x:c>
      <x:c r="J147" s="10">
        <x:v>8</x:v>
      </x:c>
      <x:c r="K147" s="10">
        <x:v>9</x:v>
      </x:c>
    </x:row>
    <x:row r="148">
      <x:c r="A148" s="10" t="s">
        <x:v>60</x:v>
      </x:c>
      <x:c r="B148" s="10">
        <x:v>10508</x:v>
      </x:c>
      <x:c r="C148" s="10">
        <x:v>13699</x:v>
      </x:c>
      <x:c r="D148" s="10" t="s">
        <x:v>9</x:v>
      </x:c>
      <x:c r="E148" s="10" t="s">
        <x:v>33</x:v>
      </x:c>
      <x:c r="F148" s="10">
        <x:v>41</x:v>
      </x:c>
      <x:c r="G148" s="10">
        <x:v>189</x:v>
      </x:c>
      <x:c r="H148" s="22">
        <x:f t="shared" si="2"/>
        <x:v>8814.0131454285711</x:v>
      </x:c>
      <x:c r="I148" s="22">
        <x:v>1665848.4844859999</x:v>
      </x:c>
      <x:c r="J148" s="10">
        <x:v>8</x:v>
      </x:c>
      <x:c r="K148" s="10">
        <x:v>10</x:v>
      </x:c>
    </x:row>
    <x:row r="149">
      <x:c r="A149" s="10" t="s">
        <x:v>60</x:v>
      </x:c>
      <x:c r="B149" s="10">
        <x:v>9305</x:v>
      </x:c>
      <x:c r="C149" s="10">
        <x:v>13700</x:v>
      </x:c>
      <x:c r="D149" s="10" t="s">
        <x:v>9</x:v>
      </x:c>
      <x:c r="E149" s="10" t="s">
        <x:v>9</x:v>
      </x:c>
      <x:c r="F149" s="10">
        <x:v>16</x:v>
      </x:c>
      <x:c r="G149" s="10">
        <x:v>83</x:v>
      </x:c>
      <x:c r="H149" s="22">
        <x:f t="shared" si="2"/>
        <x:v>9000</x:v>
      </x:c>
      <x:c r="I149" s="22">
        <x:v>747000</x:v>
      </x:c>
      <x:c r="J149" s="10">
        <x:v>8</x:v>
      </x:c>
      <x:c r="K149" s="10">
        <x:v>11</x:v>
      </x:c>
    </x:row>
    <x:row r="150">
      <x:c r="A150" s="10" t="s">
        <x:v>60</x:v>
      </x:c>
      <x:c r="B150" s="10">
        <x:v>8903</x:v>
      </x:c>
      <x:c r="C150" s="10">
        <x:v>13701</x:v>
      </x:c>
      <x:c r="D150" s="10" t="s">
        <x:v>9</x:v>
      </x:c>
      <x:c r="E150" s="10" t="s">
        <x:v>9</x:v>
      </x:c>
      <x:c r="F150" s="10">
        <x:v>51</x:v>
      </x:c>
      <x:c r="G150" s="10">
        <x:v>312</x:v>
      </x:c>
      <x:c r="H150" s="22">
        <x:f t="shared" si="2"/>
        <x:v>9000</x:v>
      </x:c>
      <x:c r="I150" s="22">
        <x:v>2808000</x:v>
      </x:c>
      <x:c r="J150" s="10">
        <x:v>8</x:v>
      </x:c>
      <x:c r="K150" s="10">
        <x:v>12</x:v>
      </x:c>
    </x:row>
    <x:row r="151">
      <x:c r="A151" s="10" t="s">
        <x:v>60</x:v>
      </x:c>
      <x:c r="B151" s="10">
        <x:v>8936</x:v>
      </x:c>
      <x:c r="C151" s="10">
        <x:v>13702</x:v>
      </x:c>
      <x:c r="D151" s="10" t="s">
        <x:v>9</x:v>
      </x:c>
      <x:c r="E151" s="10" t="s">
        <x:v>9</x:v>
      </x:c>
      <x:c r="F151" s="10">
        <x:v>64</x:v>
      </x:c>
      <x:c r="G151" s="10">
        <x:v>337</x:v>
      </x:c>
      <x:c r="H151" s="22">
        <x:f t="shared" si="2"/>
        <x:v>9000</x:v>
      </x:c>
      <x:c r="I151" s="22">
        <x:v>3033000</x:v>
      </x:c>
      <x:c r="J151" s="10">
        <x:v>8</x:v>
      </x:c>
      <x:c r="K151" s="10">
        <x:v>13</x:v>
      </x:c>
    </x:row>
    <x:row r="152">
      <x:c r="A152" s="10" t="s">
        <x:v>60</x:v>
      </x:c>
      <x:c r="B152" s="10">
        <x:v>8938</x:v>
      </x:c>
      <x:c r="C152" s="10">
        <x:v>13703</x:v>
      </x:c>
      <x:c r="D152" s="10" t="s">
        <x:v>9</x:v>
      </x:c>
      <x:c r="E152" s="10" t="s">
        <x:v>9</x:v>
      </x:c>
      <x:c r="F152" s="10">
        <x:v>43</x:v>
      </x:c>
      <x:c r="G152" s="10">
        <x:v>170</x:v>
      </x:c>
      <x:c r="H152" s="22">
        <x:f t="shared" si="2"/>
        <x:v>9000</x:v>
      </x:c>
      <x:c r="I152" s="22">
        <x:v>1530000</x:v>
      </x:c>
      <x:c r="J152" s="10">
        <x:v>8</x:v>
      </x:c>
      <x:c r="K152" s="10">
        <x:v>14</x:v>
      </x:c>
    </x:row>
    <x:row r="153">
      <x:c r="A153" s="10" t="s">
        <x:v>60</x:v>
      </x:c>
      <x:c r="B153" s="10">
        <x:v>10522</x:v>
      </x:c>
      <x:c r="C153" s="10">
        <x:v>13704</x:v>
      </x:c>
      <x:c r="D153" s="10" t="s">
        <x:v>9</x:v>
      </x:c>
      <x:c r="E153" s="10" t="s">
        <x:v>34</x:v>
      </x:c>
      <x:c r="F153" s="10">
        <x:v>41</x:v>
      </x:c>
      <x:c r="G153" s="10">
        <x:v>193</x:v>
      </x:c>
      <x:c r="H153" s="22">
        <x:f t="shared" si="2"/>
        <x:v>8605.432562103626</x:v>
      </x:c>
      <x:c r="I153" s="22">
        <x:v>1660848.4844859999</x:v>
      </x:c>
      <x:c r="J153" s="10">
        <x:v>8</x:v>
      </x:c>
      <x:c r="K153" s="10">
        <x:v>15</x:v>
      </x:c>
    </x:row>
    <x:row r="154">
      <x:c r="A154" s="10" t="s">
        <x:v>60</x:v>
      </x:c>
      <x:c r="B154" s="10">
        <x:v>8905</x:v>
      </x:c>
      <x:c r="C154" s="10">
        <x:v>14345</x:v>
      </x:c>
      <x:c r="D154" s="10" t="s">
        <x:v>9</x:v>
      </x:c>
      <x:c r="E154" s="10" t="s">
        <x:v>9</x:v>
      </x:c>
      <x:c r="F154" s="10">
        <x:v>52</x:v>
      </x:c>
      <x:c r="G154" s="10">
        <x:v>346</x:v>
      </x:c>
      <x:c r="H154" s="22">
        <x:f t="shared" si="2"/>
        <x:v>9000</x:v>
      </x:c>
      <x:c r="I154" s="22">
        <x:v>3114000</x:v>
      </x:c>
      <x:c r="J154" s="10">
        <x:v>8</x:v>
      </x:c>
      <x:c r="K154" s="10">
        <x:v>16</x:v>
      </x:c>
    </x:row>
    <x:row r="155">
      <x:c r="A155" s="10" t="s">
        <x:v>60</x:v>
      </x:c>
      <x:c r="B155" s="10">
        <x:v>10520</x:v>
      </x:c>
      <x:c r="C155" s="10">
        <x:v>13705</x:v>
      </x:c>
      <x:c r="D155" s="10" t="s">
        <x:v>9</x:v>
      </x:c>
      <x:c r="E155" s="10" t="s">
        <x:v>33</x:v>
      </x:c>
      <x:c r="F155" s="10">
        <x:v>41</x:v>
      </x:c>
      <x:c r="G155" s="10">
        <x:v>193</x:v>
      </x:c>
      <x:c r="H155" s="22">
        <x:f t="shared" si="2"/>
        <x:v>8631.3392978549218</x:v>
      </x:c>
      <x:c r="I155" s="22">
        <x:v>1665848.4844859999</x:v>
      </x:c>
      <x:c r="J155" s="10">
        <x:v>8</x:v>
      </x:c>
      <x:c r="K155" s="10">
        <x:v>17</x:v>
      </x:c>
    </x:row>
    <x:row r="156">
      <x:c r="A156" s="10" t="s">
        <x:v>60</x:v>
      </x:c>
      <x:c r="B156" s="10">
        <x:v>9003</x:v>
      </x:c>
      <x:c r="C156" s="10">
        <x:v>13706</x:v>
      </x:c>
      <x:c r="D156" s="10" t="s">
        <x:v>9</x:v>
      </x:c>
      <x:c r="E156" s="10" t="s">
        <x:v>9</x:v>
      </x:c>
      <x:c r="F156" s="10">
        <x:v>22</x:v>
      </x:c>
      <x:c r="G156" s="10">
        <x:v>95</x:v>
      </x:c>
      <x:c r="H156" s="22">
        <x:f t="shared" si="2"/>
        <x:v>9000</x:v>
      </x:c>
      <x:c r="I156" s="22">
        <x:v>855000</x:v>
      </x:c>
      <x:c r="J156" s="10">
        <x:v>8</x:v>
      </x:c>
      <x:c r="K156" s="10">
        <x:v>18</x:v>
      </x:c>
    </x:row>
    <x:row r="157">
      <x:c r="A157" s="10" t="s">
        <x:v>60</x:v>
      </x:c>
      <x:c r="B157" s="10">
        <x:v>8939</x:v>
      </x:c>
      <x:c r="C157" s="10">
        <x:v>13707</x:v>
      </x:c>
      <x:c r="D157" s="10" t="s">
        <x:v>9</x:v>
      </x:c>
      <x:c r="E157" s="10" t="s">
        <x:v>9</x:v>
      </x:c>
      <x:c r="F157" s="10">
        <x:v>40</x:v>
      </x:c>
      <x:c r="G157" s="10">
        <x:v>184</x:v>
      </x:c>
      <x:c r="H157" s="22">
        <x:f t="shared" si="2"/>
        <x:v>9000</x:v>
      </x:c>
      <x:c r="I157" s="22">
        <x:v>1656000</x:v>
      </x:c>
      <x:c r="J157" s="10">
        <x:v>8</x:v>
      </x:c>
      <x:c r="K157" s="10">
        <x:v>19</x:v>
      </x:c>
    </x:row>
    <x:row r="158">
      <x:c r="A158" s="10" t="s">
        <x:v>60</x:v>
      </x:c>
      <x:c r="B158" s="10">
        <x:v>8900</x:v>
      </x:c>
      <x:c r="C158" s="10">
        <x:v>13708</x:v>
      </x:c>
      <x:c r="D158" s="10" t="s">
        <x:v>9</x:v>
      </x:c>
      <x:c r="E158" s="10" t="s">
        <x:v>9</x:v>
      </x:c>
      <x:c r="F158" s="10">
        <x:v>52</x:v>
      </x:c>
      <x:c r="G158" s="10">
        <x:v>301</x:v>
      </x:c>
      <x:c r="H158" s="22">
        <x:f t="shared" si="2"/>
        <x:v>9000</x:v>
      </x:c>
      <x:c r="I158" s="22">
        <x:v>2709000</x:v>
      </x:c>
      <x:c r="J158" s="10">
        <x:v>8</x:v>
      </x:c>
      <x:c r="K158" s="10">
        <x:v>20</x:v>
      </x:c>
    </x:row>
    <x:row r="159">
      <x:c r="A159" s="10" t="s">
        <x:v>60</x:v>
      </x:c>
      <x:c r="B159" s="10">
        <x:v>5958</x:v>
      </x:c>
      <x:c r="C159" s="10">
        <x:v>13709</x:v>
      </x:c>
      <x:c r="D159" s="10" t="s">
        <x:v>9</x:v>
      </x:c>
      <x:c r="E159" s="10" t="s">
        <x:v>34</x:v>
      </x:c>
      <x:c r="F159" s="10">
        <x:v>28</x:v>
      </x:c>
      <x:c r="G159" s="10">
        <x:v>182</x:v>
      </x:c>
      <x:c r="H159" s="22">
        <x:f t="shared" si="2"/>
        <x:v>11238.307153586264</x:v>
      </x:c>
      <x:c r="I159" s="22">
        <x:v>2045371.9019527</x:v>
      </x:c>
      <x:c r="J159" s="10">
        <x:v>9</x:v>
      </x:c>
      <x:c r="K159" s="10">
        <x:v>1</x:v>
      </x:c>
    </x:row>
    <x:row r="160">
      <x:c r="A160" s="10" t="s">
        <x:v>60</x:v>
      </x:c>
      <x:c r="B160" s="10">
        <x:v>5917</x:v>
      </x:c>
      <x:c r="C160" s="10">
        <x:v>13710</x:v>
      </x:c>
      <x:c r="D160" s="10" t="s">
        <x:v>9</x:v>
      </x:c>
      <x:c r="E160" s="10" t="s">
        <x:v>34</x:v>
      </x:c>
      <x:c r="F160" s="10">
        <x:v>29</x:v>
      </x:c>
      <x:c r="G160" s="10">
        <x:v>183</x:v>
      </x:c>
      <x:c r="H160" s="22">
        <x:f t="shared" si="2"/>
        <x:v>11176.895639085793</x:v>
      </x:c>
      <x:c r="I160" s="22">
        <x:v>2045371.9019527</x:v>
      </x:c>
      <x:c r="J160" s="10">
        <x:v>9</x:v>
      </x:c>
      <x:c r="K160" s="10">
        <x:v>2</x:v>
      </x:c>
    </x:row>
    <x:row r="161">
      <x:c r="A161" s="10" t="s">
        <x:v>60</x:v>
      </x:c>
      <x:c r="B161" s="10">
        <x:v>8580</x:v>
      </x:c>
      <x:c r="C161" s="10">
        <x:v>14347</x:v>
      </x:c>
      <x:c r="D161" s="10" t="s">
        <x:v>9</x:v>
      </x:c>
      <x:c r="E161" s="10" t="s">
        <x:v>9</x:v>
      </x:c>
      <x:c r="F161" s="10">
        <x:v>45</x:v>
      </x:c>
      <x:c r="G161" s="10">
        <x:v>201</x:v>
      </x:c>
      <x:c r="H161" s="22">
        <x:f t="shared" si="2"/>
        <x:v>9000</x:v>
      </x:c>
      <x:c r="I161" s="22">
        <x:v>1809000</x:v>
      </x:c>
      <x:c r="J161" s="10">
        <x:v>9</x:v>
      </x:c>
      <x:c r="K161" s="10">
        <x:v>3</x:v>
      </x:c>
    </x:row>
    <x:row r="162">
      <x:c r="A162" s="10" t="s">
        <x:v>60</x:v>
      </x:c>
      <x:c r="B162" s="10">
        <x:v>8604</x:v>
      </x:c>
      <x:c r="C162" s="10">
        <x:v>14349</x:v>
      </x:c>
      <x:c r="D162" s="10" t="s">
        <x:v>9</x:v>
      </x:c>
      <x:c r="E162" s="10" t="s">
        <x:v>9</x:v>
      </x:c>
      <x:c r="F162" s="10">
        <x:v>42</x:v>
      </x:c>
      <x:c r="G162" s="10">
        <x:v>197</x:v>
      </x:c>
      <x:c r="H162" s="22">
        <x:f t="shared" si="2"/>
        <x:v>9000</x:v>
      </x:c>
      <x:c r="I162" s="22">
        <x:v>1773000</x:v>
      </x:c>
      <x:c r="J162" s="10">
        <x:v>9</x:v>
      </x:c>
      <x:c r="K162" s="10">
        <x:v>4</x:v>
      </x:c>
    </x:row>
    <x:row r="163">
      <x:c r="A163" s="10" t="s">
        <x:v>60</x:v>
      </x:c>
      <x:c r="B163" s="10">
        <x:v>8761</x:v>
      </x:c>
      <x:c r="C163" s="10">
        <x:v>13711</x:v>
      </x:c>
      <x:c r="D163" s="10" t="s">
        <x:v>9</x:v>
      </x:c>
      <x:c r="E163" s="10" t="s">
        <x:v>9</x:v>
      </x:c>
      <x:c r="F163" s="10">
        <x:v>32</x:v>
      </x:c>
      <x:c r="G163" s="10">
        <x:v>142</x:v>
      </x:c>
      <x:c r="H163" s="22">
        <x:f t="shared" si="2"/>
        <x:v>9000</x:v>
      </x:c>
      <x:c r="I163" s="22">
        <x:v>1278000</x:v>
      </x:c>
      <x:c r="J163" s="10">
        <x:v>9</x:v>
      </x:c>
      <x:c r="K163" s="10">
        <x:v>5</x:v>
      </x:c>
    </x:row>
    <x:row r="164">
      <x:c r="A164" s="10" t="s">
        <x:v>60</x:v>
      </x:c>
      <x:c r="B164" s="10">
        <x:v>8614</x:v>
      </x:c>
      <x:c r="C164" s="10">
        <x:v>13712</x:v>
      </x:c>
      <x:c r="D164" s="10" t="s">
        <x:v>9</x:v>
      </x:c>
      <x:c r="E164" s="10" t="s">
        <x:v>9</x:v>
      </x:c>
      <x:c r="F164" s="10">
        <x:v>54</x:v>
      </x:c>
      <x:c r="G164" s="10">
        <x:v>201</x:v>
      </x:c>
      <x:c r="H164" s="22">
        <x:f t="shared" si="2"/>
        <x:v>9000</x:v>
      </x:c>
      <x:c r="I164" s="22">
        <x:v>1809000</x:v>
      </x:c>
      <x:c r="J164" s="10">
        <x:v>9</x:v>
      </x:c>
      <x:c r="K164" s="10">
        <x:v>6</x:v>
      </x:c>
    </x:row>
    <x:row r="165">
      <x:c r="A165" s="10" t="s">
        <x:v>60</x:v>
      </x:c>
      <x:c r="B165" s="10">
        <x:v>8864</x:v>
      </x:c>
      <x:c r="C165" s="10">
        <x:v>13713</x:v>
      </x:c>
      <x:c r="D165" s="10" t="s">
        <x:v>9</x:v>
      </x:c>
      <x:c r="E165" s="10" t="s">
        <x:v>9</x:v>
      </x:c>
      <x:c r="F165" s="10">
        <x:v>29</x:v>
      </x:c>
      <x:c r="G165" s="10">
        <x:v>178</x:v>
      </x:c>
      <x:c r="H165" s="22">
        <x:f t="shared" si="2"/>
        <x:v>9000</x:v>
      </x:c>
      <x:c r="I165" s="22">
        <x:v>1602000</x:v>
      </x:c>
      <x:c r="J165" s="10">
        <x:v>9</x:v>
      </x:c>
      <x:c r="K165" s="10">
        <x:v>7</x:v>
      </x:c>
    </x:row>
    <x:row r="166">
      <x:c r="A166" s="10" t="s">
        <x:v>60</x:v>
      </x:c>
      <x:c r="B166" s="10">
        <x:v>8857</x:v>
      </x:c>
      <x:c r="C166" s="10">
        <x:v>13714</x:v>
      </x:c>
      <x:c r="D166" s="10" t="s">
        <x:v>9</x:v>
      </x:c>
      <x:c r="E166" s="10" t="s">
        <x:v>9</x:v>
      </x:c>
      <x:c r="F166" s="10">
        <x:v>56</x:v>
      </x:c>
      <x:c r="G166" s="10">
        <x:v>203</x:v>
      </x:c>
      <x:c r="H166" s="22">
        <x:f t="shared" si="2"/>
        <x:v>9000</x:v>
      </x:c>
      <x:c r="I166" s="22">
        <x:v>1827000</x:v>
      </x:c>
      <x:c r="J166" s="10">
        <x:v>9</x:v>
      </x:c>
      <x:c r="K166" s="10">
        <x:v>8</x:v>
      </x:c>
    </x:row>
    <x:row r="167">
      <x:c r="A167" s="10" t="s">
        <x:v>60</x:v>
      </x:c>
      <x:c r="B167" s="10">
        <x:v>8630</x:v>
      </x:c>
      <x:c r="C167" s="10">
        <x:v>13715</x:v>
      </x:c>
      <x:c r="D167" s="10" t="s">
        <x:v>9</x:v>
      </x:c>
      <x:c r="E167" s="10" t="s">
        <x:v>9</x:v>
      </x:c>
      <x:c r="F167" s="10">
        <x:v>53</x:v>
      </x:c>
      <x:c r="G167" s="10">
        <x:v>200</x:v>
      </x:c>
      <x:c r="H167" s="22">
        <x:f t="shared" si="2"/>
        <x:v>9000</x:v>
      </x:c>
      <x:c r="I167" s="22">
        <x:v>1800000</x:v>
      </x:c>
      <x:c r="J167" s="10">
        <x:v>9</x:v>
      </x:c>
      <x:c r="K167" s="10">
        <x:v>9</x:v>
      </x:c>
    </x:row>
    <x:row r="168">
      <x:c r="A168" s="10" t="s">
        <x:v>60</x:v>
      </x:c>
      <x:c r="B168" s="10">
        <x:v>8783</x:v>
      </x:c>
      <x:c r="C168" s="10">
        <x:v>13716</x:v>
      </x:c>
      <x:c r="D168" s="10" t="s">
        <x:v>9</x:v>
      </x:c>
      <x:c r="E168" s="10" t="s">
        <x:v>9</x:v>
      </x:c>
      <x:c r="F168" s="10">
        <x:v>28</x:v>
      </x:c>
      <x:c r="G168" s="10">
        <x:v>193</x:v>
      </x:c>
      <x:c r="H168" s="22">
        <x:f t="shared" si="2"/>
        <x:v>9000</x:v>
      </x:c>
      <x:c r="I168" s="22">
        <x:v>1737000</x:v>
      </x:c>
      <x:c r="J168" s="10">
        <x:v>9</x:v>
      </x:c>
      <x:c r="K168" s="10">
        <x:v>10</x:v>
      </x:c>
    </x:row>
    <x:row r="169">
      <x:c r="A169" s="10" t="s">
        <x:v>60</x:v>
      </x:c>
      <x:c r="B169" s="10">
        <x:v>8834</x:v>
      </x:c>
      <x:c r="C169" s="10">
        <x:v>13717</x:v>
      </x:c>
      <x:c r="D169" s="10" t="s">
        <x:v>9</x:v>
      </x:c>
      <x:c r="E169" s="10" t="s">
        <x:v>9</x:v>
      </x:c>
      <x:c r="F169" s="10">
        <x:v>43</x:v>
      </x:c>
      <x:c r="G169" s="10">
        <x:v>200</x:v>
      </x:c>
      <x:c r="H169" s="22">
        <x:f t="shared" si="2"/>
        <x:v>9000</x:v>
      </x:c>
      <x:c r="I169" s="22">
        <x:v>1800000</x:v>
      </x:c>
      <x:c r="J169" s="10">
        <x:v>9</x:v>
      </x:c>
      <x:c r="K169" s="10">
        <x:v>11</x:v>
      </x:c>
    </x:row>
    <x:row r="170">
      <x:c r="A170" s="10" t="s">
        <x:v>60</x:v>
      </x:c>
      <x:c r="B170" s="10">
        <x:v>8642</x:v>
      </x:c>
      <x:c r="C170" s="10">
        <x:v>13718</x:v>
      </x:c>
      <x:c r="D170" s="10" t="s">
        <x:v>9</x:v>
      </x:c>
      <x:c r="E170" s="10" t="s">
        <x:v>9</x:v>
      </x:c>
      <x:c r="F170" s="10">
        <x:v>48</x:v>
      </x:c>
      <x:c r="G170" s="10">
        <x:v>202</x:v>
      </x:c>
      <x:c r="H170" s="22">
        <x:f t="shared" si="2"/>
        <x:v>9000</x:v>
      </x:c>
      <x:c r="I170" s="22">
        <x:v>1818000</x:v>
      </x:c>
      <x:c r="J170" s="10">
        <x:v>9</x:v>
      </x:c>
      <x:c r="K170" s="10">
        <x:v>12</x:v>
      </x:c>
    </x:row>
    <x:row r="171">
      <x:c r="A171" s="10" t="s">
        <x:v>60</x:v>
      </x:c>
      <x:c r="B171" s="10">
        <x:v>8663</x:v>
      </x:c>
      <x:c r="C171" s="10">
        <x:v>13719</x:v>
      </x:c>
      <x:c r="D171" s="10" t="s">
        <x:v>9</x:v>
      </x:c>
      <x:c r="E171" s="10" t="s">
        <x:v>9</x:v>
      </x:c>
      <x:c r="F171" s="10">
        <x:v>46</x:v>
      </x:c>
      <x:c r="G171" s="10">
        <x:v>200</x:v>
      </x:c>
      <x:c r="H171" s="22">
        <x:f t="shared" si="2"/>
        <x:v>9000</x:v>
      </x:c>
      <x:c r="I171" s="22">
        <x:v>1800000</x:v>
      </x:c>
      <x:c r="J171" s="10">
        <x:v>9</x:v>
      </x:c>
      <x:c r="K171" s="10">
        <x:v>13</x:v>
      </x:c>
    </x:row>
    <x:row r="172">
      <x:c r="A172" s="10" t="s">
        <x:v>60</x:v>
      </x:c>
      <x:c r="B172" s="10">
        <x:v>8651</x:v>
      </x:c>
      <x:c r="C172" s="10">
        <x:v>13720</x:v>
      </x:c>
      <x:c r="D172" s="10" t="s">
        <x:v>9</x:v>
      </x:c>
      <x:c r="E172" s="10" t="s">
        <x:v>9</x:v>
      </x:c>
      <x:c r="F172" s="10">
        <x:v>49</x:v>
      </x:c>
      <x:c r="G172" s="10">
        <x:v>196</x:v>
      </x:c>
      <x:c r="H172" s="22">
        <x:f t="shared" si="2"/>
        <x:v>9000</x:v>
      </x:c>
      <x:c r="I172" s="22">
        <x:v>1764000</x:v>
      </x:c>
      <x:c r="J172" s="10">
        <x:v>9</x:v>
      </x:c>
      <x:c r="K172" s="10">
        <x:v>14</x:v>
      </x:c>
    </x:row>
    <x:row r="173">
      <x:c r="A173" s="10" t="s">
        <x:v>60</x:v>
      </x:c>
      <x:c r="B173" s="10">
        <x:v>8636</x:v>
      </x:c>
      <x:c r="C173" s="10">
        <x:v>13721</x:v>
      </x:c>
      <x:c r="D173" s="10" t="s">
        <x:v>9</x:v>
      </x:c>
      <x:c r="E173" s="10" t="s">
        <x:v>9</x:v>
      </x:c>
      <x:c r="F173" s="10">
        <x:v>49</x:v>
      </x:c>
      <x:c r="G173" s="10">
        <x:v>190</x:v>
      </x:c>
      <x:c r="H173" s="22">
        <x:f t="shared" si="2"/>
        <x:v>9000</x:v>
      </x:c>
      <x:c r="I173" s="22">
        <x:v>1710000</x:v>
      </x:c>
      <x:c r="J173" s="10">
        <x:v>9</x:v>
      </x:c>
      <x:c r="K173" s="10">
        <x:v>15</x:v>
      </x:c>
    </x:row>
    <x:row r="174">
      <x:c r="A174" s="10" t="s">
        <x:v>60</x:v>
      </x:c>
      <x:c r="B174" s="10">
        <x:v>8593</x:v>
      </x:c>
      <x:c r="C174" s="10">
        <x:v>13722</x:v>
      </x:c>
      <x:c r="D174" s="10" t="s">
        <x:v>9</x:v>
      </x:c>
      <x:c r="E174" s="10" t="s">
        <x:v>9</x:v>
      </x:c>
      <x:c r="F174" s="10">
        <x:v>54</x:v>
      </x:c>
      <x:c r="G174" s="10">
        <x:v>198</x:v>
      </x:c>
      <x:c r="H174" s="22">
        <x:f t="shared" si="2"/>
        <x:v>9000</x:v>
      </x:c>
      <x:c r="I174" s="22">
        <x:v>1782000</x:v>
      </x:c>
      <x:c r="J174" s="10">
        <x:v>9</x:v>
      </x:c>
      <x:c r="K174" s="10">
        <x:v>16</x:v>
      </x:c>
    </x:row>
    <x:row r="175">
      <x:c r="A175" s="10" t="s">
        <x:v>60</x:v>
      </x:c>
      <x:c r="B175" s="10">
        <x:v>8830</x:v>
      </x:c>
      <x:c r="C175" s="10">
        <x:v>13723</x:v>
      </x:c>
      <x:c r="D175" s="10" t="s">
        <x:v>9</x:v>
      </x:c>
      <x:c r="E175" s="10" t="s">
        <x:v>9</x:v>
      </x:c>
      <x:c r="F175" s="10">
        <x:v>56</x:v>
      </x:c>
      <x:c r="G175" s="10">
        <x:v>200</x:v>
      </x:c>
      <x:c r="H175" s="22">
        <x:f t="shared" si="2"/>
        <x:v>9000</x:v>
      </x:c>
      <x:c r="I175" s="22">
        <x:v>1800000</x:v>
      </x:c>
      <x:c r="J175" s="10">
        <x:v>9</x:v>
      </x:c>
      <x:c r="K175" s="10">
        <x:v>17</x:v>
      </x:c>
    </x:row>
    <x:row r="176">
      <x:c r="A176" s="10" t="s">
        <x:v>60</x:v>
      </x:c>
      <x:c r="B176" s="10">
        <x:v>8641</x:v>
      </x:c>
      <x:c r="C176" s="10">
        <x:v>13724</x:v>
      </x:c>
      <x:c r="D176" s="10" t="s">
        <x:v>9</x:v>
      </x:c>
      <x:c r="E176" s="10" t="s">
        <x:v>9</x:v>
      </x:c>
      <x:c r="F176" s="10">
        <x:v>56</x:v>
      </x:c>
      <x:c r="G176" s="10">
        <x:v>200</x:v>
      </x:c>
      <x:c r="H176" s="22">
        <x:f t="shared" si="2"/>
        <x:v>9000</x:v>
      </x:c>
      <x:c r="I176" s="22">
        <x:v>1800000</x:v>
      </x:c>
      <x:c r="J176" s="10">
        <x:v>9</x:v>
      </x:c>
      <x:c r="K176" s="10">
        <x:v>18</x:v>
      </x:c>
    </x:row>
    <x:row r="177">
      <x:c r="A177" s="10" t="s">
        <x:v>60</x:v>
      </x:c>
      <x:c r="B177" s="10">
        <x:v>8662</x:v>
      </x:c>
      <x:c r="C177" s="10">
        <x:v>13725</x:v>
      </x:c>
      <x:c r="D177" s="10" t="s">
        <x:v>9</x:v>
      </x:c>
      <x:c r="E177" s="10" t="s">
        <x:v>9</x:v>
      </x:c>
      <x:c r="F177" s="10">
        <x:v>40</x:v>
      </x:c>
      <x:c r="G177" s="10">
        <x:v>189</x:v>
      </x:c>
      <x:c r="H177" s="22">
        <x:f t="shared" si="2"/>
        <x:v>9000</x:v>
      </x:c>
      <x:c r="I177" s="22">
        <x:v>1701000</x:v>
      </x:c>
      <x:c r="J177" s="10">
        <x:v>9</x:v>
      </x:c>
      <x:c r="K177" s="10">
        <x:v>19</x:v>
      </x:c>
    </x:row>
    <x:row r="178">
      <x:c r="A178" s="10" t="s">
        <x:v>60</x:v>
      </x:c>
      <x:c r="B178" s="10">
        <x:v>8655</x:v>
      </x:c>
      <x:c r="C178" s="10">
        <x:v>13726</x:v>
      </x:c>
      <x:c r="D178" s="10" t="s">
        <x:v>9</x:v>
      </x:c>
      <x:c r="E178" s="10" t="s">
        <x:v>9</x:v>
      </x:c>
      <x:c r="F178" s="10">
        <x:v>13</x:v>
      </x:c>
      <x:c r="G178" s="10">
        <x:v>59</x:v>
      </x:c>
      <x:c r="H178" s="22">
        <x:f t="shared" si="2"/>
        <x:v>9000</x:v>
      </x:c>
      <x:c r="I178" s="22">
        <x:v>531000</x:v>
      </x:c>
      <x:c r="J178" s="10">
        <x:v>9</x:v>
      </x:c>
      <x:c r="K178" s="10">
        <x:v>20</x:v>
      </x:c>
    </x:row>
    <x:row r="179">
      <x:c r="A179" s="10" t="s">
        <x:v>60</x:v>
      </x:c>
      <x:c r="B179" s="10">
        <x:v>10513</x:v>
      </x:c>
      <x:c r="C179" s="10">
        <x:v>13727</x:v>
      </x:c>
      <x:c r="D179" s="10" t="s">
        <x:v>9</x:v>
      </x:c>
      <x:c r="E179" s="10" t="s">
        <x:v>33</x:v>
      </x:c>
      <x:c r="F179" s="10">
        <x:v>30</x:v>
      </x:c>
      <x:c r="G179" s="10">
        <x:v>192</x:v>
      </x:c>
      <x:c r="H179" s="22">
        <x:f t="shared" si="2"/>
        <x:v>8676.2941900312489</x:v>
      </x:c>
      <x:c r="I179" s="22">
        <x:v>1665848.4844859999</x:v>
      </x:c>
      <x:c r="J179" s="10">
        <x:v>10</x:v>
      </x:c>
      <x:c r="K179" s="10">
        <x:v>1</x:v>
      </x:c>
    </x:row>
    <x:row r="180">
      <x:c r="A180" s="10" t="s">
        <x:v>60</x:v>
      </x:c>
      <x:c r="B180" s="10">
        <x:v>10490</x:v>
      </x:c>
      <x:c r="C180" s="10">
        <x:v>13728</x:v>
      </x:c>
      <x:c r="D180" s="10" t="s">
        <x:v>9</x:v>
      </x:c>
      <x:c r="E180" s="10" t="s">
        <x:v>33</x:v>
      </x:c>
      <x:c r="F180" s="10">
        <x:v>41</x:v>
      </x:c>
      <x:c r="G180" s="10">
        <x:v>192</x:v>
      </x:c>
      <x:c r="H180" s="22">
        <x:f t="shared" si="2"/>
        <x:v>8676.2941900312489</x:v>
      </x:c>
      <x:c r="I180" s="22">
        <x:v>1665848.4844859999</x:v>
      </x:c>
      <x:c r="J180" s="10">
        <x:v>10</x:v>
      </x:c>
      <x:c r="K180" s="10">
        <x:v>2</x:v>
      </x:c>
    </x:row>
    <x:row r="181">
      <x:c r="A181" s="10" t="s">
        <x:v>60</x:v>
      </x:c>
      <x:c r="B181" s="10">
        <x:v>10928</x:v>
      </x:c>
      <x:c r="C181" s="10">
        <x:v>13729</x:v>
      </x:c>
      <x:c r="D181" s="10" t="s">
        <x:v>6</x:v>
      </x:c>
      <x:c r="E181" s="10" t="s">
        <x:v>26</x:v>
      </x:c>
      <x:c r="F181" s="10">
        <x:v>0</x:v>
      </x:c>
      <x:c r="G181" s="10">
        <x:v>182</x:v>
      </x:c>
      <x:c r="H181" s="22">
        <x:f t="shared" si="2"/>
        <x:v>9153.0136510219781</x:v>
      </x:c>
      <x:c r="I181" s="22">
        <x:v>1665848.4844859999</x:v>
      </x:c>
      <x:c r="J181" s="10">
        <x:v>10</x:v>
      </x:c>
      <x:c r="K181" s="10">
        <x:v>3</x:v>
      </x:c>
    </x:row>
    <x:row r="182">
      <x:c r="A182" s="10" t="s">
        <x:v>60</x:v>
      </x:c>
      <x:c r="B182" s="10">
        <x:v>10896</x:v>
      </x:c>
      <x:c r="C182" s="10">
        <x:v>13730</x:v>
      </x:c>
      <x:c r="D182" s="10" t="s">
        <x:v>6</x:v>
      </x:c>
      <x:c r="E182" s="10" t="s">
        <x:v>20</x:v>
      </x:c>
      <x:c r="F182" s="10">
        <x:v>40</x:v>
      </x:c>
      <x:c r="G182" s="10">
        <x:v>182</x:v>
      </x:c>
      <x:c r="H182" s="22">
        <x:f t="shared" si="2"/>
        <x:v>9153.0136510219781</x:v>
      </x:c>
      <x:c r="I182" s="22">
        <x:v>1665848.4844859999</x:v>
      </x:c>
      <x:c r="J182" s="10">
        <x:v>10</x:v>
      </x:c>
      <x:c r="K182" s="10">
        <x:v>4</x:v>
      </x:c>
    </x:row>
    <x:row r="183">
      <x:c r="A183" s="10" t="s">
        <x:v>60</x:v>
      </x:c>
      <x:c r="B183" s="10">
        <x:v>10523</x:v>
      </x:c>
      <x:c r="C183" s="10">
        <x:v>13731</x:v>
      </x:c>
      <x:c r="D183" s="10" t="s">
        <x:v>9</x:v>
      </x:c>
      <x:c r="E183" s="10" t="s">
        <x:v>34</x:v>
      </x:c>
      <x:c r="F183" s="10">
        <x:v>41</x:v>
      </x:c>
      <x:c r="G183" s="10">
        <x:v>188</x:v>
      </x:c>
      <x:c r="H183" s="22">
        <x:f t="shared" si="2"/>
        <x:v>8860.8961940744684</x:v>
      </x:c>
      <x:c r="I183" s="22">
        <x:v>1665848.4844859999</x:v>
      </x:c>
      <x:c r="J183" s="10">
        <x:v>10</x:v>
      </x:c>
      <x:c r="K183" s="10">
        <x:v>5</x:v>
      </x:c>
    </x:row>
    <x:row r="184">
      <x:c r="A184" s="10" t="s">
        <x:v>60</x:v>
      </x:c>
      <x:c r="B184" s="10">
        <x:v>10518</x:v>
      </x:c>
      <x:c r="C184" s="10">
        <x:v>13732</x:v>
      </x:c>
      <x:c r="D184" s="10" t="s">
        <x:v>9</x:v>
      </x:c>
      <x:c r="E184" s="10" t="s">
        <x:v>33</x:v>
      </x:c>
      <x:c r="F184" s="10">
        <x:v>41</x:v>
      </x:c>
      <x:c r="G184" s="10">
        <x:v>193</x:v>
      </x:c>
      <x:c r="H184" s="22">
        <x:f t="shared" si="2"/>
        <x:v>8631.3392978549218</x:v>
      </x:c>
      <x:c r="I184" s="22">
        <x:v>1665848.4844859999</x:v>
      </x:c>
      <x:c r="J184" s="10">
        <x:v>10</x:v>
      </x:c>
      <x:c r="K184" s="10">
        <x:v>6</x:v>
      </x:c>
    </x:row>
    <x:row r="185">
      <x:c r="A185" s="10" t="s">
        <x:v>60</x:v>
      </x:c>
      <x:c r="B185" s="10">
        <x:v>10519</x:v>
      </x:c>
      <x:c r="C185" s="10">
        <x:v>13733</x:v>
      </x:c>
      <x:c r="D185" s="10" t="s">
        <x:v>9</x:v>
      </x:c>
      <x:c r="E185" s="10" t="s">
        <x:v>33</x:v>
      </x:c>
      <x:c r="F185" s="10">
        <x:v>41</x:v>
      </x:c>
      <x:c r="G185" s="10">
        <x:v>187</x:v>
      </x:c>
      <x:c r="H185" s="22">
        <x:f t="shared" si="2"/>
        <x:v>8908.2806657005349</x:v>
      </x:c>
      <x:c r="I185" s="22">
        <x:v>1665848.4844859999</x:v>
      </x:c>
      <x:c r="J185" s="10">
        <x:v>10</x:v>
      </x:c>
      <x:c r="K185" s="10">
        <x:v>7</x:v>
      </x:c>
    </x:row>
    <x:row r="186">
      <x:c r="A186" s="10" t="s">
        <x:v>60</x:v>
      </x:c>
      <x:c r="B186" s="10">
        <x:v>10694</x:v>
      </x:c>
      <x:c r="C186" s="10">
        <x:v>13734</x:v>
      </x:c>
      <x:c r="D186" s="10" t="s">
        <x:v>9</x:v>
      </x:c>
      <x:c r="E186" s="10" t="s">
        <x:v>33</x:v>
      </x:c>
      <x:c r="F186" s="10">
        <x:v>40</x:v>
      </x:c>
      <x:c r="G186" s="10">
        <x:v>182</x:v>
      </x:c>
      <x:c r="H186" s="22">
        <x:f t="shared" si="2"/>
        <x:v>9153.0136510219781</x:v>
      </x:c>
      <x:c r="I186" s="22">
        <x:v>1665848.4844859999</x:v>
      </x:c>
      <x:c r="J186" s="10">
        <x:v>10</x:v>
      </x:c>
      <x:c r="K186" s="10">
        <x:v>8</x:v>
      </x:c>
    </x:row>
    <x:row r="187">
      <x:c r="A187" s="10" t="s">
        <x:v>60</x:v>
      </x:c>
      <x:c r="B187" s="10">
        <x:v>10770</x:v>
      </x:c>
      <x:c r="C187" s="10">
        <x:v>13735</x:v>
      </x:c>
      <x:c r="D187" s="10" t="s">
        <x:v>6</x:v>
      </x:c>
      <x:c r="E187" s="10" t="s">
        <x:v>20</x:v>
      </x:c>
      <x:c r="F187" s="10">
        <x:v>52</x:v>
      </x:c>
      <x:c r="G187" s="10">
        <x:v>183</x:v>
      </x:c>
      <x:c r="H187" s="22">
        <x:f t="shared" si="2"/>
        <x:v>9102.9971829836068</x:v>
      </x:c>
      <x:c r="I187" s="22">
        <x:v>1665848.4844859999</x:v>
      </x:c>
      <x:c r="J187" s="10">
        <x:v>10</x:v>
      </x:c>
      <x:c r="K187" s="10">
        <x:v>9</x:v>
      </x:c>
    </x:row>
    <x:row r="188">
      <x:c r="A188" s="10" t="s">
        <x:v>60</x:v>
      </x:c>
      <x:c r="B188" s="10">
        <x:v>10847</x:v>
      </x:c>
      <x:c r="C188" s="10">
        <x:v>13736</x:v>
      </x:c>
      <x:c r="D188" s="10" t="s">
        <x:v>9</x:v>
      </x:c>
      <x:c r="E188" s="10" t="s">
        <x:v>34</x:v>
      </x:c>
      <x:c r="F188" s="10">
        <x:v>30</x:v>
      </x:c>
      <x:c r="G188" s="10">
        <x:v>183</x:v>
      </x:c>
      <x:c r="H188" s="22">
        <x:f t="shared" si="2"/>
        <x:v>9102.9971829836068</x:v>
      </x:c>
      <x:c r="I188" s="22">
        <x:v>1665848.4844859999</x:v>
      </x:c>
      <x:c r="J188" s="10">
        <x:v>10</x:v>
      </x:c>
      <x:c r="K188" s="10">
        <x:v>10</x:v>
      </x:c>
    </x:row>
    <x:row r="189">
      <x:c r="A189" s="10" t="s">
        <x:v>60</x:v>
      </x:c>
      <x:c r="B189" s="10">
        <x:v>9463</x:v>
      </x:c>
      <x:c r="C189" s="10">
        <x:v>13737</x:v>
      </x:c>
      <x:c r="D189" s="10" t="s">
        <x:v>9</x:v>
      </x:c>
      <x:c r="E189" s="10" t="s">
        <x:v>9</x:v>
      </x:c>
      <x:c r="F189" s="10">
        <x:v>16</x:v>
      </x:c>
      <x:c r="G189" s="10">
        <x:v>81</x:v>
      </x:c>
      <x:c r="H189" s="22">
        <x:f t="shared" si="2"/>
        <x:v>9000</x:v>
      </x:c>
      <x:c r="I189" s="22">
        <x:v>729000</x:v>
      </x:c>
      <x:c r="J189" s="10">
        <x:v>10</x:v>
      </x:c>
      <x:c r="K189" s="10">
        <x:v>11</x:v>
      </x:c>
    </x:row>
    <x:row r="190">
      <x:c r="A190" s="10" t="s">
        <x:v>60</x:v>
      </x:c>
      <x:c r="B190" s="10">
        <x:v>9422</x:v>
      </x:c>
      <x:c r="C190" s="10">
        <x:v>13738</x:v>
      </x:c>
      <x:c r="D190" s="10" t="s">
        <x:v>9</x:v>
      </x:c>
      <x:c r="E190" s="10" t="s">
        <x:v>9</x:v>
      </x:c>
      <x:c r="F190" s="10">
        <x:v>0</x:v>
      </x:c>
      <x:c r="G190" s="10">
        <x:v>79</x:v>
      </x:c>
      <x:c r="H190" s="22">
        <x:f t="shared" si="2"/>
        <x:v>9000</x:v>
      </x:c>
      <x:c r="I190" s="22">
        <x:v>711000</x:v>
      </x:c>
      <x:c r="J190" s="10">
        <x:v>10</x:v>
      </x:c>
      <x:c r="K190" s="10">
        <x:v>12</x:v>
      </x:c>
    </x:row>
    <x:row r="191">
      <x:c r="A191" s="10" t="s">
        <x:v>60</x:v>
      </x:c>
      <x:c r="B191" s="10">
        <x:v>10768</x:v>
      </x:c>
      <x:c r="C191" s="10">
        <x:v>13739</x:v>
      </x:c>
      <x:c r="D191" s="10" t="s">
        <x:v>6</x:v>
      </x:c>
      <x:c r="E191" s="10" t="s">
        <x:v>20</x:v>
      </x:c>
      <x:c r="F191" s="10">
        <x:v>56</x:v>
      </x:c>
      <x:c r="G191" s="10">
        <x:v>186</x:v>
      </x:c>
      <x:c r="H191" s="22">
        <x:f t="shared" si="2"/>
        <x:v>8956.1746477741926</x:v>
      </x:c>
      <x:c r="I191" s="22">
        <x:v>1665848.4844859999</x:v>
      </x:c>
      <x:c r="J191" s="10">
        <x:v>10</x:v>
      </x:c>
      <x:c r="K191" s="10">
        <x:v>13</x:v>
      </x:c>
    </x:row>
    <x:row r="192">
      <x:c r="A192" s="10" t="s">
        <x:v>60</x:v>
      </x:c>
      <x:c r="B192" s="10">
        <x:v>9505</x:v>
      </x:c>
      <x:c r="C192" s="10">
        <x:v>13740</x:v>
      </x:c>
      <x:c r="D192" s="10" t="s">
        <x:v>9</x:v>
      </x:c>
      <x:c r="E192" s="10" t="s">
        <x:v>9</x:v>
      </x:c>
      <x:c r="F192" s="10">
        <x:v>0</x:v>
      </x:c>
      <x:c r="G192" s="10">
        <x:v>96</x:v>
      </x:c>
      <x:c r="H192" s="22">
        <x:f t="shared" si="2"/>
        <x:v>9000</x:v>
      </x:c>
      <x:c r="I192" s="22">
        <x:v>864000</x:v>
      </x:c>
      <x:c r="J192" s="10">
        <x:v>10</x:v>
      </x:c>
      <x:c r="K192" s="10">
        <x:v>14</x:v>
      </x:c>
    </x:row>
    <x:row r="193">
      <x:c r="A193" s="10" t="s">
        <x:v>60</x:v>
      </x:c>
      <x:c r="B193" s="10">
        <x:v>10693</x:v>
      </x:c>
      <x:c r="C193" s="10">
        <x:v>13741</x:v>
      </x:c>
      <x:c r="D193" s="10" t="s">
        <x:v>9</x:v>
      </x:c>
      <x:c r="E193" s="10" t="s">
        <x:v>33</x:v>
      </x:c>
      <x:c r="F193" s="10">
        <x:v>39</x:v>
      </x:c>
      <x:c r="G193" s="10">
        <x:v>182</x:v>
      </x:c>
      <x:c r="H193" s="22">
        <x:f t="shared" si="2"/>
        <x:v>9153.0136510219781</x:v>
      </x:c>
      <x:c r="I193" s="22">
        <x:v>1665848.4844859999</x:v>
      </x:c>
      <x:c r="J193" s="10">
        <x:v>10</x:v>
      </x:c>
      <x:c r="K193" s="10">
        <x:v>15</x:v>
      </x:c>
    </x:row>
    <x:row r="194">
      <x:c r="A194" s="10" t="s">
        <x:v>60</x:v>
      </x:c>
      <x:c r="B194" s="10">
        <x:v>10681</x:v>
      </x:c>
      <x:c r="C194" s="10">
        <x:v>13742</x:v>
      </x:c>
      <x:c r="D194" s="10" t="s">
        <x:v>9</x:v>
      </x:c>
      <x:c r="E194" s="10" t="s">
        <x:v>33</x:v>
      </x:c>
      <x:c r="F194" s="10">
        <x:v>39</x:v>
      </x:c>
      <x:c r="G194" s="10">
        <x:v>184</x:v>
      </x:c>
      <x:c r="H194" s="22">
        <x:f t="shared" si="2"/>
        <x:v>9026.3504591630426</x:v>
      </x:c>
      <x:c r="I194" s="22">
        <x:v>1660848.4844859999</x:v>
      </x:c>
      <x:c r="J194" s="10">
        <x:v>10</x:v>
      </x:c>
      <x:c r="K194" s="10">
        <x:v>16</x:v>
      </x:c>
    </x:row>
    <x:row r="195">
      <x:c r="A195" s="10" t="s">
        <x:v>60</x:v>
      </x:c>
      <x:c r="B195" s="10">
        <x:v>10696</x:v>
      </x:c>
      <x:c r="C195" s="10">
        <x:v>13743</x:v>
      </x:c>
      <x:c r="D195" s="10" t="s">
        <x:v>9</x:v>
      </x:c>
      <x:c r="E195" s="10" t="s">
        <x:v>33</x:v>
      </x:c>
      <x:c r="F195" s="10">
        <x:v>43</x:v>
      </x:c>
      <x:c r="G195" s="10">
        <x:v>184</x:v>
      </x:c>
      <x:c r="H195" s="22" t="n">
        <x:f t="shared" ref="H195:H258" si="3">I195/G195</x:f>
        <x:v>9053.52437220652</x:v>
      </x:c>
      <x:c r="I195" s="22">
        <x:v>1665848.4844859999</x:v>
      </x:c>
      <x:c r="J195" s="10">
        <x:v>10</x:v>
      </x:c>
      <x:c r="K195" s="10">
        <x:v>17</x:v>
      </x:c>
    </x:row>
    <x:row r="196">
      <x:c r="A196" s="10" t="s">
        <x:v>60</x:v>
      </x:c>
      <x:c r="B196" s="10">
        <x:v>9371</x:v>
      </x:c>
      <x:c r="C196" s="10">
        <x:v>13744</x:v>
      </x:c>
      <x:c r="D196" s="10" t="s">
        <x:v>9</x:v>
      </x:c>
      <x:c r="E196" s="10" t="s">
        <x:v>9</x:v>
      </x:c>
      <x:c r="F196" s="10">
        <x:v>15</x:v>
      </x:c>
      <x:c r="G196" s="10">
        <x:v>80</x:v>
      </x:c>
      <x:c r="H196" s="22">
        <x:f t="shared" si="3"/>
        <x:v>9000</x:v>
      </x:c>
      <x:c r="I196" s="22">
        <x:v>720000</x:v>
      </x:c>
      <x:c r="J196" s="10">
        <x:v>10</x:v>
      </x:c>
      <x:c r="K196" s="10">
        <x:v>18</x:v>
      </x:c>
    </x:row>
    <x:row r="197">
      <x:c r="A197" s="10" t="s">
        <x:v>60</x:v>
      </x:c>
      <x:c r="B197" s="10">
        <x:v>9412</x:v>
      </x:c>
      <x:c r="C197" s="10">
        <x:v>13745</x:v>
      </x:c>
      <x:c r="D197" s="10" t="s">
        <x:v>9</x:v>
      </x:c>
      <x:c r="E197" s="10" t="s">
        <x:v>9</x:v>
      </x:c>
      <x:c r="F197" s="10">
        <x:v>0</x:v>
      </x:c>
      <x:c r="G197" s="10">
        <x:v>132</x:v>
      </x:c>
      <x:c r="H197" s="22">
        <x:f t="shared" si="3"/>
        <x:v>9000</x:v>
      </x:c>
      <x:c r="I197" s="22">
        <x:v>1188000</x:v>
      </x:c>
      <x:c r="J197" s="10">
        <x:v>10</x:v>
      </x:c>
      <x:c r="K197" s="10">
        <x:v>19</x:v>
      </x:c>
    </x:row>
    <x:row r="198">
      <x:c r="A198" s="10" t="s">
        <x:v>60</x:v>
      </x:c>
      <x:c r="B198" s="10">
        <x:v>9316</x:v>
      </x:c>
      <x:c r="C198" s="10">
        <x:v>13746</x:v>
      </x:c>
      <x:c r="D198" s="10" t="s">
        <x:v>9</x:v>
      </x:c>
      <x:c r="E198" s="10" t="s">
        <x:v>9</x:v>
      </x:c>
      <x:c r="F198" s="10">
        <x:v>0</x:v>
      </x:c>
      <x:c r="G198" s="10">
        <x:v>74</x:v>
      </x:c>
      <x:c r="H198" s="22">
        <x:f t="shared" si="3"/>
        <x:v>9000</x:v>
      </x:c>
      <x:c r="I198" s="22">
        <x:v>666000</x:v>
      </x:c>
      <x:c r="J198" s="10">
        <x:v>10</x:v>
      </x:c>
      <x:c r="K198" s="10">
        <x:v>20</x:v>
      </x:c>
    </x:row>
    <x:row r="199">
      <x:c r="A199" s="10" t="s">
        <x:v>60</x:v>
      </x:c>
      <x:c r="B199" s="10">
        <x:v>8748</x:v>
      </x:c>
      <x:c r="C199" s="10">
        <x:v>13807</x:v>
      </x:c>
      <x:c r="D199" s="10" t="s">
        <x:v>9</x:v>
      </x:c>
      <x:c r="E199" s="10" t="s">
        <x:v>9</x:v>
      </x:c>
      <x:c r="F199" s="10">
        <x:v>49</x:v>
      </x:c>
      <x:c r="G199" s="10">
        <x:v>208</x:v>
      </x:c>
      <x:c r="H199" s="22">
        <x:f t="shared" si="3"/>
        <x:v>9000</x:v>
      </x:c>
      <x:c r="I199" s="22">
        <x:v>1872000</x:v>
      </x:c>
      <x:c r="J199" s="10">
        <x:v>11</x:v>
      </x:c>
      <x:c r="K199" s="10">
        <x:v>1</x:v>
      </x:c>
    </x:row>
    <x:row r="200">
      <x:c r="A200" s="10" t="s">
        <x:v>60</x:v>
      </x:c>
      <x:c r="B200" s="10">
        <x:v>8606</x:v>
      </x:c>
      <x:c r="C200" s="10">
        <x:v>13808</x:v>
      </x:c>
      <x:c r="D200" s="10" t="s">
        <x:v>9</x:v>
      </x:c>
      <x:c r="E200" s="10" t="s">
        <x:v>9</x:v>
      </x:c>
      <x:c r="F200" s="10">
        <x:v>39</x:v>
      </x:c>
      <x:c r="G200" s="10">
        <x:v>196</x:v>
      </x:c>
      <x:c r="H200" s="22">
        <x:f t="shared" si="3"/>
        <x:v>9000</x:v>
      </x:c>
      <x:c r="I200" s="22">
        <x:v>1764000</x:v>
      </x:c>
      <x:c r="J200" s="10">
        <x:v>11</x:v>
      </x:c>
      <x:c r="K200" s="10">
        <x:v>2</x:v>
      </x:c>
    </x:row>
    <x:row r="201">
      <x:c r="A201" s="10" t="s">
        <x:v>60</x:v>
      </x:c>
      <x:c r="B201" s="10">
        <x:v>8893</x:v>
      </x:c>
      <x:c r="C201" s="10">
        <x:v>13809</x:v>
      </x:c>
      <x:c r="D201" s="10" t="s">
        <x:v>9</x:v>
      </x:c>
      <x:c r="E201" s="10" t="s">
        <x:v>9</x:v>
      </x:c>
      <x:c r="F201" s="10">
        <x:v>52</x:v>
      </x:c>
      <x:c r="G201" s="10">
        <x:v>203</x:v>
      </x:c>
      <x:c r="H201" s="22">
        <x:f t="shared" si="3"/>
        <x:v>9000</x:v>
      </x:c>
      <x:c r="I201" s="22">
        <x:v>1827000</x:v>
      </x:c>
      <x:c r="J201" s="10">
        <x:v>11</x:v>
      </x:c>
      <x:c r="K201" s="10">
        <x:v>3</x:v>
      </x:c>
    </x:row>
    <x:row r="202">
      <x:c r="A202" s="10" t="s">
        <x:v>60</x:v>
      </x:c>
      <x:c r="B202" s="10">
        <x:v>8567</x:v>
      </x:c>
      <x:c r="C202" s="10">
        <x:v>13810</x:v>
      </x:c>
      <x:c r="D202" s="10" t="s">
        <x:v>9</x:v>
      </x:c>
      <x:c r="E202" s="10" t="s">
        <x:v>9</x:v>
      </x:c>
      <x:c r="F202" s="10">
        <x:v>70</x:v>
      </x:c>
      <x:c r="G202" s="10">
        <x:v>215</x:v>
      </x:c>
      <x:c r="H202" s="22">
        <x:f t="shared" si="3"/>
        <x:v>9000</x:v>
      </x:c>
      <x:c r="I202" s="22">
        <x:v>1935000</x:v>
      </x:c>
      <x:c r="J202" s="10">
        <x:v>11</x:v>
      </x:c>
      <x:c r="K202" s="10">
        <x:v>4</x:v>
      </x:c>
    </x:row>
    <x:row r="203">
      <x:c r="A203" s="10" t="s">
        <x:v>60</x:v>
      </x:c>
      <x:c r="B203" s="10">
        <x:v>6039</x:v>
      </x:c>
      <x:c r="C203" s="10">
        <x:v>13811</x:v>
      </x:c>
      <x:c r="D203" s="10" t="s">
        <x:v>9</x:v>
      </x:c>
      <x:c r="E203" s="10" t="s">
        <x:v>34</x:v>
      </x:c>
      <x:c r="F203" s="10">
        <x:v>29</x:v>
      </x:c>
      <x:c r="G203" s="10">
        <x:v>182</x:v>
      </x:c>
      <x:c r="H203" s="22">
        <x:f t="shared" si="3"/>
        <x:v>11238.307153586264</x:v>
      </x:c>
      <x:c r="I203" s="22">
        <x:v>2045371.9019527</x:v>
      </x:c>
      <x:c r="J203" s="10">
        <x:v>11</x:v>
      </x:c>
      <x:c r="K203" s="10">
        <x:v>5</x:v>
      </x:c>
    </x:row>
    <x:row r="204">
      <x:c r="A204" s="10" t="s">
        <x:v>60</x:v>
      </x:c>
      <x:c r="B204" s="10">
        <x:v>8832</x:v>
      </x:c>
      <x:c r="C204" s="10">
        <x:v>13812</x:v>
      </x:c>
      <x:c r="D204" s="10" t="s">
        <x:v>9</x:v>
      </x:c>
      <x:c r="E204" s="10" t="s">
        <x:v>9</x:v>
      </x:c>
      <x:c r="F204" s="10">
        <x:v>51</x:v>
      </x:c>
      <x:c r="G204" s="10">
        <x:v>238</x:v>
      </x:c>
      <x:c r="H204" s="22">
        <x:f t="shared" si="3"/>
        <x:v>9000</x:v>
      </x:c>
      <x:c r="I204" s="22">
        <x:v>2142000</x:v>
      </x:c>
      <x:c r="J204" s="10">
        <x:v>11</x:v>
      </x:c>
      <x:c r="K204" s="10">
        <x:v>7</x:v>
      </x:c>
    </x:row>
    <x:row r="205">
      <x:c r="A205" s="10" t="s">
        <x:v>60</x:v>
      </x:c>
      <x:c r="B205" s="10">
        <x:v>8601</x:v>
      </x:c>
      <x:c r="C205" s="10">
        <x:v>13813</x:v>
      </x:c>
      <x:c r="D205" s="10" t="s">
        <x:v>9</x:v>
      </x:c>
      <x:c r="E205" s="10" t="s">
        <x:v>9</x:v>
      </x:c>
      <x:c r="F205" s="10">
        <x:v>43</x:v>
      </x:c>
      <x:c r="G205" s="10">
        <x:v>198</x:v>
      </x:c>
      <x:c r="H205" s="22">
        <x:f t="shared" si="3"/>
        <x:v>9000</x:v>
      </x:c>
      <x:c r="I205" s="22">
        <x:v>1782000</x:v>
      </x:c>
      <x:c r="J205" s="10">
        <x:v>11</x:v>
      </x:c>
      <x:c r="K205" s="10">
        <x:v>8</x:v>
      </x:c>
    </x:row>
    <x:row r="206">
      <x:c r="A206" s="10" t="s">
        <x:v>60</x:v>
      </x:c>
      <x:c r="B206" s="10">
        <x:v>8539</x:v>
      </x:c>
      <x:c r="C206" s="10">
        <x:v>13814</x:v>
      </x:c>
      <x:c r="D206" s="10" t="s">
        <x:v>9</x:v>
      </x:c>
      <x:c r="E206" s="10" t="s">
        <x:v>9</x:v>
      </x:c>
      <x:c r="F206" s="10">
        <x:v>54</x:v>
      </x:c>
      <x:c r="G206" s="10">
        <x:v>200</x:v>
      </x:c>
      <x:c r="H206" s="22">
        <x:f t="shared" si="3"/>
        <x:v>9000</x:v>
      </x:c>
      <x:c r="I206" s="22">
        <x:v>1800000</x:v>
      </x:c>
      <x:c r="J206" s="10">
        <x:v>11</x:v>
      </x:c>
      <x:c r="K206" s="10">
        <x:v>9</x:v>
      </x:c>
    </x:row>
    <x:row r="207">
      <x:c r="A207" s="10" t="s">
        <x:v>60</x:v>
      </x:c>
      <x:c r="B207" s="10">
        <x:v>8579</x:v>
      </x:c>
      <x:c r="C207" s="10">
        <x:v>13815</x:v>
      </x:c>
      <x:c r="D207" s="10" t="s">
        <x:v>9</x:v>
      </x:c>
      <x:c r="E207" s="10" t="s">
        <x:v>9</x:v>
      </x:c>
      <x:c r="F207" s="10">
        <x:v>39</x:v>
      </x:c>
      <x:c r="G207" s="10">
        <x:v>202</x:v>
      </x:c>
      <x:c r="H207" s="22">
        <x:f t="shared" si="3"/>
        <x:v>9000</x:v>
      </x:c>
      <x:c r="I207" s="22">
        <x:v>1818000</x:v>
      </x:c>
      <x:c r="J207" s="10">
        <x:v>11</x:v>
      </x:c>
      <x:c r="K207" s="10">
        <x:v>10</x:v>
      </x:c>
    </x:row>
    <x:row r="208">
      <x:c r="A208" s="10" t="s">
        <x:v>60</x:v>
      </x:c>
      <x:c r="B208" s="10">
        <x:v>8572</x:v>
      </x:c>
      <x:c r="C208" s="10">
        <x:v>13816</x:v>
      </x:c>
      <x:c r="D208" s="10" t="s">
        <x:v>9</x:v>
      </x:c>
      <x:c r="E208" s="10" t="s">
        <x:v>9</x:v>
      </x:c>
      <x:c r="F208" s="10">
        <x:v>53</x:v>
      </x:c>
      <x:c r="G208" s="10">
        <x:v>200</x:v>
      </x:c>
      <x:c r="H208" s="22">
        <x:f t="shared" si="3"/>
        <x:v>9000</x:v>
      </x:c>
      <x:c r="I208" s="22">
        <x:v>1800000</x:v>
      </x:c>
      <x:c r="J208" s="10">
        <x:v>11</x:v>
      </x:c>
      <x:c r="K208" s="10">
        <x:v>11</x:v>
      </x:c>
    </x:row>
    <x:row r="209">
      <x:c r="A209" s="10" t="s">
        <x:v>60</x:v>
      </x:c>
      <x:c r="B209" s="10">
        <x:v>8810</x:v>
      </x:c>
      <x:c r="C209" s="10">
        <x:v>13817</x:v>
      </x:c>
      <x:c r="D209" s="10" t="s">
        <x:v>9</x:v>
      </x:c>
      <x:c r="E209" s="10" t="s">
        <x:v>9</x:v>
      </x:c>
      <x:c r="F209" s="10">
        <x:v>48</x:v>
      </x:c>
      <x:c r="G209" s="10">
        <x:v>194</x:v>
      </x:c>
      <x:c r="H209" s="22">
        <x:f t="shared" si="3"/>
        <x:v>9000</x:v>
      </x:c>
      <x:c r="I209" s="22">
        <x:v>1746000</x:v>
      </x:c>
      <x:c r="J209" s="10">
        <x:v>11</x:v>
      </x:c>
      <x:c r="K209" s="10">
        <x:v>12</x:v>
      </x:c>
    </x:row>
    <x:row r="210">
      <x:c r="A210" s="10" t="s">
        <x:v>60</x:v>
      </x:c>
      <x:c r="B210" s="10">
        <x:v>8619</x:v>
      </x:c>
      <x:c r="C210" s="10">
        <x:v>13818</x:v>
      </x:c>
      <x:c r="D210" s="10" t="s">
        <x:v>9</x:v>
      </x:c>
      <x:c r="E210" s="10" t="s">
        <x:v>9</x:v>
      </x:c>
      <x:c r="F210" s="10">
        <x:v>43</x:v>
      </x:c>
      <x:c r="G210" s="10">
        <x:v>200</x:v>
      </x:c>
      <x:c r="H210" s="22">
        <x:f t="shared" si="3"/>
        <x:v>9000</x:v>
      </x:c>
      <x:c r="I210" s="22">
        <x:v>1800000</x:v>
      </x:c>
      <x:c r="J210" s="10">
        <x:v>11</x:v>
      </x:c>
      <x:c r="K210" s="10">
        <x:v>13</x:v>
      </x:c>
    </x:row>
    <x:row r="211">
      <x:c r="A211" s="10" t="s">
        <x:v>60</x:v>
      </x:c>
      <x:c r="B211" s="10">
        <x:v>8633</x:v>
      </x:c>
      <x:c r="C211" s="10">
        <x:v>13819</x:v>
      </x:c>
      <x:c r="D211" s="10" t="s">
        <x:v>9</x:v>
      </x:c>
      <x:c r="E211" s="10" t="s">
        <x:v>9</x:v>
      </x:c>
      <x:c r="F211" s="10">
        <x:v>48</x:v>
      </x:c>
      <x:c r="G211" s="10">
        <x:v>197</x:v>
      </x:c>
      <x:c r="H211" s="22">
        <x:f t="shared" si="3"/>
        <x:v>9000</x:v>
      </x:c>
      <x:c r="I211" s="22">
        <x:v>1773000</x:v>
      </x:c>
      <x:c r="J211" s="10">
        <x:v>11</x:v>
      </x:c>
      <x:c r="K211" s="10">
        <x:v>14</x:v>
      </x:c>
    </x:row>
    <x:row r="212">
      <x:c r="A212" s="10" t="s">
        <x:v>60</x:v>
      </x:c>
      <x:c r="B212" s="10">
        <x:v>8746</x:v>
      </x:c>
      <x:c r="C212" s="10">
        <x:v>13820</x:v>
      </x:c>
      <x:c r="D212" s="10" t="s">
        <x:v>9</x:v>
      </x:c>
      <x:c r="E212" s="10" t="s">
        <x:v>9</x:v>
      </x:c>
      <x:c r="F212" s="10">
        <x:v>43</x:v>
      </x:c>
      <x:c r="G212" s="10">
        <x:v>190</x:v>
      </x:c>
      <x:c r="H212" s="22">
        <x:f t="shared" si="3"/>
        <x:v>9000</x:v>
      </x:c>
      <x:c r="I212" s="22">
        <x:v>1710000</x:v>
      </x:c>
      <x:c r="J212" s="10">
        <x:v>11</x:v>
      </x:c>
      <x:c r="K212" s="10">
        <x:v>15</x:v>
      </x:c>
    </x:row>
    <x:row r="213">
      <x:c r="A213" s="10" t="s">
        <x:v>60</x:v>
      </x:c>
      <x:c r="B213" s="10">
        <x:v>8862</x:v>
      </x:c>
      <x:c r="C213" s="10">
        <x:v>13821</x:v>
      </x:c>
      <x:c r="D213" s="10" t="s">
        <x:v>9</x:v>
      </x:c>
      <x:c r="E213" s="10" t="s">
        <x:v>9</x:v>
      </x:c>
      <x:c r="F213" s="10">
        <x:v>53</x:v>
      </x:c>
      <x:c r="G213" s="10">
        <x:v>201</x:v>
      </x:c>
      <x:c r="H213" s="22">
        <x:f t="shared" si="3"/>
        <x:v>9000</x:v>
      </x:c>
      <x:c r="I213" s="22">
        <x:v>1809000</x:v>
      </x:c>
      <x:c r="J213" s="10">
        <x:v>11</x:v>
      </x:c>
      <x:c r="K213" s="10">
        <x:v>15</x:v>
      </x:c>
    </x:row>
    <x:row r="214">
      <x:c r="A214" s="10" t="s">
        <x:v>60</x:v>
      </x:c>
      <x:c r="B214" s="10">
        <x:v>8603</x:v>
      </x:c>
      <x:c r="C214" s="10">
        <x:v>13822</x:v>
      </x:c>
      <x:c r="D214" s="10" t="s">
        <x:v>9</x:v>
      </x:c>
      <x:c r="E214" s="10" t="s">
        <x:v>9</x:v>
      </x:c>
      <x:c r="F214" s="10">
        <x:v>48</x:v>
      </x:c>
      <x:c r="G214" s="10">
        <x:v>190</x:v>
      </x:c>
      <x:c r="H214" s="22">
        <x:f t="shared" si="3"/>
        <x:v>9000</x:v>
      </x:c>
      <x:c r="I214" s="22">
        <x:v>1710000</x:v>
      </x:c>
      <x:c r="J214" s="10">
        <x:v>11</x:v>
      </x:c>
      <x:c r="K214" s="10">
        <x:v>16</x:v>
      </x:c>
    </x:row>
    <x:row r="215">
      <x:c r="A215" s="10" t="s">
        <x:v>60</x:v>
      </x:c>
      <x:c r="B215" s="10">
        <x:v>8735</x:v>
      </x:c>
      <x:c r="C215" s="10">
        <x:v>13823</x:v>
      </x:c>
      <x:c r="D215" s="10" t="s">
        <x:v>9</x:v>
      </x:c>
      <x:c r="E215" s="10" t="s">
        <x:v>9</x:v>
      </x:c>
      <x:c r="F215" s="10">
        <x:v>24</x:v>
      </x:c>
      <x:c r="G215" s="10">
        <x:v>86</x:v>
      </x:c>
      <x:c r="H215" s="22">
        <x:f t="shared" si="3"/>
        <x:v>9000</x:v>
      </x:c>
      <x:c r="I215" s="22">
        <x:v>774000</x:v>
      </x:c>
      <x:c r="J215" s="10">
        <x:v>11</x:v>
      </x:c>
      <x:c r="K215" s="10">
        <x:v>17</x:v>
      </x:c>
    </x:row>
    <x:row r="216">
      <x:c r="A216" s="10" t="s">
        <x:v>60</x:v>
      </x:c>
      <x:c r="B216" s="10">
        <x:v>8752</x:v>
      </x:c>
      <x:c r="C216" s="10">
        <x:v>13824</x:v>
      </x:c>
      <x:c r="D216" s="10" t="s">
        <x:v>9</x:v>
      </x:c>
      <x:c r="E216" s="10" t="s">
        <x:v>9</x:v>
      </x:c>
      <x:c r="F216" s="10">
        <x:v>49</x:v>
      </x:c>
      <x:c r="G216" s="10">
        <x:v>196</x:v>
      </x:c>
      <x:c r="H216" s="22">
        <x:f t="shared" si="3"/>
        <x:v>9000</x:v>
      </x:c>
      <x:c r="I216" s="22">
        <x:v>1764000</x:v>
      </x:c>
      <x:c r="J216" s="10">
        <x:v>11</x:v>
      </x:c>
      <x:c r="K216" s="10">
        <x:v>18</x:v>
      </x:c>
    </x:row>
    <x:row r="217">
      <x:c r="A217" s="10" t="s">
        <x:v>60</x:v>
      </x:c>
      <x:c r="B217" s="10">
        <x:v>8647</x:v>
      </x:c>
      <x:c r="C217" s="10">
        <x:v>13825</x:v>
      </x:c>
      <x:c r="D217" s="10" t="s">
        <x:v>9</x:v>
      </x:c>
      <x:c r="E217" s="10" t="s">
        <x:v>9</x:v>
      </x:c>
      <x:c r="F217" s="10">
        <x:v>62</x:v>
      </x:c>
      <x:c r="G217" s="10">
        <x:v>232</x:v>
      </x:c>
      <x:c r="H217" s="22">
        <x:f t="shared" si="3"/>
        <x:v>9000</x:v>
      </x:c>
      <x:c r="I217" s="22">
        <x:v>2088000</x:v>
      </x:c>
      <x:c r="J217" s="10">
        <x:v>11</x:v>
      </x:c>
      <x:c r="K217" s="10">
        <x:v>19</x:v>
      </x:c>
    </x:row>
    <x:row r="218">
      <x:c r="A218" s="10" t="s">
        <x:v>60</x:v>
      </x:c>
      <x:c r="B218" s="10">
        <x:v>8609</x:v>
      </x:c>
      <x:c r="C218" s="10">
        <x:v>13826</x:v>
      </x:c>
      <x:c r="D218" s="10" t="s">
        <x:v>9</x:v>
      </x:c>
      <x:c r="E218" s="10" t="s">
        <x:v>9</x:v>
      </x:c>
      <x:c r="F218" s="10">
        <x:v>40</x:v>
      </x:c>
      <x:c r="G218" s="10">
        <x:v>197</x:v>
      </x:c>
      <x:c r="H218" s="22">
        <x:f t="shared" si="3"/>
        <x:v>9000</x:v>
      </x:c>
      <x:c r="I218" s="22">
        <x:v>1773000</x:v>
      </x:c>
      <x:c r="J218" s="10">
        <x:v>11</x:v>
      </x:c>
      <x:c r="K218" s="10">
        <x:v>20</x:v>
      </x:c>
    </x:row>
    <x:row r="219">
      <x:c r="A219" s="10" t="s">
        <x:v>60</x:v>
      </x:c>
      <x:c r="B219" s="10">
        <x:v>10774</x:v>
      </x:c>
      <x:c r="C219" s="10">
        <x:v>13827</x:v>
      </x:c>
      <x:c r="D219" s="10" t="s">
        <x:v>6</x:v>
      </x:c>
      <x:c r="E219" s="10" t="s">
        <x:v>20</x:v>
      </x:c>
      <x:c r="F219" s="10">
        <x:v>51</x:v>
      </x:c>
      <x:c r="G219" s="10">
        <x:v>182</x:v>
      </x:c>
      <x:c r="H219" s="22">
        <x:f t="shared" si="3"/>
        <x:v>9153.0136510219781</x:v>
      </x:c>
      <x:c r="I219" s="22">
        <x:v>1665848.4844859999</x:v>
      </x:c>
      <x:c r="J219" s="10">
        <x:v>12</x:v>
      </x:c>
      <x:c r="K219" s="10">
        <x:v>1</x:v>
      </x:c>
    </x:row>
    <x:row r="220">
      <x:c r="A220" s="10" t="s">
        <x:v>60</x:v>
      </x:c>
      <x:c r="B220" s="10">
        <x:v>10765</x:v>
      </x:c>
      <x:c r="C220" s="10">
        <x:v>13828</x:v>
      </x:c>
      <x:c r="D220" s="10" t="s">
        <x:v>6</x:v>
      </x:c>
      <x:c r="E220" s="10" t="s">
        <x:v>20</x:v>
      </x:c>
      <x:c r="F220" s="10">
        <x:v>50</x:v>
      </x:c>
      <x:c r="G220" s="10">
        <x:v>182</x:v>
      </x:c>
      <x:c r="H220" s="22">
        <x:f t="shared" si="3"/>
        <x:v>9153.0136510219781</x:v>
      </x:c>
      <x:c r="I220" s="22">
        <x:v>1665848.4844859999</x:v>
      </x:c>
      <x:c r="J220" s="10">
        <x:v>12</x:v>
      </x:c>
      <x:c r="K220" s="10">
        <x:v>2</x:v>
      </x:c>
    </x:row>
    <x:row r="221">
      <x:c r="A221" s="10" t="s">
        <x:v>60</x:v>
      </x:c>
      <x:c r="B221" s="10">
        <x:v>10776</x:v>
      </x:c>
      <x:c r="C221" s="10">
        <x:v>13829</x:v>
      </x:c>
      <x:c r="D221" s="10" t="s">
        <x:v>6</x:v>
      </x:c>
      <x:c r="E221" s="10" t="s">
        <x:v>20</x:v>
      </x:c>
      <x:c r="F221" s="10">
        <x:v>54</x:v>
      </x:c>
      <x:c r="G221" s="10">
        <x:v>184</x:v>
      </x:c>
      <x:c r="H221" s="22">
        <x:f t="shared" si="3"/>
        <x:v>9053.5243722065206</x:v>
      </x:c>
      <x:c r="I221" s="22">
        <x:v>1665848.4844859999</x:v>
      </x:c>
      <x:c r="J221" s="10">
        <x:v>12</x:v>
      </x:c>
      <x:c r="K221" s="10">
        <x:v>3</x:v>
      </x:c>
    </x:row>
    <x:row r="222">
      <x:c r="A222" s="10" t="s">
        <x:v>60</x:v>
      </x:c>
      <x:c r="B222" s="10">
        <x:v>10730</x:v>
      </x:c>
      <x:c r="C222" s="10">
        <x:v>13830</x:v>
      </x:c>
      <x:c r="D222" s="10" t="s">
        <x:v>6</x:v>
      </x:c>
      <x:c r="E222" s="10" t="s">
        <x:v>20</x:v>
      </x:c>
      <x:c r="F222" s="10">
        <x:v>41</x:v>
      </x:c>
      <x:c r="G222" s="10">
        <x:v>182</x:v>
      </x:c>
      <x:c r="H222" s="22">
        <x:f t="shared" si="3"/>
        <x:v>9153.0136510219781</x:v>
      </x:c>
      <x:c r="I222" s="22">
        <x:v>1665848.4844859999</x:v>
      </x:c>
      <x:c r="J222" s="10">
        <x:v>12</x:v>
      </x:c>
      <x:c r="K222" s="10">
        <x:v>4</x:v>
      </x:c>
    </x:row>
    <x:row r="223">
      <x:c r="A223" s="10" t="s">
        <x:v>60</x:v>
      </x:c>
      <x:c r="B223" s="10">
        <x:v>10772</x:v>
      </x:c>
      <x:c r="C223" s="10">
        <x:v>13831</x:v>
      </x:c>
      <x:c r="D223" s="10" t="s">
        <x:v>6</x:v>
      </x:c>
      <x:c r="E223" s="10" t="s">
        <x:v>20</x:v>
      </x:c>
      <x:c r="F223" s="10">
        <x:v>50</x:v>
      </x:c>
      <x:c r="G223" s="10">
        <x:v>182</x:v>
      </x:c>
      <x:c r="H223" s="22">
        <x:f t="shared" si="3"/>
        <x:v>9153.0136510219781</x:v>
      </x:c>
      <x:c r="I223" s="22">
        <x:v>1665848.4844859999</x:v>
      </x:c>
      <x:c r="J223" s="10">
        <x:v>12</x:v>
      </x:c>
      <x:c r="K223" s="10">
        <x:v>5</x:v>
      </x:c>
    </x:row>
    <x:row r="224">
      <x:c r="A224" s="10" t="s">
        <x:v>60</x:v>
      </x:c>
      <x:c r="B224" s="10">
        <x:v>10777</x:v>
      </x:c>
      <x:c r="C224" s="10">
        <x:v>13832</x:v>
      </x:c>
      <x:c r="D224" s="10" t="s">
        <x:v>6</x:v>
      </x:c>
      <x:c r="E224" s="10" t="s">
        <x:v>20</x:v>
      </x:c>
      <x:c r="F224" s="10">
        <x:v>51</x:v>
      </x:c>
      <x:c r="G224" s="10">
        <x:v>182</x:v>
      </x:c>
      <x:c r="H224" s="22">
        <x:f t="shared" si="3"/>
        <x:v>9153.0136510219781</x:v>
      </x:c>
      <x:c r="I224" s="22">
        <x:v>1665848.4844859999</x:v>
      </x:c>
      <x:c r="J224" s="10">
        <x:v>12</x:v>
      </x:c>
      <x:c r="K224" s="10">
        <x:v>6</x:v>
      </x:c>
    </x:row>
    <x:row r="225">
      <x:c r="A225" s="10" t="s">
        <x:v>60</x:v>
      </x:c>
      <x:c r="B225" s="10">
        <x:v>10769</x:v>
      </x:c>
      <x:c r="C225" s="10">
        <x:v>13833</x:v>
      </x:c>
      <x:c r="D225" s="10" t="s">
        <x:v>6</x:v>
      </x:c>
      <x:c r="E225" s="10" t="s">
        <x:v>20</x:v>
      </x:c>
      <x:c r="F225" s="10">
        <x:v>46</x:v>
      </x:c>
      <x:c r="G225" s="10">
        <x:v>182</x:v>
      </x:c>
      <x:c r="H225" s="22">
        <x:f t="shared" si="3"/>
        <x:v>9153.0136510219781</x:v>
      </x:c>
      <x:c r="I225" s="22">
        <x:v>1665848.4844859999</x:v>
      </x:c>
      <x:c r="J225" s="10">
        <x:v>12</x:v>
      </x:c>
      <x:c r="K225" s="10">
        <x:v>7</x:v>
      </x:c>
    </x:row>
    <x:row r="226">
      <x:c r="A226" s="10" t="s">
        <x:v>60</x:v>
      </x:c>
      <x:c r="B226" s="10">
        <x:v>10858</x:v>
      </x:c>
      <x:c r="C226" s="10">
        <x:v>13834</x:v>
      </x:c>
      <x:c r="D226" s="10" t="s">
        <x:v>9</x:v>
      </x:c>
      <x:c r="E226" s="10" t="s">
        <x:v>33</x:v>
      </x:c>
      <x:c r="F226" s="10">
        <x:v>40</x:v>
      </x:c>
      <x:c r="G226" s="10">
        <x:v>182</x:v>
      </x:c>
      <x:c r="H226" s="22">
        <x:f t="shared" si="3"/>
        <x:v>9153.0136510219781</x:v>
      </x:c>
      <x:c r="I226" s="22">
        <x:v>1665848.4844859999</x:v>
      </x:c>
      <x:c r="J226" s="10">
        <x:v>12</x:v>
      </x:c>
      <x:c r="K226" s="10">
        <x:v>8</x:v>
      </x:c>
    </x:row>
    <x:row r="227">
      <x:c r="A227" s="10" t="s">
        <x:v>60</x:v>
      </x:c>
      <x:c r="B227" s="10">
        <x:v>10865</x:v>
      </x:c>
      <x:c r="C227" s="10">
        <x:v>13835</x:v>
      </x:c>
      <x:c r="D227" s="10" t="s">
        <x:v>9</x:v>
      </x:c>
      <x:c r="E227" s="10" t="s">
        <x:v>33</x:v>
      </x:c>
      <x:c r="F227" s="10">
        <x:v>40</x:v>
      </x:c>
      <x:c r="G227" s="10">
        <x:v>185</x:v>
      </x:c>
      <x:c r="H227" s="22">
        <x:f t="shared" si="3"/>
        <x:v>9004.5864026270265</x:v>
      </x:c>
      <x:c r="I227" s="22">
        <x:v>1665848.4844859999</x:v>
      </x:c>
      <x:c r="J227" s="10">
        <x:v>12</x:v>
      </x:c>
      <x:c r="K227" s="10">
        <x:v>9</x:v>
      </x:c>
    </x:row>
    <x:row r="228">
      <x:c r="A228" s="10" t="s">
        <x:v>60</x:v>
      </x:c>
      <x:c r="B228" s="10">
        <x:v>8975</x:v>
      </x:c>
      <x:c r="C228" s="10">
        <x:v>13836</x:v>
      </x:c>
      <x:c r="D228" s="10" t="s">
        <x:v>9</x:v>
      </x:c>
      <x:c r="E228" s="10" t="s">
        <x:v>9</x:v>
      </x:c>
      <x:c r="F228" s="10">
        <x:v>22</x:v>
      </x:c>
      <x:c r="G228" s="10">
        <x:v>94</x:v>
      </x:c>
      <x:c r="H228" s="22">
        <x:f t="shared" si="3"/>
        <x:v>9000</x:v>
      </x:c>
      <x:c r="I228" s="22">
        <x:v>846000</x:v>
      </x:c>
      <x:c r="J228" s="10">
        <x:v>12</x:v>
      </x:c>
      <x:c r="K228" s="10">
        <x:v>10</x:v>
      </x:c>
    </x:row>
    <x:row r="229">
      <x:c r="A229" s="10" t="s">
        <x:v>60</x:v>
      </x:c>
      <x:c r="B229" s="10">
        <x:v>9182</x:v>
      </x:c>
      <x:c r="C229" s="10">
        <x:v>13837</x:v>
      </x:c>
      <x:c r="D229" s="10" t="s">
        <x:v>9</x:v>
      </x:c>
      <x:c r="E229" s="10" t="s">
        <x:v>9</x:v>
      </x:c>
      <x:c r="F229" s="10">
        <x:v>18</x:v>
      </x:c>
      <x:c r="G229" s="10">
        <x:v>85</x:v>
      </x:c>
      <x:c r="H229" s="22">
        <x:f t="shared" si="3"/>
        <x:v>9000</x:v>
      </x:c>
      <x:c r="I229" s="22">
        <x:v>765000</x:v>
      </x:c>
      <x:c r="J229" s="10">
        <x:v>12</x:v>
      </x:c>
      <x:c r="K229" s="10">
        <x:v>11</x:v>
      </x:c>
    </x:row>
    <x:row r="230">
      <x:c r="A230" s="10" t="s">
        <x:v>60</x:v>
      </x:c>
      <x:c r="B230" s="10">
        <x:v>10507</x:v>
      </x:c>
      <x:c r="C230" s="10">
        <x:v>13838</x:v>
      </x:c>
      <x:c r="D230" s="10" t="s">
        <x:v>9</x:v>
      </x:c>
      <x:c r="E230" s="10" t="s">
        <x:v>33</x:v>
      </x:c>
      <x:c r="F230" s="10">
        <x:v>35</x:v>
      </x:c>
      <x:c r="G230" s="10">
        <x:v>186</x:v>
      </x:c>
      <x:c r="H230" s="22">
        <x:f t="shared" si="3"/>
        <x:v>8956.1746477741926</x:v>
      </x:c>
      <x:c r="I230" s="22">
        <x:v>1665848.4844859999</x:v>
      </x:c>
      <x:c r="J230" s="10">
        <x:v>12</x:v>
      </x:c>
      <x:c r="K230" s="10">
        <x:v>12</x:v>
      </x:c>
    </x:row>
    <x:row r="231">
      <x:c r="A231" s="10" t="s">
        <x:v>60</x:v>
      </x:c>
      <x:c r="B231" s="10">
        <x:v>10477</x:v>
      </x:c>
      <x:c r="C231" s="10">
        <x:v>13839</x:v>
      </x:c>
      <x:c r="D231" s="10" t="s">
        <x:v>9</x:v>
      </x:c>
      <x:c r="E231" s="10" t="s">
        <x:v>33</x:v>
      </x:c>
      <x:c r="F231" s="10">
        <x:v>41</x:v>
      </x:c>
      <x:c r="G231" s="10">
        <x:v>188</x:v>
      </x:c>
      <x:c r="H231" s="22">
        <x:f t="shared" si="3"/>
        <x:v>8860.8961940744684</x:v>
      </x:c>
      <x:c r="I231" s="22">
        <x:v>1665848.4844859999</x:v>
      </x:c>
      <x:c r="J231" s="10">
        <x:v>12</x:v>
      </x:c>
      <x:c r="K231" s="10">
        <x:v>13</x:v>
      </x:c>
    </x:row>
    <x:row r="232">
      <x:c r="A232" s="10" t="s">
        <x:v>60</x:v>
      </x:c>
      <x:c r="B232" s="10">
        <x:v>10486</x:v>
      </x:c>
      <x:c r="C232" s="10">
        <x:v>13840</x:v>
      </x:c>
      <x:c r="D232" s="10" t="s">
        <x:v>9</x:v>
      </x:c>
      <x:c r="E232" s="10" t="s">
        <x:v>33</x:v>
      </x:c>
      <x:c r="F232" s="10">
        <x:v>41</x:v>
      </x:c>
      <x:c r="G232" s="10">
        <x:v>195</x:v>
      </x:c>
      <x:c r="H232" s="22">
        <x:f t="shared" si="3"/>
        <x:v>8542.8127409538465</x:v>
      </x:c>
      <x:c r="I232" s="22">
        <x:v>1665848.4844859999</x:v>
      </x:c>
      <x:c r="J232" s="10">
        <x:v>12</x:v>
      </x:c>
      <x:c r="K232" s="10">
        <x:v>14</x:v>
      </x:c>
    </x:row>
    <x:row r="233">
      <x:c r="A233" s="10" t="s">
        <x:v>60</x:v>
      </x:c>
      <x:c r="B233" s="10">
        <x:v>10483</x:v>
      </x:c>
      <x:c r="C233" s="10">
        <x:v>13841</x:v>
      </x:c>
      <x:c r="D233" s="10" t="s">
        <x:v>9</x:v>
      </x:c>
      <x:c r="E233" s="10" t="s">
        <x:v>33</x:v>
      </x:c>
      <x:c r="F233" s="10">
        <x:v>41</x:v>
      </x:c>
      <x:c r="G233" s="10">
        <x:v>192</x:v>
      </x:c>
      <x:c r="H233" s="22">
        <x:f t="shared" si="3"/>
        <x:v>8676.2941900312489</x:v>
      </x:c>
      <x:c r="I233" s="22">
        <x:v>1665848.4844859999</x:v>
      </x:c>
      <x:c r="J233" s="10">
        <x:v>12</x:v>
      </x:c>
      <x:c r="K233" s="10">
        <x:v>15</x:v>
      </x:c>
    </x:row>
    <x:row r="234">
      <x:c r="A234" s="10" t="s">
        <x:v>60</x:v>
      </x:c>
      <x:c r="B234" s="10">
        <x:v>9253</x:v>
      </x:c>
      <x:c r="C234" s="10">
        <x:v>13842</x:v>
      </x:c>
      <x:c r="D234" s="10" t="s">
        <x:v>9</x:v>
      </x:c>
      <x:c r="E234" s="10" t="s">
        <x:v>9</x:v>
      </x:c>
      <x:c r="F234" s="10">
        <x:v>31</x:v>
      </x:c>
      <x:c r="G234" s="10">
        <x:v>183</x:v>
      </x:c>
      <x:c r="H234" s="22">
        <x:f t="shared" si="3"/>
        <x:v>9000</x:v>
      </x:c>
      <x:c r="I234" s="22">
        <x:v>1647000</x:v>
      </x:c>
      <x:c r="J234" s="10">
        <x:v>12</x:v>
      </x:c>
      <x:c r="K234" s="10">
        <x:v>16</x:v>
      </x:c>
    </x:row>
    <x:row r="235">
      <x:c r="A235" s="10" t="s">
        <x:v>60</x:v>
      </x:c>
      <x:c r="B235" s="10">
        <x:v>10493</x:v>
      </x:c>
      <x:c r="C235" s="10">
        <x:v>13843</x:v>
      </x:c>
      <x:c r="D235" s="10" t="s">
        <x:v>9</x:v>
      </x:c>
      <x:c r="E235" s="10" t="s">
        <x:v>33</x:v>
      </x:c>
      <x:c r="F235" s="10">
        <x:v>41</x:v>
      </x:c>
      <x:c r="G235" s="10">
        <x:v>192</x:v>
      </x:c>
      <x:c r="H235" s="22">
        <x:f t="shared" si="3"/>
        <x:v>8676.2941900312489</x:v>
      </x:c>
      <x:c r="I235" s="22">
        <x:v>1665848.4844859999</x:v>
      </x:c>
      <x:c r="J235" s="10">
        <x:v>12</x:v>
      </x:c>
      <x:c r="K235" s="10">
        <x:v>16</x:v>
      </x:c>
    </x:row>
    <x:row r="236">
      <x:c r="A236" s="10" t="s">
        <x:v>60</x:v>
      </x:c>
      <x:c r="B236" s="10">
        <x:v>9254</x:v>
      </x:c>
      <x:c r="C236" s="10">
        <x:v>13844</x:v>
      </x:c>
      <x:c r="D236" s="10" t="s">
        <x:v>9</x:v>
      </x:c>
      <x:c r="E236" s="10" t="s">
        <x:v>9</x:v>
      </x:c>
      <x:c r="F236" s="10">
        <x:v>24</x:v>
      </x:c>
      <x:c r="G236" s="10">
        <x:v>90</x:v>
      </x:c>
      <x:c r="H236" s="22">
        <x:f t="shared" si="3"/>
        <x:v>9000</x:v>
      </x:c>
      <x:c r="I236" s="22">
        <x:v>810000</x:v>
      </x:c>
      <x:c r="J236" s="10">
        <x:v>12</x:v>
      </x:c>
      <x:c r="K236" s="10">
        <x:v>18</x:v>
      </x:c>
    </x:row>
    <x:row r="237">
      <x:c r="A237" s="10" t="s">
        <x:v>60</x:v>
      </x:c>
      <x:c r="B237" s="10">
        <x:v>10862</x:v>
      </x:c>
      <x:c r="C237" s="10">
        <x:v>13845</x:v>
      </x:c>
      <x:c r="D237" s="10" t="s">
        <x:v>9</x:v>
      </x:c>
      <x:c r="E237" s="10" t="s">
        <x:v>33</x:v>
      </x:c>
      <x:c r="F237" s="10">
        <x:v>38</x:v>
      </x:c>
      <x:c r="G237" s="10">
        <x:v>185</x:v>
      </x:c>
      <x:c r="H237" s="22">
        <x:f t="shared" si="3"/>
        <x:v>9004.5864026270265</x:v>
      </x:c>
      <x:c r="I237" s="22">
        <x:v>1665848.4844859999</x:v>
      </x:c>
      <x:c r="J237" s="10">
        <x:v>12</x:v>
      </x:c>
      <x:c r="K237" s="10">
        <x:v>19</x:v>
      </x:c>
    </x:row>
    <x:row r="238">
      <x:c r="A238" s="10" t="s">
        <x:v>60</x:v>
      </x:c>
      <x:c r="B238" s="10">
        <x:v>10863</x:v>
      </x:c>
      <x:c r="C238" s="10">
        <x:v>13846</x:v>
      </x:c>
      <x:c r="D238" s="10" t="s">
        <x:v>9</x:v>
      </x:c>
      <x:c r="E238" s="10" t="s">
        <x:v>33</x:v>
      </x:c>
      <x:c r="F238" s="10">
        <x:v>43</x:v>
      </x:c>
      <x:c r="G238" s="10">
        <x:v>195</x:v>
      </x:c>
      <x:c r="H238" s="22">
        <x:f t="shared" si="3"/>
        <x:v>8542.8127409538465</x:v>
      </x:c>
      <x:c r="I238" s="22">
        <x:v>1665848.4844859999</x:v>
      </x:c>
      <x:c r="J238" s="10">
        <x:v>12</x:v>
      </x:c>
      <x:c r="K238" s="10">
        <x:v>20</x:v>
      </x:c>
    </x:row>
    <x:row r="239">
      <x:c r="A239" s="10" t="s">
        <x:v>60</x:v>
      </x:c>
      <x:c r="B239" s="10">
        <x:v>10838</x:v>
      </x:c>
      <x:c r="C239" s="10">
        <x:v>13847</x:v>
      </x:c>
      <x:c r="D239" s="10" t="s">
        <x:v>9</x:v>
      </x:c>
      <x:c r="E239" s="10" t="s">
        <x:v>34</x:v>
      </x:c>
      <x:c r="F239" s="10">
        <x:v>33</x:v>
      </x:c>
      <x:c r="G239" s="10">
        <x:v>185</x:v>
      </x:c>
      <x:c r="H239" s="22">
        <x:f t="shared" si="3"/>
        <x:v>9004.5864026270265</x:v>
      </x:c>
      <x:c r="I239" s="22">
        <x:v>1665848.4844859999</x:v>
      </x:c>
      <x:c r="J239" s="10">
        <x:v>13</x:v>
      </x:c>
      <x:c r="K239" s="10">
        <x:v>1</x:v>
      </x:c>
    </x:row>
    <x:row r="240">
      <x:c r="A240" s="10" t="s">
        <x:v>60</x:v>
      </x:c>
      <x:c r="B240" s="10">
        <x:v>10842</x:v>
      </x:c>
      <x:c r="C240" s="10">
        <x:v>13848</x:v>
      </x:c>
      <x:c r="D240" s="10" t="s">
        <x:v>9</x:v>
      </x:c>
      <x:c r="E240" s="10" t="s">
        <x:v>34</x:v>
      </x:c>
      <x:c r="F240" s="10">
        <x:v>34</x:v>
      </x:c>
      <x:c r="G240" s="10">
        <x:v>179</x:v>
      </x:c>
      <x:c r="H240" s="22">
        <x:f t="shared" si="3"/>
        <x:v>9306.4161144469272</x:v>
      </x:c>
      <x:c r="I240" s="22">
        <x:v>1665848.4844859999</x:v>
      </x:c>
      <x:c r="J240" s="10">
        <x:v>13</x:v>
      </x:c>
      <x:c r="K240" s="10">
        <x:v>2</x:v>
      </x:c>
    </x:row>
    <x:row r="241">
      <x:c r="A241" s="10" t="s">
        <x:v>60</x:v>
      </x:c>
      <x:c r="B241" s="10">
        <x:v>5954</x:v>
      </x:c>
      <x:c r="C241" s="10">
        <x:v>13849</x:v>
      </x:c>
      <x:c r="D241" s="10" t="s">
        <x:v>9</x:v>
      </x:c>
      <x:c r="E241" s="10" t="s">
        <x:v>34</x:v>
      </x:c>
      <x:c r="F241" s="10">
        <x:v>30</x:v>
      </x:c>
      <x:c r="G241" s="10">
        <x:v>164</x:v>
      </x:c>
      <x:c r="H241" s="22">
        <x:f t="shared" si="3"/>
        <x:v>12060.194524101829</x:v>
      </x:c>
      <x:c r="I241" s="22">
        <x:v>1977871.9019527</x:v>
      </x:c>
      <x:c r="J241" s="10">
        <x:v>13</x:v>
      </x:c>
      <x:c r="K241" s="10">
        <x:v>3</x:v>
      </x:c>
    </x:row>
    <x:row r="242">
      <x:c r="A242" s="10" t="s">
        <x:v>60</x:v>
      </x:c>
      <x:c r="B242" s="10">
        <x:v>5976</x:v>
      </x:c>
      <x:c r="C242" s="10">
        <x:v>13850</x:v>
      </x:c>
      <x:c r="D242" s="10" t="s">
        <x:v>9</x:v>
      </x:c>
      <x:c r="E242" s="10" t="s">
        <x:v>34</x:v>
      </x:c>
      <x:c r="F242" s="10">
        <x:v>28</x:v>
      </x:c>
      <x:c r="G242" s="10">
        <x:v>177</x:v>
      </x:c>
      <x:c r="H242" s="22">
        <x:f t="shared" si="3"/>
        <x:v>11449.841253970057</x:v>
      </x:c>
      <x:c r="I242" s="22">
        <x:v>2026621.9019527</x:v>
      </x:c>
      <x:c r="J242" s="10">
        <x:v>13</x:v>
      </x:c>
      <x:c r="K242" s="10">
        <x:v>4</x:v>
      </x:c>
    </x:row>
    <x:row r="243">
      <x:c r="A243" s="10" t="s">
        <x:v>60</x:v>
      </x:c>
      <x:c r="B243" s="10">
        <x:v>6938</x:v>
      </x:c>
      <x:c r="C243" s="10">
        <x:v>13851</x:v>
      </x:c>
      <x:c r="D243" s="10" t="s">
        <x:v>6</x:v>
      </x:c>
      <x:c r="E243" s="10" t="s">
        <x:v>54</x:v>
      </x:c>
      <x:c r="F243" s="10">
        <x:v>20</x:v>
      </x:c>
      <x:c r="G243" s="10">
        <x:v>90</x:v>
      </x:c>
      <x:c r="H243" s="22">
        <x:f t="shared" si="3"/>
        <x:v>11363.177233071112</x:v>
      </x:c>
      <x:c r="I243" s="22">
        <x:v>1022685.9509764001</x:v>
      </x:c>
      <x:c r="J243" s="10">
        <x:v>13</x:v>
      </x:c>
      <x:c r="K243" s="10">
        <x:v>5</x:v>
      </x:c>
    </x:row>
    <x:row r="244">
      <x:c r="A244" s="10" t="s">
        <x:v>60</x:v>
      </x:c>
      <x:c r="B244" s="10">
        <x:v>5927</x:v>
      </x:c>
      <x:c r="C244" s="10">
        <x:v>13852</x:v>
      </x:c>
      <x:c r="D244" s="10" t="s">
        <x:v>9</x:v>
      </x:c>
      <x:c r="E244" s="10" t="s">
        <x:v>34</x:v>
      </x:c>
      <x:c r="F244" s="10">
        <x:v>14</x:v>
      </x:c>
      <x:c r="G244" s="10">
        <x:v>88</x:v>
      </x:c>
      <x:c r="H244" s="22">
        <x:f t="shared" si="3"/>
        <x:v>11450.976715640909</x:v>
      </x:c>
      <x:c r="I244" s="22">
        <x:v>1007685.9509764001</x:v>
      </x:c>
      <x:c r="J244" s="10">
        <x:v>13</x:v>
      </x:c>
      <x:c r="K244" s="10">
        <x:v>6</x:v>
      </x:c>
    </x:row>
    <x:row r="245">
      <x:c r="A245" s="10" t="s">
        <x:v>60</x:v>
      </x:c>
      <x:c r="B245" s="10">
        <x:v>6935</x:v>
      </x:c>
      <x:c r="C245" s="10">
        <x:v>13853</x:v>
      </x:c>
      <x:c r="D245" s="10" t="s">
        <x:v>6</x:v>
      </x:c>
      <x:c r="E245" s="10" t="s">
        <x:v>54</x:v>
      </x:c>
      <x:c r="F245" s="10">
        <x:v>15</x:v>
      </x:c>
      <x:c r="G245" s="10">
        <x:v>74</x:v>
      </x:c>
      <x:c r="H245" s="22">
        <x:f t="shared" si="3"/>
        <x:v>12958.593932112974</x:v>
      </x:c>
      <x:c r="I245" s="22">
        <x:v>958935.95097636001</x:v>
      </x:c>
      <x:c r="J245" s="10">
        <x:v>13</x:v>
      </x:c>
      <x:c r="K245" s="10">
        <x:v>7</x:v>
      </x:c>
    </x:row>
    <x:row r="246">
      <x:c r="A246" s="10" t="s">
        <x:v>60</x:v>
      </x:c>
      <x:c r="B246" s="10">
        <x:v>6046</x:v>
      </x:c>
      <x:c r="C246" s="10">
        <x:v>13854</x:v>
      </x:c>
      <x:c r="D246" s="10" t="s">
        <x:v>9</x:v>
      </x:c>
      <x:c r="E246" s="10" t="s">
        <x:v>34</x:v>
      </x:c>
      <x:c r="F246" s="10">
        <x:v>33</x:v>
      </x:c>
      <x:c r="G246" s="10">
        <x:v>182</x:v>
      </x:c>
      <x:c r="H246" s="22">
        <x:f t="shared" si="3"/>
        <x:v>11238.307153586264</x:v>
      </x:c>
      <x:c r="I246" s="22">
        <x:v>2045371.9019527</x:v>
      </x:c>
      <x:c r="J246" s="10">
        <x:v>13</x:v>
      </x:c>
      <x:c r="K246" s="10">
        <x:v>8</x:v>
      </x:c>
    </x:row>
    <x:row r="247">
      <x:c r="A247" s="10" t="s">
        <x:v>60</x:v>
      </x:c>
      <x:c r="B247" s="10">
        <x:v>6043</x:v>
      </x:c>
      <x:c r="C247" s="10">
        <x:v>13855</x:v>
      </x:c>
      <x:c r="D247" s="10" t="s">
        <x:v>9</x:v>
      </x:c>
      <x:c r="E247" s="10" t="s">
        <x:v>34</x:v>
      </x:c>
      <x:c r="F247" s="10">
        <x:v>30</x:v>
      </x:c>
      <x:c r="G247" s="10">
        <x:v>182</x:v>
      </x:c>
      <x:c r="H247" s="22">
        <x:f t="shared" si="3"/>
        <x:v>11238.307153586264</x:v>
      </x:c>
      <x:c r="I247" s="22">
        <x:v>2045371.9019527</x:v>
      </x:c>
      <x:c r="J247" s="10">
        <x:v>13</x:v>
      </x:c>
      <x:c r="K247" s="10">
        <x:v>9</x:v>
      </x:c>
    </x:row>
    <x:row r="248">
      <x:c r="A248" s="10" t="s">
        <x:v>60</x:v>
      </x:c>
      <x:c r="B248" s="10">
        <x:v>6029</x:v>
      </x:c>
      <x:c r="C248" s="10">
        <x:v>13856</x:v>
      </x:c>
      <x:c r="D248" s="10" t="s">
        <x:v>9</x:v>
      </x:c>
      <x:c r="E248" s="10" t="s">
        <x:v>34</x:v>
      </x:c>
      <x:c r="F248" s="10">
        <x:v>31</x:v>
      </x:c>
      <x:c r="G248" s="10">
        <x:v>182</x:v>
      </x:c>
      <x:c r="H248" s="22">
        <x:f t="shared" si="3"/>
        <x:v>11238.307153586264</x:v>
      </x:c>
      <x:c r="I248" s="22">
        <x:v>2045371.9019527</x:v>
      </x:c>
      <x:c r="J248" s="10">
        <x:v>13</x:v>
      </x:c>
      <x:c r="K248" s="10">
        <x:v>10</x:v>
      </x:c>
    </x:row>
    <x:row r="249">
      <x:c r="A249" s="10" t="s">
        <x:v>60</x:v>
      </x:c>
      <x:c r="B249" s="10">
        <x:v>6037</x:v>
      </x:c>
      <x:c r="C249" s="10">
        <x:v>13857</x:v>
      </x:c>
      <x:c r="D249" s="10" t="s">
        <x:v>9</x:v>
      </x:c>
      <x:c r="E249" s="10" t="s">
        <x:v>34</x:v>
      </x:c>
      <x:c r="F249" s="10">
        <x:v>28</x:v>
      </x:c>
      <x:c r="G249" s="10">
        <x:v>182</x:v>
      </x:c>
      <x:c r="H249" s="22">
        <x:f t="shared" si="3"/>
        <x:v>11238.307153586264</x:v>
      </x:c>
      <x:c r="I249" s="22">
        <x:v>2045371.9019527</x:v>
      </x:c>
      <x:c r="J249" s="10">
        <x:v>13</x:v>
      </x:c>
      <x:c r="K249" s="10">
        <x:v>11</x:v>
      </x:c>
    </x:row>
    <x:row r="250">
      <x:c r="A250" s="10" t="s">
        <x:v>60</x:v>
      </x:c>
      <x:c r="B250" s="10">
        <x:v>6019</x:v>
      </x:c>
      <x:c r="C250" s="10">
        <x:v>13858</x:v>
      </x:c>
      <x:c r="D250" s="10" t="s">
        <x:v>9</x:v>
      </x:c>
      <x:c r="E250" s="10" t="s">
        <x:v>34</x:v>
      </x:c>
      <x:c r="F250" s="10">
        <x:v>31</x:v>
      </x:c>
      <x:c r="G250" s="10">
        <x:v>182</x:v>
      </x:c>
      <x:c r="H250" s="22">
        <x:f t="shared" si="3"/>
        <x:v>11238.307153586264</x:v>
      </x:c>
      <x:c r="I250" s="22">
        <x:v>2045371.9019527</x:v>
      </x:c>
      <x:c r="J250" s="10">
        <x:v>13</x:v>
      </x:c>
      <x:c r="K250" s="10">
        <x:v>12</x:v>
      </x:c>
    </x:row>
    <x:row r="251">
      <x:c r="A251" s="10" t="s">
        <x:v>60</x:v>
      </x:c>
      <x:c r="B251" s="10">
        <x:v>6033</x:v>
      </x:c>
      <x:c r="C251" s="10">
        <x:v>13859</x:v>
      </x:c>
      <x:c r="D251" s="10" t="s">
        <x:v>9</x:v>
      </x:c>
      <x:c r="E251" s="10" t="s">
        <x:v>34</x:v>
      </x:c>
      <x:c r="F251" s="10">
        <x:v>31</x:v>
      </x:c>
      <x:c r="G251" s="10">
        <x:v>182</x:v>
      </x:c>
      <x:c r="H251" s="22">
        <x:f t="shared" si="3"/>
        <x:v>11238.307153586264</x:v>
      </x:c>
      <x:c r="I251" s="22">
        <x:v>2045371.9019527</x:v>
      </x:c>
      <x:c r="J251" s="10">
        <x:v>13</x:v>
      </x:c>
      <x:c r="K251" s="10">
        <x:v>13</x:v>
      </x:c>
    </x:row>
    <x:row r="252">
      <x:c r="A252" s="10" t="s">
        <x:v>60</x:v>
      </x:c>
      <x:c r="B252" s="10">
        <x:v>8653</x:v>
      </x:c>
      <x:c r="C252" s="10">
        <x:v>13860</x:v>
      </x:c>
      <x:c r="D252" s="10" t="s">
        <x:v>9</x:v>
      </x:c>
      <x:c r="E252" s="10" t="s">
        <x:v>9</x:v>
      </x:c>
      <x:c r="F252" s="10">
        <x:v>42</x:v>
      </x:c>
      <x:c r="G252" s="10">
        <x:v>198</x:v>
      </x:c>
      <x:c r="H252" s="22">
        <x:f t="shared" si="3"/>
        <x:v>9000</x:v>
      </x:c>
      <x:c r="I252" s="22">
        <x:v>1782000</x:v>
      </x:c>
      <x:c r="J252" s="10">
        <x:v>13</x:v>
      </x:c>
      <x:c r="K252" s="10">
        <x:v>14</x:v>
      </x:c>
    </x:row>
    <x:row r="253">
      <x:c r="A253" s="10" t="s">
        <x:v>60</x:v>
      </x:c>
      <x:c r="B253" s="10">
        <x:v>8635</x:v>
      </x:c>
      <x:c r="C253" s="10">
        <x:v>13861</x:v>
      </x:c>
      <x:c r="D253" s="10" t="s">
        <x:v>9</x:v>
      </x:c>
      <x:c r="E253" s="10" t="s">
        <x:v>9</x:v>
      </x:c>
      <x:c r="F253" s="10">
        <x:v>42</x:v>
      </x:c>
      <x:c r="G253" s="10">
        <x:v>200</x:v>
      </x:c>
      <x:c r="H253" s="22">
        <x:f t="shared" si="3"/>
        <x:v>9000</x:v>
      </x:c>
      <x:c r="I253" s="22">
        <x:v>1800000</x:v>
      </x:c>
      <x:c r="J253" s="10">
        <x:v>13</x:v>
      </x:c>
      <x:c r="K253" s="10">
        <x:v>15</x:v>
      </x:c>
    </x:row>
    <x:row r="254">
      <x:c r="A254" s="10" t="s">
        <x:v>60</x:v>
      </x:c>
      <x:c r="B254" s="10">
        <x:v>8617</x:v>
      </x:c>
      <x:c r="C254" s="10">
        <x:v>13862</x:v>
      </x:c>
      <x:c r="D254" s="10" t="s">
        <x:v>9</x:v>
      </x:c>
      <x:c r="E254" s="10" t="s">
        <x:v>9</x:v>
      </x:c>
      <x:c r="F254" s="10">
        <x:v>34</x:v>
      </x:c>
      <x:c r="G254" s="10">
        <x:v>197</x:v>
      </x:c>
      <x:c r="H254" s="22">
        <x:f t="shared" si="3"/>
        <x:v>9000</x:v>
      </x:c>
      <x:c r="I254" s="22">
        <x:v>1773000</x:v>
      </x:c>
      <x:c r="J254" s="10">
        <x:v>13</x:v>
      </x:c>
      <x:c r="K254" s="10">
        <x:v>16</x:v>
      </x:c>
    </x:row>
    <x:row r="255">
      <x:c r="A255" s="10" t="s">
        <x:v>60</x:v>
      </x:c>
      <x:c r="B255" s="10">
        <x:v>8597</x:v>
      </x:c>
      <x:c r="C255" s="10">
        <x:v>13863</x:v>
      </x:c>
      <x:c r="D255" s="10" t="s">
        <x:v>9</x:v>
      </x:c>
      <x:c r="E255" s="10" t="s">
        <x:v>9</x:v>
      </x:c>
      <x:c r="F255" s="10">
        <x:v>37</x:v>
      </x:c>
      <x:c r="G255" s="10">
        <x:v>201</x:v>
      </x:c>
      <x:c r="H255" s="22">
        <x:f t="shared" si="3"/>
        <x:v>9000</x:v>
      </x:c>
      <x:c r="I255" s="22">
        <x:v>1809000</x:v>
      </x:c>
      <x:c r="J255" s="10">
        <x:v>13</x:v>
      </x:c>
      <x:c r="K255" s="10">
        <x:v>17</x:v>
      </x:c>
    </x:row>
    <x:row r="256">
      <x:c r="A256" s="10" t="s">
        <x:v>60</x:v>
      </x:c>
      <x:c r="B256" s="10">
        <x:v>8602</x:v>
      </x:c>
      <x:c r="C256" s="10">
        <x:v>13864</x:v>
      </x:c>
      <x:c r="D256" s="10" t="s">
        <x:v>9</x:v>
      </x:c>
      <x:c r="E256" s="10" t="s">
        <x:v>9</x:v>
      </x:c>
      <x:c r="F256" s="10">
        <x:v>43</x:v>
      </x:c>
      <x:c r="G256" s="10">
        <x:v>195</x:v>
      </x:c>
      <x:c r="H256" s="22">
        <x:f t="shared" si="3"/>
        <x:v>9000</x:v>
      </x:c>
      <x:c r="I256" s="22">
        <x:v>1755000</x:v>
      </x:c>
      <x:c r="J256" s="10">
        <x:v>13</x:v>
      </x:c>
      <x:c r="K256" s="10">
        <x:v>18</x:v>
      </x:c>
    </x:row>
    <x:row r="257">
      <x:c r="A257" s="10" t="s">
        <x:v>60</x:v>
      </x:c>
      <x:c r="B257" s="10">
        <x:v>8540</x:v>
      </x:c>
      <x:c r="C257" s="10">
        <x:v>13865</x:v>
      </x:c>
      <x:c r="D257" s="10" t="s">
        <x:v>9</x:v>
      </x:c>
      <x:c r="E257" s="10" t="s">
        <x:v>9</x:v>
      </x:c>
      <x:c r="F257" s="10">
        <x:v>43</x:v>
      </x:c>
      <x:c r="G257" s="10">
        <x:v>198</x:v>
      </x:c>
      <x:c r="H257" s="22">
        <x:f t="shared" si="3"/>
        <x:v>9000</x:v>
      </x:c>
      <x:c r="I257" s="22">
        <x:v>1782000</x:v>
      </x:c>
      <x:c r="J257" s="10">
        <x:v>13</x:v>
      </x:c>
      <x:c r="K257" s="10">
        <x:v>19</x:v>
      </x:c>
    </x:row>
    <x:row r="258">
      <x:c r="A258" s="10" t="s">
        <x:v>60</x:v>
      </x:c>
      <x:c r="B258" s="10">
        <x:v>8607</x:v>
      </x:c>
      <x:c r="C258" s="10">
        <x:v>13866</x:v>
      </x:c>
      <x:c r="D258" s="10" t="s">
        <x:v>9</x:v>
      </x:c>
      <x:c r="E258" s="10" t="s">
        <x:v>9</x:v>
      </x:c>
      <x:c r="F258" s="10">
        <x:v>54</x:v>
      </x:c>
      <x:c r="G258" s="10">
        <x:v>200</x:v>
      </x:c>
      <x:c r="H258" s="22">
        <x:f t="shared" si="3"/>
        <x:v>9000</x:v>
      </x:c>
      <x:c r="I258" s="22">
        <x:v>1800000</x:v>
      </x:c>
      <x:c r="J258" s="10">
        <x:v>13</x:v>
      </x:c>
      <x:c r="K258" s="10">
        <x:v>20</x:v>
      </x:c>
    </x:row>
    <x:row r="259">
      <x:c r="A259" s="10" t="s">
        <x:v>60</x:v>
      </x:c>
      <x:c r="B259" s="10">
        <x:v>10501</x:v>
      </x:c>
      <x:c r="C259" s="10">
        <x:v>13867</x:v>
      </x:c>
      <x:c r="D259" s="10" t="s">
        <x:v>9</x:v>
      </x:c>
      <x:c r="E259" s="10" t="s">
        <x:v>33</x:v>
      </x:c>
      <x:c r="F259" s="10">
        <x:v>35</x:v>
      </x:c>
      <x:c r="G259" s="10">
        <x:v>192</x:v>
      </x:c>
      <x:c r="H259" s="22" t="n">
        <x:f t="shared" ref="H259:H322" si="4">I259/G259</x:f>
        <x:v>8676.294190031249</x:v>
      </x:c>
      <x:c r="I259" s="22">
        <x:v>1665848.4844859999</x:v>
      </x:c>
      <x:c r="J259" s="10">
        <x:v>14</x:v>
      </x:c>
      <x:c r="K259" s="10">
        <x:v>1</x:v>
      </x:c>
    </x:row>
    <x:row r="260">
      <x:c r="A260" s="10" t="s">
        <x:v>60</x:v>
      </x:c>
      <x:c r="B260" s="10">
        <x:v>10506</x:v>
      </x:c>
      <x:c r="C260" s="10">
        <x:v>13868</x:v>
      </x:c>
      <x:c r="D260" s="10" t="s">
        <x:v>9</x:v>
      </x:c>
      <x:c r="E260" s="10" t="s">
        <x:v>33</x:v>
      </x:c>
      <x:c r="F260" s="10">
        <x:v>35</x:v>
      </x:c>
      <x:c r="G260" s="10">
        <x:v>192</x:v>
      </x:c>
      <x:c r="H260" s="22">
        <x:f t="shared" si="4"/>
        <x:v>8676.2941900312489</x:v>
      </x:c>
      <x:c r="I260" s="22">
        <x:v>1665848.4844859999</x:v>
      </x:c>
      <x:c r="J260" s="10">
        <x:v>14</x:v>
      </x:c>
      <x:c r="K260" s="10">
        <x:v>2</x:v>
      </x:c>
    </x:row>
    <x:row r="261">
      <x:c r="A261" s="10" t="s">
        <x:v>60</x:v>
      </x:c>
      <x:c r="B261" s="10">
        <x:v>8963</x:v>
      </x:c>
      <x:c r="C261" s="10">
        <x:v>13869</x:v>
      </x:c>
      <x:c r="D261" s="10" t="s">
        <x:v>9</x:v>
      </x:c>
      <x:c r="E261" s="10" t="s">
        <x:v>9</x:v>
      </x:c>
      <x:c r="F261" s="10">
        <x:v>16</x:v>
      </x:c>
      <x:c r="G261" s="10">
        <x:v>91</x:v>
      </x:c>
      <x:c r="H261" s="22">
        <x:f t="shared" si="4"/>
        <x:v>9000</x:v>
      </x:c>
      <x:c r="I261" s="22">
        <x:v>819000</x:v>
      </x:c>
      <x:c r="J261" s="10">
        <x:v>14</x:v>
      </x:c>
      <x:c r="K261" s="10">
        <x:v>3</x:v>
      </x:c>
    </x:row>
    <x:row r="262">
      <x:c r="A262" s="10" t="s">
        <x:v>60</x:v>
      </x:c>
      <x:c r="B262" s="10">
        <x:v>8962</x:v>
      </x:c>
      <x:c r="C262" s="10">
        <x:v>13870</x:v>
      </x:c>
      <x:c r="D262" s="10" t="s">
        <x:v>9</x:v>
      </x:c>
      <x:c r="E262" s="10" t="s">
        <x:v>9</x:v>
      </x:c>
      <x:c r="F262" s="10">
        <x:v>15</x:v>
      </x:c>
      <x:c r="G262" s="10">
        <x:v>98</x:v>
      </x:c>
      <x:c r="H262" s="22">
        <x:f t="shared" si="4"/>
        <x:v>9000</x:v>
      </x:c>
      <x:c r="I262" s="22">
        <x:v>882000</x:v>
      </x:c>
      <x:c r="J262" s="10">
        <x:v>14</x:v>
      </x:c>
      <x:c r="K262" s="10">
        <x:v>4</x:v>
      </x:c>
    </x:row>
    <x:row r="263">
      <x:c r="A263" s="10" t="s">
        <x:v>60</x:v>
      </x:c>
      <x:c r="B263" s="10">
        <x:v>10481</x:v>
      </x:c>
      <x:c r="C263" s="10">
        <x:v>13871</x:v>
      </x:c>
      <x:c r="D263" s="10" t="s">
        <x:v>9</x:v>
      </x:c>
      <x:c r="E263" s="10" t="s">
        <x:v>33</x:v>
      </x:c>
      <x:c r="F263" s="10">
        <x:v>41</x:v>
      </x:c>
      <x:c r="G263" s="10">
        <x:v>200</x:v>
      </x:c>
      <x:c r="H263" s="22">
        <x:f t="shared" si="4"/>
        <x:v>8329.2424224299994</x:v>
      </x:c>
      <x:c r="I263" s="22">
        <x:v>1665848.4844859999</x:v>
      </x:c>
      <x:c r="J263" s="10">
        <x:v>14</x:v>
      </x:c>
      <x:c r="K263" s="10">
        <x:v>5</x:v>
      </x:c>
    </x:row>
    <x:row r="264">
      <x:c r="A264" s="10" t="s">
        <x:v>60</x:v>
      </x:c>
      <x:c r="B264" s="10">
        <x:v>10854</x:v>
      </x:c>
      <x:c r="C264" s="10">
        <x:v>13872</x:v>
      </x:c>
      <x:c r="D264" s="10" t="s">
        <x:v>9</x:v>
      </x:c>
      <x:c r="E264" s="10" t="s">
        <x:v>33</x:v>
      </x:c>
      <x:c r="F264" s="10">
        <x:v>45</x:v>
      </x:c>
      <x:c r="G264" s="10">
        <x:v>182</x:v>
      </x:c>
      <x:c r="H264" s="22">
        <x:f t="shared" si="4"/>
        <x:v>9153.0136510219781</x:v>
      </x:c>
      <x:c r="I264" s="22">
        <x:v>1665848.4844859999</x:v>
      </x:c>
      <x:c r="J264" s="10">
        <x:v>14</x:v>
      </x:c>
      <x:c r="K264" s="10">
        <x:v>6</x:v>
      </x:c>
    </x:row>
    <x:row r="265">
      <x:c r="A265" s="10" t="s">
        <x:v>60</x:v>
      </x:c>
      <x:c r="B265" s="10">
        <x:v>10932</x:v>
      </x:c>
      <x:c r="C265" s="10">
        <x:v>13873</x:v>
      </x:c>
      <x:c r="D265" s="10" t="s">
        <x:v>6</x:v>
      </x:c>
      <x:c r="E265" s="10" t="s">
        <x:v>26</x:v>
      </x:c>
      <x:c r="F265" s="10">
        <x:v>0</x:v>
      </x:c>
      <x:c r="G265" s="10">
        <x:v>184</x:v>
      </x:c>
      <x:c r="H265" s="22">
        <x:f t="shared" si="4"/>
        <x:v>9053.5243722065206</x:v>
      </x:c>
      <x:c r="I265" s="22">
        <x:v>1665848.4844859999</x:v>
      </x:c>
      <x:c r="J265" s="10">
        <x:v>14</x:v>
      </x:c>
      <x:c r="K265" s="10">
        <x:v>7</x:v>
      </x:c>
    </x:row>
    <x:row r="266">
      <x:c r="A266" s="10" t="s">
        <x:v>60</x:v>
      </x:c>
      <x:c r="B266" s="10">
        <x:v>10934</x:v>
      </x:c>
      <x:c r="C266" s="10">
        <x:v>13874</x:v>
      </x:c>
      <x:c r="D266" s="10" t="s">
        <x:v>6</x:v>
      </x:c>
      <x:c r="E266" s="10" t="s">
        <x:v>26</x:v>
      </x:c>
      <x:c r="F266" s="10">
        <x:v>0</x:v>
      </x:c>
      <x:c r="G266" s="10">
        <x:v>192</x:v>
      </x:c>
      <x:c r="H266" s="22">
        <x:f t="shared" si="4"/>
        <x:v>8676.2941900312489</x:v>
      </x:c>
      <x:c r="I266" s="22">
        <x:v>1665848.4844859999</x:v>
      </x:c>
      <x:c r="J266" s="10">
        <x:v>14</x:v>
      </x:c>
      <x:c r="K266" s="10">
        <x:v>8</x:v>
      </x:c>
    </x:row>
    <x:row r="267">
      <x:c r="A267" s="10" t="s">
        <x:v>60</x:v>
      </x:c>
      <x:c r="B267" s="10">
        <x:v>10880</x:v>
      </x:c>
      <x:c r="C267" s="10">
        <x:v>13875</x:v>
      </x:c>
      <x:c r="D267" s="10" t="s">
        <x:v>9</x:v>
      </x:c>
      <x:c r="E267" s="10" t="s">
        <x:v>33</x:v>
      </x:c>
      <x:c r="F267" s="10">
        <x:v>37</x:v>
      </x:c>
      <x:c r="G267" s="10">
        <x:v>192</x:v>
      </x:c>
      <x:c r="H267" s="22">
        <x:f t="shared" si="4"/>
        <x:v>8676.2941900312489</x:v>
      </x:c>
      <x:c r="I267" s="22">
        <x:v>1665848.4844859999</x:v>
      </x:c>
      <x:c r="J267" s="10">
        <x:v>14</x:v>
      </x:c>
      <x:c r="K267" s="10">
        <x:v>9</x:v>
      </x:c>
    </x:row>
    <x:row r="268">
      <x:c r="A268" s="10" t="s">
        <x:v>60</x:v>
      </x:c>
      <x:c r="B268" s="10">
        <x:v>10719</x:v>
      </x:c>
      <x:c r="C268" s="10">
        <x:v>13876</x:v>
      </x:c>
      <x:c r="D268" s="10" t="s">
        <x:v>6</x:v>
      </x:c>
      <x:c r="E268" s="10" t="s">
        <x:v>20</x:v>
      </x:c>
      <x:c r="F268" s="10">
        <x:v>48</x:v>
      </x:c>
      <x:c r="G268" s="10">
        <x:v>182</x:v>
      </x:c>
      <x:c r="H268" s="22">
        <x:f t="shared" si="4"/>
        <x:v>9153.0136510219781</x:v>
      </x:c>
      <x:c r="I268" s="22">
        <x:v>1665848.4844859999</x:v>
      </x:c>
      <x:c r="J268" s="10">
        <x:v>14</x:v>
      </x:c>
      <x:c r="K268" s="10">
        <x:v>10</x:v>
      </x:c>
    </x:row>
    <x:row r="269">
      <x:c r="A269" s="10" t="s">
        <x:v>60</x:v>
      </x:c>
      <x:c r="B269" s="10">
        <x:v>10702</x:v>
      </x:c>
      <x:c r="C269" s="10">
        <x:v>13877</x:v>
      </x:c>
      <x:c r="D269" s="10" t="s">
        <x:v>9</x:v>
      </x:c>
      <x:c r="E269" s="10" t="s">
        <x:v>33</x:v>
      </x:c>
      <x:c r="F269" s="10">
        <x:v>43</x:v>
      </x:c>
      <x:c r="G269" s="10">
        <x:v>182</x:v>
      </x:c>
      <x:c r="H269" s="22">
        <x:f t="shared" si="4"/>
        <x:v>9153.0136510219781</x:v>
      </x:c>
      <x:c r="I269" s="22">
        <x:v>1665848.4844859999</x:v>
      </x:c>
      <x:c r="J269" s="10">
        <x:v>14</x:v>
      </x:c>
      <x:c r="K269" s="10">
        <x:v>11</x:v>
      </x:c>
    </x:row>
    <x:row r="270">
      <x:c r="A270" s="10" t="s">
        <x:v>60</x:v>
      </x:c>
      <x:c r="B270" s="10">
        <x:v>10930</x:v>
      </x:c>
      <x:c r="C270" s="10">
        <x:v>13878</x:v>
      </x:c>
      <x:c r="D270" s="10" t="s">
        <x:v>6</x:v>
      </x:c>
      <x:c r="E270" s="10" t="s">
        <x:v>26</x:v>
      </x:c>
      <x:c r="F270" s="10">
        <x:v>0</x:v>
      </x:c>
      <x:c r="G270" s="10">
        <x:v>192</x:v>
      </x:c>
      <x:c r="H270" s="22">
        <x:f t="shared" si="4"/>
        <x:v>8676.2941900312489</x:v>
      </x:c>
      <x:c r="I270" s="22">
        <x:v>1665848.4844859999</x:v>
      </x:c>
      <x:c r="J270" s="10">
        <x:v>14</x:v>
      </x:c>
      <x:c r="K270" s="10">
        <x:v>12</x:v>
      </x:c>
    </x:row>
    <x:row r="271">
      <x:c r="A271" s="10" t="s">
        <x:v>60</x:v>
      </x:c>
      <x:c r="B271" s="10">
        <x:v>10763</x:v>
      </x:c>
      <x:c r="C271" s="10">
        <x:v>13879</x:v>
      </x:c>
      <x:c r="D271" s="10" t="s">
        <x:v>6</x:v>
      </x:c>
      <x:c r="E271" s="10" t="s">
        <x:v>20</x:v>
      </x:c>
      <x:c r="F271" s="10">
        <x:v>51</x:v>
      </x:c>
      <x:c r="G271" s="10">
        <x:v>182</x:v>
      </x:c>
      <x:c r="H271" s="22">
        <x:f t="shared" si="4"/>
        <x:v>9153.0136510219781</x:v>
      </x:c>
      <x:c r="I271" s="22">
        <x:v>1665848.4844859999</x:v>
      </x:c>
      <x:c r="J271" s="10">
        <x:v>14</x:v>
      </x:c>
      <x:c r="K271" s="10">
        <x:v>13</x:v>
      </x:c>
    </x:row>
    <x:row r="272">
      <x:c r="A272" s="10" t="s">
        <x:v>60</x:v>
      </x:c>
      <x:c r="B272" s="10">
        <x:v>10781</x:v>
      </x:c>
      <x:c r="C272" s="10">
        <x:v>13880</x:v>
      </x:c>
      <x:c r="D272" s="10" t="s">
        <x:v>6</x:v>
      </x:c>
      <x:c r="E272" s="10" t="s">
        <x:v>20</x:v>
      </x:c>
      <x:c r="F272" s="10">
        <x:v>53</x:v>
      </x:c>
      <x:c r="G272" s="10">
        <x:v>182</x:v>
      </x:c>
      <x:c r="H272" s="22">
        <x:f t="shared" si="4"/>
        <x:v>9153.0136510219781</x:v>
      </x:c>
      <x:c r="I272" s="22">
        <x:v>1665848.4844859999</x:v>
      </x:c>
      <x:c r="J272" s="10">
        <x:v>14</x:v>
      </x:c>
      <x:c r="K272" s="10">
        <x:v>14</x:v>
      </x:c>
    </x:row>
    <x:row r="273">
      <x:c r="A273" s="10" t="s">
        <x:v>60</x:v>
      </x:c>
      <x:c r="B273" s="10">
        <x:v>10931</x:v>
      </x:c>
      <x:c r="C273" s="10">
        <x:v>13881</x:v>
      </x:c>
      <x:c r="D273" s="10" t="s">
        <x:v>6</x:v>
      </x:c>
      <x:c r="E273" s="10" t="s">
        <x:v>26</x:v>
      </x:c>
      <x:c r="F273" s="10">
        <x:v>0</x:v>
      </x:c>
      <x:c r="G273" s="10">
        <x:v>186</x:v>
      </x:c>
      <x:c r="H273" s="22">
        <x:f t="shared" si="4"/>
        <x:v>8956.1746477741926</x:v>
      </x:c>
      <x:c r="I273" s="22">
        <x:v>1665848.4844859999</x:v>
      </x:c>
      <x:c r="J273" s="10">
        <x:v>14</x:v>
      </x:c>
      <x:c r="K273" s="10">
        <x:v>14</x:v>
      </x:c>
    </x:row>
    <x:row r="274">
      <x:c r="A274" s="10" t="s">
        <x:v>60</x:v>
      </x:c>
      <x:c r="B274" s="10">
        <x:v>10929</x:v>
      </x:c>
      <x:c r="C274" s="10">
        <x:v>13882</x:v>
      </x:c>
      <x:c r="D274" s="10" t="s">
        <x:v>6</x:v>
      </x:c>
      <x:c r="E274" s="10" t="s">
        <x:v>26</x:v>
      </x:c>
      <x:c r="F274" s="10">
        <x:v>0</x:v>
      </x:c>
      <x:c r="G274" s="10">
        <x:v>193</x:v>
      </x:c>
      <x:c r="H274" s="22">
        <x:f t="shared" si="4"/>
        <x:v>8631.3392978549218</x:v>
      </x:c>
      <x:c r="I274" s="22">
        <x:v>1665848.4844859999</x:v>
      </x:c>
      <x:c r="J274" s="10">
        <x:v>14</x:v>
      </x:c>
      <x:c r="K274" s="10">
        <x:v>16</x:v>
      </x:c>
    </x:row>
    <x:row r="275">
      <x:c r="A275" s="10" t="s">
        <x:v>60</x:v>
      </x:c>
      <x:c r="B275" s="10">
        <x:v>10491</x:v>
      </x:c>
      <x:c r="C275" s="10">
        <x:v>13883</x:v>
      </x:c>
      <x:c r="D275" s="10" t="s">
        <x:v>9</x:v>
      </x:c>
      <x:c r="E275" s="10" t="s">
        <x:v>33</x:v>
      </x:c>
      <x:c r="F275" s="10">
        <x:v>41</x:v>
      </x:c>
      <x:c r="G275" s="10">
        <x:v>192</x:v>
      </x:c>
      <x:c r="H275" s="22">
        <x:f t="shared" si="4"/>
        <x:v>8676.2941900312489</x:v>
      </x:c>
      <x:c r="I275" s="22">
        <x:v>1665848.4844859999</x:v>
      </x:c>
      <x:c r="J275" s="10">
        <x:v>14</x:v>
      </x:c>
      <x:c r="K275" s="10">
        <x:v>17</x:v>
      </x:c>
    </x:row>
    <x:row r="276">
      <x:c r="A276" s="10" t="s">
        <x:v>60</x:v>
      </x:c>
      <x:c r="B276" s="10">
        <x:v>10496</x:v>
      </x:c>
      <x:c r="C276" s="10">
        <x:v>13884</x:v>
      </x:c>
      <x:c r="D276" s="10" t="s">
        <x:v>9</x:v>
      </x:c>
      <x:c r="E276" s="10" t="s">
        <x:v>33</x:v>
      </x:c>
      <x:c r="F276" s="10">
        <x:v>41</x:v>
      </x:c>
      <x:c r="G276" s="10">
        <x:v>194</x:v>
      </x:c>
      <x:c r="H276" s="22">
        <x:f t="shared" si="4"/>
        <x:v>8586.847858175257</x:v>
      </x:c>
      <x:c r="I276" s="22">
        <x:v>1665848.4844859999</x:v>
      </x:c>
      <x:c r="J276" s="10">
        <x:v>14</x:v>
      </x:c>
      <x:c r="K276" s="10">
        <x:v>18</x:v>
      </x:c>
    </x:row>
    <x:row r="277">
      <x:c r="A277" s="10" t="s">
        <x:v>60</x:v>
      </x:c>
      <x:c r="B277" s="10">
        <x:v>10492</x:v>
      </x:c>
      <x:c r="C277" s="10">
        <x:v>13885</x:v>
      </x:c>
      <x:c r="D277" s="10" t="s">
        <x:v>9</x:v>
      </x:c>
      <x:c r="E277" s="10" t="s">
        <x:v>33</x:v>
      </x:c>
      <x:c r="F277" s="10">
        <x:v>41</x:v>
      </x:c>
      <x:c r="G277" s="10">
        <x:v>193</x:v>
      </x:c>
      <x:c r="H277" s="22">
        <x:f t="shared" si="4"/>
        <x:v>8631.3392978549218</x:v>
      </x:c>
      <x:c r="I277" s="22">
        <x:v>1665848.4844859999</x:v>
      </x:c>
      <x:c r="J277" s="10">
        <x:v>14</x:v>
      </x:c>
      <x:c r="K277" s="10">
        <x:v>19</x:v>
      </x:c>
    </x:row>
    <x:row r="278">
      <x:c r="A278" s="10" t="s">
        <x:v>60</x:v>
      </x:c>
      <x:c r="B278" s="10">
        <x:v>10874</x:v>
      </x:c>
      <x:c r="C278" s="10">
        <x:v>13886</x:v>
      </x:c>
      <x:c r="D278" s="10" t="s">
        <x:v>9</x:v>
      </x:c>
      <x:c r="E278" s="10" t="s">
        <x:v>33</x:v>
      </x:c>
      <x:c r="F278" s="10">
        <x:v>38</x:v>
      </x:c>
      <x:c r="G278" s="10">
        <x:v>183</x:v>
      </x:c>
      <x:c r="H278" s="22">
        <x:f t="shared" si="4"/>
        <x:v>9102.9971829836068</x:v>
      </x:c>
      <x:c r="I278" s="22">
        <x:v>1665848.4844859999</x:v>
      </x:c>
      <x:c r="J278" s="10">
        <x:v>14</x:v>
      </x:c>
      <x:c r="K278" s="10">
        <x:v>20</x:v>
      </x:c>
    </x:row>
    <x:row r="279">
      <x:c r="A279" s="10" t="s">
        <x:v>60</x:v>
      </x:c>
      <x:c r="B279" s="10">
        <x:v>10677</x:v>
      </x:c>
      <x:c r="C279" s="10">
        <x:v>13887</x:v>
      </x:c>
      <x:c r="D279" s="10" t="s">
        <x:v>9</x:v>
      </x:c>
      <x:c r="E279" s="10" t="s">
        <x:v>33</x:v>
      </x:c>
      <x:c r="F279" s="10">
        <x:v>40</x:v>
      </x:c>
      <x:c r="G279" s="10">
        <x:v>183</x:v>
      </x:c>
      <x:c r="H279" s="22">
        <x:f t="shared" si="4"/>
        <x:v>9102.9971829836068</x:v>
      </x:c>
      <x:c r="I279" s="22">
        <x:v>1665848.4844859999</x:v>
      </x:c>
      <x:c r="J279" s="10">
        <x:v>15</x:v>
      </x:c>
      <x:c r="K279" s="10">
        <x:v>1</x:v>
      </x:c>
    </x:row>
    <x:row r="280">
      <x:c r="A280" s="10" t="s">
        <x:v>60</x:v>
      </x:c>
      <x:c r="B280" s="10">
        <x:v>10679</x:v>
      </x:c>
      <x:c r="C280" s="10">
        <x:v>13888</x:v>
      </x:c>
      <x:c r="D280" s="10" t="s">
        <x:v>9</x:v>
      </x:c>
      <x:c r="E280" s="10" t="s">
        <x:v>33</x:v>
      </x:c>
      <x:c r="F280" s="10">
        <x:v>40</x:v>
      </x:c>
      <x:c r="G280" s="10">
        <x:v>182</x:v>
      </x:c>
      <x:c r="H280" s="22">
        <x:f t="shared" si="4"/>
        <x:v>9153.0136510219781</x:v>
      </x:c>
      <x:c r="I280" s="22">
        <x:v>1665848.4844859999</x:v>
      </x:c>
      <x:c r="J280" s="10">
        <x:v>15</x:v>
      </x:c>
      <x:c r="K280" s="10">
        <x:v>2</x:v>
      </x:c>
    </x:row>
    <x:row r="281">
      <x:c r="A281" s="10" t="s">
        <x:v>60</x:v>
      </x:c>
      <x:c r="B281" s="10">
        <x:v>10687</x:v>
      </x:c>
      <x:c r="C281" s="10">
        <x:v>13889</x:v>
      </x:c>
      <x:c r="D281" s="10" t="s">
        <x:v>9</x:v>
      </x:c>
      <x:c r="E281" s="10" t="s">
        <x:v>33</x:v>
      </x:c>
      <x:c r="F281" s="10">
        <x:v>42</x:v>
      </x:c>
      <x:c r="G281" s="10">
        <x:v>185</x:v>
      </x:c>
      <x:c r="H281" s="22">
        <x:f t="shared" si="4"/>
        <x:v>9004.5864026270265</x:v>
      </x:c>
      <x:c r="I281" s="22">
        <x:v>1665848.4844859999</x:v>
      </x:c>
      <x:c r="J281" s="10">
        <x:v>15</x:v>
      </x:c>
      <x:c r="K281" s="10">
        <x:v>3</x:v>
      </x:c>
    </x:row>
    <x:row r="282">
      <x:c r="A282" s="10" t="s">
        <x:v>60</x:v>
      </x:c>
      <x:c r="B282" s="10">
        <x:v>10676</x:v>
      </x:c>
      <x:c r="C282" s="10">
        <x:v>13890</x:v>
      </x:c>
      <x:c r="D282" s="10" t="s">
        <x:v>9</x:v>
      </x:c>
      <x:c r="E282" s="10" t="s">
        <x:v>33</x:v>
      </x:c>
      <x:c r="F282" s="10">
        <x:v>40</x:v>
      </x:c>
      <x:c r="G282" s="10">
        <x:v>186</x:v>
      </x:c>
      <x:c r="H282" s="22">
        <x:f t="shared" si="4"/>
        <x:v>8956.1746477741926</x:v>
      </x:c>
      <x:c r="I282" s="22">
        <x:v>1665848.4844859999</x:v>
      </x:c>
      <x:c r="J282" s="10">
        <x:v>15</x:v>
      </x:c>
      <x:c r="K282" s="10">
        <x:v>4</x:v>
      </x:c>
    </x:row>
    <x:row r="283">
      <x:c r="A283" s="10" t="s">
        <x:v>60</x:v>
      </x:c>
      <x:c r="B283" s="10">
        <x:v>10691</x:v>
      </x:c>
      <x:c r="C283" s="10">
        <x:v>13891</x:v>
      </x:c>
      <x:c r="D283" s="10" t="s">
        <x:v>9</x:v>
      </x:c>
      <x:c r="E283" s="10" t="s">
        <x:v>33</x:v>
      </x:c>
      <x:c r="F283" s="10">
        <x:v>41</x:v>
      </x:c>
      <x:c r="G283" s="10">
        <x:v>182</x:v>
      </x:c>
      <x:c r="H283" s="22">
        <x:f t="shared" si="4"/>
        <x:v>9153.0136510219781</x:v>
      </x:c>
      <x:c r="I283" s="22">
        <x:v>1665848.4844859999</x:v>
      </x:c>
      <x:c r="J283" s="10">
        <x:v>15</x:v>
      </x:c>
      <x:c r="K283" s="10">
        <x:v>5</x:v>
      </x:c>
    </x:row>
    <x:row r="284">
      <x:c r="A284" s="10" t="s">
        <x:v>60</x:v>
      </x:c>
      <x:c r="B284" s="10">
        <x:v>10690</x:v>
      </x:c>
      <x:c r="C284" s="10">
        <x:v>13892</x:v>
      </x:c>
      <x:c r="D284" s="10" t="s">
        <x:v>9</x:v>
      </x:c>
      <x:c r="E284" s="10" t="s">
        <x:v>33</x:v>
      </x:c>
      <x:c r="F284" s="10">
        <x:v>40</x:v>
      </x:c>
      <x:c r="G284" s="10">
        <x:v>182</x:v>
      </x:c>
      <x:c r="H284" s="22">
        <x:f t="shared" si="4"/>
        <x:v>9153.0136510219781</x:v>
      </x:c>
      <x:c r="I284" s="22">
        <x:v>1665848.4844859999</x:v>
      </x:c>
      <x:c r="J284" s="10">
        <x:v>15</x:v>
      </x:c>
      <x:c r="K284" s="10">
        <x:v>6</x:v>
      </x:c>
    </x:row>
    <x:row r="285">
      <x:c r="A285" s="10" t="s">
        <x:v>60</x:v>
      </x:c>
      <x:c r="B285" s="10">
        <x:v>10700</x:v>
      </x:c>
      <x:c r="C285" s="10">
        <x:v>13893</x:v>
      </x:c>
      <x:c r="D285" s="10" t="s">
        <x:v>9</x:v>
      </x:c>
      <x:c r="E285" s="10" t="s">
        <x:v>33</x:v>
      </x:c>
      <x:c r="F285" s="10">
        <x:v>40</x:v>
      </x:c>
      <x:c r="G285" s="10">
        <x:v>182</x:v>
      </x:c>
      <x:c r="H285" s="22">
        <x:f t="shared" si="4"/>
        <x:v>9153.0136510219781</x:v>
      </x:c>
      <x:c r="I285" s="22">
        <x:v>1665848.4844859999</x:v>
      </x:c>
      <x:c r="J285" s="10">
        <x:v>15</x:v>
      </x:c>
      <x:c r="K285" s="10">
        <x:v>7</x:v>
      </x:c>
    </x:row>
    <x:row r="286">
      <x:c r="A286" s="10" t="s">
        <x:v>60</x:v>
      </x:c>
      <x:c r="B286" s="10">
        <x:v>10686</x:v>
      </x:c>
      <x:c r="C286" s="10">
        <x:v>13894</x:v>
      </x:c>
      <x:c r="D286" s="10" t="s">
        <x:v>9</x:v>
      </x:c>
      <x:c r="E286" s="10" t="s">
        <x:v>33</x:v>
      </x:c>
      <x:c r="F286" s="10">
        <x:v>40</x:v>
      </x:c>
      <x:c r="G286" s="10">
        <x:v>182</x:v>
      </x:c>
      <x:c r="H286" s="22">
        <x:f t="shared" si="4"/>
        <x:v>9153.0136510219781</x:v>
      </x:c>
      <x:c r="I286" s="22">
        <x:v>1665848.4844859999</x:v>
      </x:c>
      <x:c r="J286" s="10">
        <x:v>15</x:v>
      </x:c>
      <x:c r="K286" s="10">
        <x:v>8</x:v>
      </x:c>
    </x:row>
    <x:row r="287">
      <x:c r="A287" s="10" t="s">
        <x:v>60</x:v>
      </x:c>
      <x:c r="B287" s="10">
        <x:v>10692</x:v>
      </x:c>
      <x:c r="C287" s="10">
        <x:v>13895</x:v>
      </x:c>
      <x:c r="D287" s="10" t="s">
        <x:v>9</x:v>
      </x:c>
      <x:c r="E287" s="10" t="s">
        <x:v>33</x:v>
      </x:c>
      <x:c r="F287" s="10">
        <x:v>41</x:v>
      </x:c>
      <x:c r="G287" s="10">
        <x:v>184</x:v>
      </x:c>
      <x:c r="H287" s="22">
        <x:f t="shared" si="4"/>
        <x:v>9053.5243722065206</x:v>
      </x:c>
      <x:c r="I287" s="22">
        <x:v>1665848.4844859999</x:v>
      </x:c>
      <x:c r="J287" s="10">
        <x:v>15</x:v>
      </x:c>
      <x:c r="K287" s="10">
        <x:v>9</x:v>
      </x:c>
    </x:row>
    <x:row r="288">
      <x:c r="A288" s="10" t="s">
        <x:v>60</x:v>
      </x:c>
      <x:c r="B288" s="10">
        <x:v>10590</x:v>
      </x:c>
      <x:c r="C288" s="10">
        <x:v>13896</x:v>
      </x:c>
      <x:c r="D288" s="10" t="s">
        <x:v>6</x:v>
      </x:c>
      <x:c r="E288" s="10" t="s">
        <x:v>20</x:v>
      </x:c>
      <x:c r="F288" s="10">
        <x:v>49</x:v>
      </x:c>
      <x:c r="G288" s="10">
        <x:v>192</x:v>
      </x:c>
      <x:c r="H288" s="22">
        <x:f t="shared" si="4"/>
        <x:v>8676.2941900312489</x:v>
      </x:c>
      <x:c r="I288" s="22">
        <x:v>1665848.4844859999</x:v>
      </x:c>
      <x:c r="J288" s="10">
        <x:v>15</x:v>
      </x:c>
      <x:c r="K288" s="10">
        <x:v>10</x:v>
      </x:c>
    </x:row>
    <x:row r="289">
      <x:c r="A289" s="10" t="s">
        <x:v>60</x:v>
      </x:c>
      <x:c r="B289" s="10">
        <x:v>10583</x:v>
      </x:c>
      <x:c r="C289" s="10">
        <x:v>13897</x:v>
      </x:c>
      <x:c r="D289" s="10" t="s">
        <x:v>6</x:v>
      </x:c>
      <x:c r="E289" s="10" t="s">
        <x:v>20</x:v>
      </x:c>
      <x:c r="F289" s="10">
        <x:v>52</x:v>
      </x:c>
      <x:c r="G289" s="10">
        <x:v>192</x:v>
      </x:c>
      <x:c r="H289" s="22">
        <x:f t="shared" si="4"/>
        <x:v>8676.2941900312489</x:v>
      </x:c>
      <x:c r="I289" s="22">
        <x:v>1665848.4844859999</x:v>
      </x:c>
      <x:c r="J289" s="10">
        <x:v>15</x:v>
      </x:c>
      <x:c r="K289" s="10">
        <x:v>11</x:v>
      </x:c>
    </x:row>
    <x:row r="290">
      <x:c r="A290" s="10" t="s">
        <x:v>60</x:v>
      </x:c>
      <x:c r="B290" s="10">
        <x:v>10575</x:v>
      </x:c>
      <x:c r="C290" s="10">
        <x:v>13898</x:v>
      </x:c>
      <x:c r="D290" s="10" t="s">
        <x:v>6</x:v>
      </x:c>
      <x:c r="E290" s="10" t="s">
        <x:v>20</x:v>
      </x:c>
      <x:c r="F290" s="10">
        <x:v>51</x:v>
      </x:c>
      <x:c r="G290" s="10">
        <x:v>192</x:v>
      </x:c>
      <x:c r="H290" s="22">
        <x:f t="shared" si="4"/>
        <x:v>8676.2941900312489</x:v>
      </x:c>
      <x:c r="I290" s="22">
        <x:v>1665848.4844859999</x:v>
      </x:c>
      <x:c r="J290" s="10">
        <x:v>15</x:v>
      </x:c>
      <x:c r="K290" s="10">
        <x:v>12</x:v>
      </x:c>
    </x:row>
    <x:row r="291">
      <x:c r="A291" s="10" t="s">
        <x:v>60</x:v>
      </x:c>
      <x:c r="B291" s="10">
        <x:v>10525</x:v>
      </x:c>
      <x:c r="C291" s="10">
        <x:v>13899</x:v>
      </x:c>
      <x:c r="D291" s="10" t="s">
        <x:v>9</x:v>
      </x:c>
      <x:c r="E291" s="10" t="s">
        <x:v>34</x:v>
      </x:c>
      <x:c r="F291" s="10">
        <x:v>16</x:v>
      </x:c>
      <x:c r="G291" s="10">
        <x:v>94</x:v>
      </x:c>
      <x:c r="H291" s="22">
        <x:f t="shared" si="4"/>
        <x:v>8860.8961940746813</x:v>
      </x:c>
      <x:c r="I291" s="22">
        <x:v>832924.24224301998</x:v>
      </x:c>
      <x:c r="J291" s="10">
        <x:v>15</x:v>
      </x:c>
      <x:c r="K291" s="10">
        <x:v>13</x:v>
      </x:c>
    </x:row>
    <x:row r="292">
      <x:c r="A292" s="10" t="s">
        <x:v>60</x:v>
      </x:c>
      <x:c r="B292" s="10">
        <x:v>10510</x:v>
      </x:c>
      <x:c r="C292" s="10">
        <x:v>13900</x:v>
      </x:c>
      <x:c r="D292" s="10" t="s">
        <x:v>9</x:v>
      </x:c>
      <x:c r="E292" s="10" t="s">
        <x:v>33</x:v>
      </x:c>
      <x:c r="F292" s="10">
        <x:v>22</x:v>
      </x:c>
      <x:c r="G292" s="10">
        <x:v>192</x:v>
      </x:c>
      <x:c r="H292" s="22">
        <x:f t="shared" si="4"/>
        <x:v>8676.2941900312489</x:v>
      </x:c>
      <x:c r="I292" s="22">
        <x:v>1665848.4844859999</x:v>
      </x:c>
      <x:c r="J292" s="10">
        <x:v>15</x:v>
      </x:c>
      <x:c r="K292" s="10">
        <x:v>14</x:v>
      </x:c>
    </x:row>
    <x:row r="293">
      <x:c r="A293" s="10" t="s">
        <x:v>60</x:v>
      </x:c>
      <x:c r="B293" s="10">
        <x:v>10603</x:v>
      </x:c>
      <x:c r="C293" s="10">
        <x:v>13901</x:v>
      </x:c>
      <x:c r="D293" s="10" t="s">
        <x:v>6</x:v>
      </x:c>
      <x:c r="E293" s="10" t="s">
        <x:v>20</x:v>
      </x:c>
      <x:c r="F293" s="10">
        <x:v>49</x:v>
      </x:c>
      <x:c r="G293" s="10">
        <x:v>192</x:v>
      </x:c>
      <x:c r="H293" s="22">
        <x:f t="shared" si="4"/>
        <x:v>8676.2941900312489</x:v>
      </x:c>
      <x:c r="I293" s="22">
        <x:v>1665848.4844859999</x:v>
      </x:c>
      <x:c r="J293" s="10">
        <x:v>15</x:v>
      </x:c>
      <x:c r="K293" s="10">
        <x:v>15</x:v>
      </x:c>
    </x:row>
    <x:row r="294">
      <x:c r="A294" s="10" t="s">
        <x:v>60</x:v>
      </x:c>
      <x:c r="B294" s="10">
        <x:v>10573</x:v>
      </x:c>
      <x:c r="C294" s="10">
        <x:v>13902</x:v>
      </x:c>
      <x:c r="D294" s="10" t="s">
        <x:v>6</x:v>
      </x:c>
      <x:c r="E294" s="10" t="s">
        <x:v>20</x:v>
      </x:c>
      <x:c r="F294" s="10">
        <x:v>44</x:v>
      </x:c>
      <x:c r="G294" s="10">
        <x:v>192</x:v>
      </x:c>
      <x:c r="H294" s="22">
        <x:f t="shared" si="4"/>
        <x:v>8676.2941900312489</x:v>
      </x:c>
      <x:c r="I294" s="22">
        <x:v>1665848.4844859999</x:v>
      </x:c>
      <x:c r="J294" s="10">
        <x:v>15</x:v>
      </x:c>
      <x:c r="K294" s="10">
        <x:v>16</x:v>
      </x:c>
    </x:row>
    <x:row r="295">
      <x:c r="A295" s="10" t="s">
        <x:v>60</x:v>
      </x:c>
      <x:c r="B295" s="10">
        <x:v>10526</x:v>
      </x:c>
      <x:c r="C295" s="10">
        <x:v>13903</x:v>
      </x:c>
      <x:c r="D295" s="10" t="s">
        <x:v>9</x:v>
      </x:c>
      <x:c r="E295" s="10" t="s">
        <x:v>34</x:v>
      </x:c>
      <x:c r="F295" s="10">
        <x:v>23</x:v>
      </x:c>
      <x:c r="G295" s="10">
        <x:v>182</x:v>
      </x:c>
      <x:c r="H295" s="22">
        <x:f t="shared" si="4"/>
        <x:v>9153.0136510219781</x:v>
      </x:c>
      <x:c r="I295" s="22">
        <x:v>1665848.4844859999</x:v>
      </x:c>
      <x:c r="J295" s="10">
        <x:v>15</x:v>
      </x:c>
      <x:c r="K295" s="10">
        <x:v>17</x:v>
      </x:c>
    </x:row>
    <x:row r="296">
      <x:c r="A296" s="10" t="s">
        <x:v>60</x:v>
      </x:c>
      <x:c r="B296" s="10">
        <x:v>10592</x:v>
      </x:c>
      <x:c r="C296" s="10">
        <x:v>13904</x:v>
      </x:c>
      <x:c r="D296" s="10" t="s">
        <x:v>6</x:v>
      </x:c>
      <x:c r="E296" s="10" t="s">
        <x:v>20</x:v>
      </x:c>
      <x:c r="F296" s="10">
        <x:v>49</x:v>
      </x:c>
      <x:c r="G296" s="10">
        <x:v>192</x:v>
      </x:c>
      <x:c r="H296" s="22">
        <x:f t="shared" si="4"/>
        <x:v>8676.2941900312489</x:v>
      </x:c>
      <x:c r="I296" s="22">
        <x:v>1665848.4844859999</x:v>
      </x:c>
      <x:c r="J296" s="10">
        <x:v>15</x:v>
      </x:c>
      <x:c r="K296" s="10">
        <x:v>18</x:v>
      </x:c>
    </x:row>
    <x:row r="297">
      <x:c r="A297" s="10" t="s">
        <x:v>60</x:v>
      </x:c>
      <x:c r="B297" s="10">
        <x:v>10570</x:v>
      </x:c>
      <x:c r="C297" s="10">
        <x:v>13905</x:v>
      </x:c>
      <x:c r="D297" s="10" t="s">
        <x:v>6</x:v>
      </x:c>
      <x:c r="E297" s="10" t="s">
        <x:v>6</x:v>
      </x:c>
      <x:c r="F297" s="10">
        <x:v>52</x:v>
      </x:c>
      <x:c r="G297" s="10">
        <x:v>217</x:v>
      </x:c>
      <x:c r="H297" s="22">
        <x:f t="shared" si="4"/>
        <x:v>8805.1878210092163</x:v>
      </x:c>
      <x:c r="I297" s="22">
        <x:v>1910725.757159</x:v>
      </x:c>
      <x:c r="J297" s="10">
        <x:v>15</x:v>
      </x:c>
      <x:c r="K297" s="10">
        <x:v>19</x:v>
      </x:c>
    </x:row>
    <x:row r="298">
      <x:c r="A298" s="10" t="s">
        <x:v>60</x:v>
      </x:c>
      <x:c r="B298" s="10">
        <x:v>10556</x:v>
      </x:c>
      <x:c r="C298" s="10">
        <x:v>13906</x:v>
      </x:c>
      <x:c r="D298" s="10" t="s">
        <x:v>6</x:v>
      </x:c>
      <x:c r="E298" s="10" t="s">
        <x:v>61</x:v>
      </x:c>
      <x:c r="F298" s="10">
        <x:v>0</x:v>
      </x:c>
      <x:c r="G298" s="10">
        <x:v>192</x:v>
      </x:c>
      <x:c r="H298" s="22">
        <x:f t="shared" si="4"/>
        <x:v>8676.2941900312489</x:v>
      </x:c>
      <x:c r="I298" s="22">
        <x:v>1665848.4844859999</x:v>
      </x:c>
      <x:c r="J298" s="10">
        <x:v>15</x:v>
      </x:c>
      <x:c r="K298" s="10">
        <x:v>20</x:v>
      </x:c>
    </x:row>
    <x:row r="299">
      <x:c r="A299" s="10" t="s">
        <x:v>60</x:v>
      </x:c>
      <x:c r="B299" s="10">
        <x:v>6868</x:v>
      </x:c>
      <x:c r="C299" s="10">
        <x:v>13747</x:v>
      </x:c>
      <x:c r="D299" s="10" t="s">
        <x:v>0</x:v>
      </x:c>
      <x:c r="E299" s="10" t="s">
        <x:v>22</x:v>
      </x:c>
      <x:c r="F299" s="10">
        <x:v>31</x:v>
      </x:c>
      <x:c r="G299" s="10">
        <x:v>197</x:v>
      </x:c>
      <x:c r="H299" s="22">
        <x:f t="shared" si="4"/>
        <x:v>10331.837065749745</x:v>
      </x:c>
      <x:c r="I299" s="22">
        <x:v>2035371.9019527</x:v>
      </x:c>
      <x:c r="J299" s="10">
        <x:v>16</x:v>
      </x:c>
      <x:c r="K299" s="10">
        <x:v>1</x:v>
      </x:c>
    </x:row>
    <x:row r="300">
      <x:c r="A300" s="10" t="s">
        <x:v>60</x:v>
      </x:c>
      <x:c r="B300" s="10">
        <x:v>6881</x:v>
      </x:c>
      <x:c r="C300" s="10">
        <x:v>13748</x:v>
      </x:c>
      <x:c r="D300" s="10" t="s">
        <x:v>0</x:v>
      </x:c>
      <x:c r="E300" s="10" t="s">
        <x:v>24</x:v>
      </x:c>
      <x:c r="F300" s="10">
        <x:v>27</x:v>
      </x:c>
      <x:c r="G300" s="10">
        <x:v>192</x:v>
      </x:c>
      <x:c r="H300" s="22">
        <x:f t="shared" si="4"/>
        <x:v>10652.978656003646</x:v>
      </x:c>
      <x:c r="I300" s="22">
        <x:v>2045371.9019527</x:v>
      </x:c>
      <x:c r="J300" s="10">
        <x:v>16</x:v>
      </x:c>
      <x:c r="K300" s="10">
        <x:v>2</x:v>
      </x:c>
    </x:row>
    <x:row r="301">
      <x:c r="A301" s="10" t="s">
        <x:v>60</x:v>
      </x:c>
      <x:c r="B301" s="10">
        <x:v>6877</x:v>
      </x:c>
      <x:c r="C301" s="10">
        <x:v>13749</x:v>
      </x:c>
      <x:c r="D301" s="10" t="s">
        <x:v>0</x:v>
      </x:c>
      <x:c r="E301" s="10" t="s">
        <x:v>24</x:v>
      </x:c>
      <x:c r="F301" s="10">
        <x:v>26</x:v>
      </x:c>
      <x:c r="G301" s="10">
        <x:v>192</x:v>
      </x:c>
      <x:c r="H301" s="22">
        <x:f t="shared" si="4"/>
        <x:v>10652.978656003646</x:v>
      </x:c>
      <x:c r="I301" s="22">
        <x:v>2045371.9019527</x:v>
      </x:c>
      <x:c r="J301" s="10">
        <x:v>16</x:v>
      </x:c>
      <x:c r="K301" s="10">
        <x:v>3</x:v>
      </x:c>
    </x:row>
    <x:row r="302">
      <x:c r="A302" s="10" t="s">
        <x:v>60</x:v>
      </x:c>
      <x:c r="B302" s="10">
        <x:v>6857</x:v>
      </x:c>
      <x:c r="C302" s="10">
        <x:v>13750</x:v>
      </x:c>
      <x:c r="D302" s="10" t="s">
        <x:v>0</x:v>
      </x:c>
      <x:c r="E302" s="10" t="s">
        <x:v>22</x:v>
      </x:c>
      <x:c r="F302" s="10">
        <x:v>32</x:v>
      </x:c>
      <x:c r="G302" s="10">
        <x:v>202</x:v>
      </x:c>
      <x:c r="H302" s="22">
        <x:f t="shared" si="4"/>
        <x:v>10125.603475013366</x:v>
      </x:c>
      <x:c r="I302" s="22">
        <x:v>2045371.9019527</x:v>
      </x:c>
      <x:c r="J302" s="10">
        <x:v>16</x:v>
      </x:c>
      <x:c r="K302" s="10">
        <x:v>4</x:v>
      </x:c>
    </x:row>
    <x:row r="303">
      <x:c r="A303" s="10" t="s">
        <x:v>60</x:v>
      </x:c>
      <x:c r="B303" s="10">
        <x:v>6866</x:v>
      </x:c>
      <x:c r="C303" s="10">
        <x:v>13751</x:v>
      </x:c>
      <x:c r="D303" s="10" t="s">
        <x:v>0</x:v>
      </x:c>
      <x:c r="E303" s="10" t="s">
        <x:v>22</x:v>
      </x:c>
      <x:c r="F303" s="10">
        <x:v>28</x:v>
      </x:c>
      <x:c r="G303" s="10">
        <x:v>192</x:v>
      </x:c>
      <x:c r="H303" s="22">
        <x:f t="shared" si="4"/>
        <x:v>10626.936989336979</x:v>
      </x:c>
      <x:c r="I303" s="22">
        <x:v>2040371.9019527</x:v>
      </x:c>
      <x:c r="J303" s="10">
        <x:v>16</x:v>
      </x:c>
      <x:c r="K303" s="10">
        <x:v>5</x:v>
      </x:c>
    </x:row>
    <x:row r="304">
      <x:c r="A304" s="10" t="s">
        <x:v>60</x:v>
      </x:c>
      <x:c r="B304" s="10">
        <x:v>6885</x:v>
      </x:c>
      <x:c r="C304" s="10">
        <x:v>13752</x:v>
      </x:c>
      <x:c r="D304" s="10" t="s">
        <x:v>0</x:v>
      </x:c>
      <x:c r="E304" s="10" t="s">
        <x:v>24</x:v>
      </x:c>
      <x:c r="F304" s="10">
        <x:v>28</x:v>
      </x:c>
      <x:c r="G304" s="10">
        <x:v>192</x:v>
      </x:c>
      <x:c r="H304" s="22">
        <x:f t="shared" si="4"/>
        <x:v>10652.978656003646</x:v>
      </x:c>
      <x:c r="I304" s="22">
        <x:v>2045371.9019527</x:v>
      </x:c>
      <x:c r="J304" s="10">
        <x:v>16</x:v>
      </x:c>
      <x:c r="K304" s="10">
        <x:v>6</x:v>
      </x:c>
    </x:row>
    <x:row r="305">
      <x:c r="A305" s="10" t="s">
        <x:v>60</x:v>
      </x:c>
      <x:c r="B305" s="10">
        <x:v>6980</x:v>
      </x:c>
      <x:c r="C305" s="10">
        <x:v>13753</x:v>
      </x:c>
      <x:c r="D305" s="10" t="s">
        <x:v>0</x:v>
      </x:c>
      <x:c r="E305" s="10" t="s">
        <x:v>42</x:v>
      </x:c>
      <x:c r="F305" s="10">
        <x:v>33</x:v>
      </x:c>
      <x:c r="G305" s="10">
        <x:v>186</x:v>
      </x:c>
      <x:c r="H305" s="22">
        <x:f t="shared" si="4"/>
        <x:v>10875.655386842473</x:v>
      </x:c>
      <x:c r="I305" s="22">
        <x:v>2022871.9019527</x:v>
      </x:c>
      <x:c r="J305" s="10">
        <x:v>16</x:v>
      </x:c>
      <x:c r="K305" s="10">
        <x:v>7</x:v>
      </x:c>
    </x:row>
    <x:row r="306">
      <x:c r="A306" s="10" t="s">
        <x:v>60</x:v>
      </x:c>
      <x:c r="B306" s="10">
        <x:v>6983</x:v>
      </x:c>
      <x:c r="C306" s="10">
        <x:v>13754</x:v>
      </x:c>
      <x:c r="D306" s="10" t="s">
        <x:v>0</x:v>
      </x:c>
      <x:c r="E306" s="10" t="s">
        <x:v>42</x:v>
      </x:c>
      <x:c r="F306" s="10">
        <x:v>23</x:v>
      </x:c>
      <x:c r="G306" s="10">
        <x:v>92</x:v>
      </x:c>
      <x:c r="H306" s="22">
        <x:f t="shared" si="4"/>
        <x:v>10953.108162786957</x:v>
      </x:c>
      <x:c r="I306" s="22">
        <x:v>1007685.9509764001</x:v>
      </x:c>
      <x:c r="J306" s="10">
        <x:v>16</x:v>
      </x:c>
      <x:c r="K306" s="10">
        <x:v>8</x:v>
      </x:c>
    </x:row>
    <x:row r="307">
      <x:c r="A307" s="10" t="s">
        <x:v>60</x:v>
      </x:c>
      <x:c r="B307" s="10">
        <x:v>6814</x:v>
      </x:c>
      <x:c r="C307" s="10">
        <x:v>13755</x:v>
      </x:c>
      <x:c r="D307" s="10" t="s">
        <x:v>0</x:v>
      </x:c>
      <x:c r="E307" s="10" t="s">
        <x:v>22</x:v>
      </x:c>
      <x:c r="F307" s="10">
        <x:v>32</x:v>
      </x:c>
      <x:c r="G307" s="10">
        <x:v>192</x:v>
      </x:c>
      <x:c r="H307" s="22">
        <x:f t="shared" si="4"/>
        <x:v>10626.936989336979</x:v>
      </x:c>
      <x:c r="I307" s="22">
        <x:v>2040371.9019527</x:v>
      </x:c>
      <x:c r="J307" s="10">
        <x:v>16</x:v>
      </x:c>
      <x:c r="K307" s="10">
        <x:v>9</x:v>
      </x:c>
    </x:row>
    <x:row r="308">
      <x:c r="A308" s="10" t="s">
        <x:v>60</x:v>
      </x:c>
      <x:c r="B308" s="10">
        <x:v>6817</x:v>
      </x:c>
      <x:c r="C308" s="10">
        <x:v>13756</x:v>
      </x:c>
      <x:c r="D308" s="10" t="s">
        <x:v>0</x:v>
      </x:c>
      <x:c r="E308" s="10" t="s">
        <x:v>24</x:v>
      </x:c>
      <x:c r="F308" s="10">
        <x:v>28</x:v>
      </x:c>
      <x:c r="G308" s="10">
        <x:v>192</x:v>
      </x:c>
      <x:c r="H308" s="22">
        <x:f t="shared" si="4"/>
        <x:v>10652.978656003646</x:v>
      </x:c>
      <x:c r="I308" s="22">
        <x:v>2045371.9019527</x:v>
      </x:c>
      <x:c r="J308" s="10">
        <x:v>16</x:v>
      </x:c>
      <x:c r="K308" s="10">
        <x:v>10</x:v>
      </x:c>
    </x:row>
    <x:row r="309">
      <x:c r="A309" s="10" t="s">
        <x:v>60</x:v>
      </x:c>
      <x:c r="B309" s="10">
        <x:v>6799</x:v>
      </x:c>
      <x:c r="C309" s="10">
        <x:v>13757</x:v>
      </x:c>
      <x:c r="D309" s="10" t="s">
        <x:v>0</x:v>
      </x:c>
      <x:c r="E309" s="10" t="s">
        <x:v>22</x:v>
      </x:c>
      <x:c r="F309" s="10">
        <x:v>48</x:v>
      </x:c>
      <x:c r="G309" s="10">
        <x:v>288</x:v>
      </x:c>
      <x:c r="H309" s="22">
        <x:f t="shared" si="4"/>
        <x:v>10635.617544892708</x:v>
      </x:c>
      <x:c r="I309" s="22">
        <x:v>3063057.8529290999</x:v>
      </x:c>
      <x:c r="J309" s="10">
        <x:v>16</x:v>
      </x:c>
      <x:c r="K309" s="10">
        <x:v>11</x:v>
      </x:c>
    </x:row>
    <x:row r="310">
      <x:c r="A310" s="10" t="s">
        <x:v>60</x:v>
      </x:c>
      <x:c r="B310" s="10">
        <x:v>6066</x:v>
      </x:c>
      <x:c r="C310" s="10">
        <x:v>13758</x:v>
      </x:c>
      <x:c r="D310" s="10" t="s">
        <x:v>0</x:v>
      </x:c>
      <x:c r="E310" s="10" t="s">
        <x:v>62</x:v>
      </x:c>
      <x:c r="F310" s="10">
        <x:v>45</x:v>
      </x:c>
      <x:c r="G310" s="10">
        <x:v>192</x:v>
      </x:c>
      <x:c r="H310" s="22">
        <x:f t="shared" si="4"/>
        <x:v>10652.978656003646</x:v>
      </x:c>
      <x:c r="I310" s="22">
        <x:v>2045371.9019527</x:v>
      </x:c>
      <x:c r="J310" s="10">
        <x:v>16</x:v>
      </x:c>
      <x:c r="K310" s="10">
        <x:v>12</x:v>
      </x:c>
    </x:row>
    <x:row r="311">
      <x:c r="A311" s="10" t="s">
        <x:v>60</x:v>
      </x:c>
      <x:c r="B311" s="10">
        <x:v>6822</x:v>
      </x:c>
      <x:c r="C311" s="10">
        <x:v>13759</x:v>
      </x:c>
      <x:c r="D311" s="10" t="s">
        <x:v>0</x:v>
      </x:c>
      <x:c r="E311" s="10" t="s">
        <x:v>24</x:v>
      </x:c>
      <x:c r="F311" s="10">
        <x:v>28</x:v>
      </x:c>
      <x:c r="G311" s="10">
        <x:v>192</x:v>
      </x:c>
      <x:c r="H311" s="22">
        <x:f t="shared" si="4"/>
        <x:v>10652.978656003646</x:v>
      </x:c>
      <x:c r="I311" s="22">
        <x:v>2045371.9019527</x:v>
      </x:c>
      <x:c r="J311" s="10">
        <x:v>16</x:v>
      </x:c>
      <x:c r="K311" s="10">
        <x:v>13</x:v>
      </x:c>
    </x:row>
    <x:row r="312">
      <x:c r="A312" s="10" t="s">
        <x:v>60</x:v>
      </x:c>
      <x:c r="B312" s="10">
        <x:v>6815</x:v>
      </x:c>
      <x:c r="C312" s="10">
        <x:v>13760</x:v>
      </x:c>
      <x:c r="D312" s="10" t="s">
        <x:v>0</x:v>
      </x:c>
      <x:c r="E312" s="10" t="s">
        <x:v>22</x:v>
      </x:c>
      <x:c r="F312" s="10">
        <x:v>34</x:v>
      </x:c>
      <x:c r="G312" s="10">
        <x:v>192</x:v>
      </x:c>
      <x:c r="H312" s="22">
        <x:f t="shared" si="4"/>
        <x:v>10626.936989336979</x:v>
      </x:c>
      <x:c r="I312" s="22">
        <x:v>2040371.9019527</x:v>
      </x:c>
      <x:c r="J312" s="10">
        <x:v>16</x:v>
      </x:c>
      <x:c r="K312" s="10">
        <x:v>14</x:v>
      </x:c>
    </x:row>
    <x:row r="313">
      <x:c r="A313" s="10" t="s">
        <x:v>60</x:v>
      </x:c>
      <x:c r="B313" s="10">
        <x:v>6824</x:v>
      </x:c>
      <x:c r="C313" s="10">
        <x:v>13761</x:v>
      </x:c>
      <x:c r="D313" s="10" t="s">
        <x:v>0</x:v>
      </x:c>
      <x:c r="E313" s="10" t="s">
        <x:v>24</x:v>
      </x:c>
      <x:c r="F313" s="10">
        <x:v>28</x:v>
      </x:c>
      <x:c r="G313" s="10">
        <x:v>192</x:v>
      </x:c>
      <x:c r="H313" s="22">
        <x:f t="shared" si="4"/>
        <x:v>10626.936989336979</x:v>
      </x:c>
      <x:c r="I313" s="22">
        <x:v>2040371.9019527</x:v>
      </x:c>
      <x:c r="J313" s="10">
        <x:v>16</x:v>
      </x:c>
      <x:c r="K313" s="10">
        <x:v>15</x:v>
      </x:c>
    </x:row>
    <x:row r="314">
      <x:c r="A314" s="10" t="s">
        <x:v>60</x:v>
      </x:c>
      <x:c r="B314" s="10">
        <x:v>6882</x:v>
      </x:c>
      <x:c r="C314" s="10">
        <x:v>13762</x:v>
      </x:c>
      <x:c r="D314" s="10" t="s">
        <x:v>0</x:v>
      </x:c>
      <x:c r="E314" s="10" t="s">
        <x:v>24</x:v>
      </x:c>
      <x:c r="F314" s="10">
        <x:v>26</x:v>
      </x:c>
      <x:c r="G314" s="10">
        <x:v>192</x:v>
      </x:c>
      <x:c r="H314" s="22">
        <x:f t="shared" si="4"/>
        <x:v>10652.978656003646</x:v>
      </x:c>
      <x:c r="I314" s="22">
        <x:v>2045371.9019527</x:v>
      </x:c>
      <x:c r="J314" s="10">
        <x:v>16</x:v>
      </x:c>
      <x:c r="K314" s="10">
        <x:v>16</x:v>
      </x:c>
    </x:row>
    <x:row r="315">
      <x:c r="A315" s="10" t="s">
        <x:v>60</x:v>
      </x:c>
      <x:c r="B315" s="10">
        <x:v>5945</x:v>
      </x:c>
      <x:c r="C315" s="10">
        <x:v>13763</x:v>
      </x:c>
      <x:c r="D315" s="10" t="s">
        <x:v>0</x:v>
      </x:c>
      <x:c r="E315" s="10" t="s">
        <x:v>63</x:v>
      </x:c>
      <x:c r="F315" s="10">
        <x:v>32</x:v>
      </x:c>
      <x:c r="G315" s="10">
        <x:v>193</x:v>
      </x:c>
      <x:c r="H315" s="22">
        <x:f t="shared" si="4"/>
        <x:v>10597.78187540259</x:v>
      </x:c>
      <x:c r="I315" s="22">
        <x:v>2045371.9019527</x:v>
      </x:c>
      <x:c r="J315" s="10">
        <x:v>16</x:v>
      </x:c>
      <x:c r="K315" s="10">
        <x:v>17</x:v>
      </x:c>
    </x:row>
    <x:row r="316">
      <x:c r="A316" s="10" t="s">
        <x:v>60</x:v>
      </x:c>
      <x:c r="B316" s="10">
        <x:v>3136</x:v>
      </x:c>
      <x:c r="C316" s="10">
        <x:v>13764</x:v>
      </x:c>
      <x:c r="D316" s="10" t="s">
        <x:v>0</x:v>
      </x:c>
      <x:c r="E316" s="10" t="s">
        <x:v>24</x:v>
      </x:c>
      <x:c r="F316" s="10">
        <x:v>16</x:v>
      </x:c>
      <x:c r="G316" s="10">
        <x:v>96</x:v>
      </x:c>
      <x:c r="H316" s="22">
        <x:f t="shared" si="4"/>
        <x:v>10652.978656004167</x:v>
      </x:c>
      <x:c r="I316" s="22">
        <x:v>1022685.9509764001</x:v>
      </x:c>
      <x:c r="J316" s="10">
        <x:v>16</x:v>
      </x:c>
      <x:c r="K316" s="10">
        <x:v>18</x:v>
      </x:c>
    </x:row>
    <x:row r="317">
      <x:c r="A317" s="10" t="s">
        <x:v>60</x:v>
      </x:c>
      <x:c r="B317" s="10">
        <x:v>3141</x:v>
      </x:c>
      <x:c r="C317" s="10">
        <x:v>13765</x:v>
      </x:c>
      <x:c r="D317" s="10" t="s">
        <x:v>0</x:v>
      </x:c>
      <x:c r="E317" s="10" t="s">
        <x:v>24</x:v>
      </x:c>
      <x:c r="F317" s="10">
        <x:v>17</x:v>
      </x:c>
      <x:c r="G317" s="10">
        <x:v>96</x:v>
      </x:c>
      <x:c r="H317" s="22">
        <x:f t="shared" si="4"/>
        <x:v>10652.978656004167</x:v>
      </x:c>
      <x:c r="I317" s="22">
        <x:v>1022685.9509764001</x:v>
      </x:c>
      <x:c r="J317" s="10">
        <x:v>16</x:v>
      </x:c>
      <x:c r="K317" s="10">
        <x:v>19</x:v>
      </x:c>
    </x:row>
    <x:row r="318">
      <x:c r="A318" s="10" t="s">
        <x:v>60</x:v>
      </x:c>
      <x:c r="B318" s="10">
        <x:v>6074</x:v>
      </x:c>
      <x:c r="C318" s="10">
        <x:v>13766</x:v>
      </x:c>
      <x:c r="D318" s="10" t="s">
        <x:v>0</x:v>
      </x:c>
      <x:c r="E318" s="10" t="s">
        <x:v>63</x:v>
      </x:c>
      <x:c r="F318" s="10">
        <x:v>17</x:v>
      </x:c>
      <x:c r="G318" s="10">
        <x:v>96</x:v>
      </x:c>
      <x:c r="H318" s="22">
        <x:f t="shared" si="4"/>
        <x:v>10652.978656004167</x:v>
      </x:c>
      <x:c r="I318" s="22">
        <x:v>1022685.9509764001</x:v>
      </x:c>
      <x:c r="J318" s="10">
        <x:v>16</x:v>
      </x:c>
      <x:c r="K318" s="10">
        <x:v>20</x:v>
      </x:c>
    </x:row>
    <x:row r="319">
      <x:c r="A319" s="10" t="s">
        <x:v>60</x:v>
      </x:c>
      <x:c r="B319" s="10">
        <x:v>9600</x:v>
      </x:c>
      <x:c r="C319" s="10">
        <x:v>13767</x:v>
      </x:c>
      <x:c r="D319" s="10" t="s">
        <x:v>9</x:v>
      </x:c>
      <x:c r="E319" s="10" t="s">
        <x:v>9</x:v>
      </x:c>
      <x:c r="F319" s="10">
        <x:v>0</x:v>
      </x:c>
      <x:c r="G319" s="10">
        <x:v>387</x:v>
      </x:c>
      <x:c r="H319" s="22">
        <x:f t="shared" si="4"/>
        <x:v>9000</x:v>
      </x:c>
      <x:c r="I319" s="22">
        <x:v>3483000</x:v>
      </x:c>
      <x:c r="J319" s="10">
        <x:v>17</x:v>
      </x:c>
      <x:c r="K319" s="10">
        <x:v>1</x:v>
      </x:c>
    </x:row>
    <x:row r="320">
      <x:c r="A320" s="10" t="s">
        <x:v>60</x:v>
      </x:c>
      <x:c r="B320" s="10">
        <x:v>10860</x:v>
      </x:c>
      <x:c r="C320" s="10">
        <x:v>13768</x:v>
      </x:c>
      <x:c r="D320" s="10" t="s">
        <x:v>9</x:v>
      </x:c>
      <x:c r="E320" s="10" t="s">
        <x:v>33</x:v>
      </x:c>
      <x:c r="F320" s="10">
        <x:v>41</x:v>
      </x:c>
      <x:c r="G320" s="10">
        <x:v>209</x:v>
      </x:c>
      <x:c r="H320" s="22">
        <x:f t="shared" si="4"/>
        <x:v>7970.5669114162674</x:v>
      </x:c>
      <x:c r="I320" s="22">
        <x:v>1665848.4844859999</x:v>
      </x:c>
      <x:c r="J320" s="10">
        <x:v>17</x:v>
      </x:c>
      <x:c r="K320" s="10">
        <x:v>2</x:v>
      </x:c>
    </x:row>
    <x:row r="321">
      <x:c r="A321" s="10" t="s">
        <x:v>60</x:v>
      </x:c>
      <x:c r="B321" s="10">
        <x:v>10873</x:v>
      </x:c>
      <x:c r="C321" s="10">
        <x:v>13769</x:v>
      </x:c>
      <x:c r="D321" s="10" t="s">
        <x:v>9</x:v>
      </x:c>
      <x:c r="E321" s="10" t="s">
        <x:v>33</x:v>
      </x:c>
      <x:c r="F321" s="10">
        <x:v>42</x:v>
      </x:c>
      <x:c r="G321" s="10">
        <x:v>194</x:v>
      </x:c>
      <x:c r="H321" s="22">
        <x:f t="shared" si="4"/>
        <x:v>8586.847858175257</x:v>
      </x:c>
      <x:c r="I321" s="22">
        <x:v>1665848.4844859999</x:v>
      </x:c>
      <x:c r="J321" s="10">
        <x:v>17</x:v>
      </x:c>
      <x:c r="K321" s="10">
        <x:v>3</x:v>
      </x:c>
    </x:row>
    <x:row r="322">
      <x:c r="A322" s="10" t="s">
        <x:v>60</x:v>
      </x:c>
      <x:c r="B322" s="10">
        <x:v>10478</x:v>
      </x:c>
      <x:c r="C322" s="10">
        <x:v>13770</x:v>
      </x:c>
      <x:c r="D322" s="10" t="s">
        <x:v>9</x:v>
      </x:c>
      <x:c r="E322" s="10" t="s">
        <x:v>33</x:v>
      </x:c>
      <x:c r="F322" s="10">
        <x:v>41</x:v>
      </x:c>
      <x:c r="G322" s="10">
        <x:v>192</x:v>
      </x:c>
      <x:c r="H322" s="22">
        <x:f t="shared" si="4"/>
        <x:v>8676.2941900312489</x:v>
      </x:c>
      <x:c r="I322" s="22">
        <x:v>1665848.4844859999</x:v>
      </x:c>
      <x:c r="J322" s="10">
        <x:v>17</x:v>
      </x:c>
      <x:c r="K322" s="10">
        <x:v>4</x:v>
      </x:c>
    </x:row>
    <x:row r="323">
      <x:c r="A323" s="10" t="s">
        <x:v>60</x:v>
      </x:c>
      <x:c r="B323" s="10">
        <x:v>10864</x:v>
      </x:c>
      <x:c r="C323" s="10">
        <x:v>13771</x:v>
      </x:c>
      <x:c r="D323" s="10" t="s">
        <x:v>9</x:v>
      </x:c>
      <x:c r="E323" s="10" t="s">
        <x:v>33</x:v>
      </x:c>
      <x:c r="F323" s="10">
        <x:v>43</x:v>
      </x:c>
      <x:c r="G323" s="10">
        <x:v>184</x:v>
      </x:c>
      <x:c r="H323" s="22" t="n">
        <x:f t="shared" ref="H323:H386" si="5">I323/G323</x:f>
        <x:v>9053.52437220652</x:v>
      </x:c>
      <x:c r="I323" s="22">
        <x:v>1665848.4844859999</x:v>
      </x:c>
      <x:c r="J323" s="10">
        <x:v>17</x:v>
      </x:c>
      <x:c r="K323" s="10">
        <x:v>5</x:v>
      </x:c>
    </x:row>
    <x:row r="324">
      <x:c r="A324" s="10" t="s">
        <x:v>60</x:v>
      </x:c>
      <x:c r="B324" s="10">
        <x:v>10867</x:v>
      </x:c>
      <x:c r="C324" s="10">
        <x:v>13772</x:v>
      </x:c>
      <x:c r="D324" s="10" t="s">
        <x:v>9</x:v>
      </x:c>
      <x:c r="E324" s="10" t="s">
        <x:v>33</x:v>
      </x:c>
      <x:c r="F324" s="10">
        <x:v>42</x:v>
      </x:c>
      <x:c r="G324" s="10">
        <x:v>190</x:v>
      </x:c>
      <x:c r="H324" s="22">
        <x:f t="shared" si="5"/>
        <x:v>8767.6236025578946</x:v>
      </x:c>
      <x:c r="I324" s="22">
        <x:v>1665848.4844859999</x:v>
      </x:c>
      <x:c r="J324" s="10">
        <x:v>17</x:v>
      </x:c>
      <x:c r="K324" s="10">
        <x:v>6</x:v>
      </x:c>
    </x:row>
    <x:row r="325">
      <x:c r="A325" s="10" t="s">
        <x:v>60</x:v>
      </x:c>
      <x:c r="B325" s="10">
        <x:v>10853</x:v>
      </x:c>
      <x:c r="C325" s="10">
        <x:v>13773</x:v>
      </x:c>
      <x:c r="D325" s="10" t="s">
        <x:v>9</x:v>
      </x:c>
      <x:c r="E325" s="10" t="s">
        <x:v>33</x:v>
      </x:c>
      <x:c r="F325" s="10">
        <x:v>43</x:v>
      </x:c>
      <x:c r="G325" s="10">
        <x:v>185</x:v>
      </x:c>
      <x:c r="H325" s="22">
        <x:f t="shared" si="5"/>
        <x:v>9004.5864026270265</x:v>
      </x:c>
      <x:c r="I325" s="22">
        <x:v>1665848.4844859999</x:v>
      </x:c>
      <x:c r="J325" s="10">
        <x:v>17</x:v>
      </x:c>
      <x:c r="K325" s="10">
        <x:v>7</x:v>
      </x:c>
    </x:row>
    <x:row r="326">
      <x:c r="A326" s="10" t="s">
        <x:v>60</x:v>
      </x:c>
      <x:c r="B326" s="10">
        <x:v>10861</x:v>
      </x:c>
      <x:c r="C326" s="10">
        <x:v>13774</x:v>
      </x:c>
      <x:c r="D326" s="10" t="s">
        <x:v>9</x:v>
      </x:c>
      <x:c r="E326" s="10" t="s">
        <x:v>33</x:v>
      </x:c>
      <x:c r="F326" s="10">
        <x:v>39</x:v>
      </x:c>
      <x:c r="G326" s="10">
        <x:v>182</x:v>
      </x:c>
      <x:c r="H326" s="22">
        <x:f t="shared" si="5"/>
        <x:v>9153.0136510219781</x:v>
      </x:c>
      <x:c r="I326" s="22">
        <x:v>1665848.4844859999</x:v>
      </x:c>
      <x:c r="J326" s="10">
        <x:v>17</x:v>
      </x:c>
      <x:c r="K326" s="10">
        <x:v>8</x:v>
      </x:c>
    </x:row>
    <x:row r="327">
      <x:c r="A327" s="10" t="s">
        <x:v>60</x:v>
      </x:c>
      <x:c r="B327" s="10">
        <x:v>10870</x:v>
      </x:c>
      <x:c r="C327" s="10">
        <x:v>13775</x:v>
      </x:c>
      <x:c r="D327" s="10" t="s">
        <x:v>9</x:v>
      </x:c>
      <x:c r="E327" s="10" t="s">
        <x:v>33</x:v>
      </x:c>
      <x:c r="F327" s="10">
        <x:v>37</x:v>
      </x:c>
      <x:c r="G327" s="10">
        <x:v>191</x:v>
      </x:c>
      <x:c r="H327" s="22">
        <x:f t="shared" si="5"/>
        <x:v>8721.7198140628261</x:v>
      </x:c>
      <x:c r="I327" s="22">
        <x:v>1665848.4844859999</x:v>
      </x:c>
      <x:c r="J327" s="10">
        <x:v>17</x:v>
      </x:c>
      <x:c r="K327" s="10">
        <x:v>9</x:v>
      </x:c>
    </x:row>
    <x:row r="328">
      <x:c r="A328" s="10" t="s">
        <x:v>60</x:v>
      </x:c>
      <x:c r="B328" s="10">
        <x:v>10878</x:v>
      </x:c>
      <x:c r="C328" s="10">
        <x:v>13776</x:v>
      </x:c>
      <x:c r="D328" s="10" t="s">
        <x:v>9</x:v>
      </x:c>
      <x:c r="E328" s="10" t="s">
        <x:v>33</x:v>
      </x:c>
      <x:c r="F328" s="10">
        <x:v>36</x:v>
      </x:c>
      <x:c r="G328" s="10">
        <x:v>197</x:v>
      </x:c>
      <x:c r="H328" s="22">
        <x:f t="shared" si="5"/>
        <x:v>8456.0836775939079</x:v>
      </x:c>
      <x:c r="I328" s="22">
        <x:v>1665848.4844859999</x:v>
      </x:c>
      <x:c r="J328" s="10">
        <x:v>17</x:v>
      </x:c>
      <x:c r="K328" s="10">
        <x:v>10</x:v>
      </x:c>
    </x:row>
    <x:row r="329">
      <x:c r="A329" s="10" t="s">
        <x:v>60</x:v>
      </x:c>
      <x:c r="B329" s="10">
        <x:v>10498</x:v>
      </x:c>
      <x:c r="C329" s="10">
        <x:v>13777</x:v>
      </x:c>
      <x:c r="D329" s="10" t="s">
        <x:v>9</x:v>
      </x:c>
      <x:c r="E329" s="10" t="s">
        <x:v>33</x:v>
      </x:c>
      <x:c r="F329" s="10">
        <x:v>41</x:v>
      </x:c>
      <x:c r="G329" s="10">
        <x:v>180</x:v>
      </x:c>
      <x:c r="H329" s="22">
        <x:f t="shared" si="5"/>
        <x:v>9254.7138027000001</x:v>
      </x:c>
      <x:c r="I329" s="22">
        <x:v>1665848.4844859999</x:v>
      </x:c>
      <x:c r="J329" s="10">
        <x:v>17</x:v>
      </x:c>
      <x:c r="K329" s="10">
        <x:v>11</x:v>
      </x:c>
    </x:row>
    <x:row r="330">
      <x:c r="A330" s="10" t="s">
        <x:v>60</x:v>
      </x:c>
      <x:c r="B330" s="10">
        <x:v>10869</x:v>
      </x:c>
      <x:c r="C330" s="10">
        <x:v>13778</x:v>
      </x:c>
      <x:c r="D330" s="10" t="s">
        <x:v>9</x:v>
      </x:c>
      <x:c r="E330" s="10" t="s">
        <x:v>33</x:v>
      </x:c>
      <x:c r="F330" s="10">
        <x:v>44</x:v>
      </x:c>
      <x:c r="G330" s="10">
        <x:v>190</x:v>
      </x:c>
      <x:c r="H330" s="22">
        <x:f t="shared" si="5"/>
        <x:v>8767.6236025578946</x:v>
      </x:c>
      <x:c r="I330" s="22">
        <x:v>1665848.4844859999</x:v>
      </x:c>
      <x:c r="J330" s="10">
        <x:v>17</x:v>
      </x:c>
      <x:c r="K330" s="10">
        <x:v>12</x:v>
      </x:c>
    </x:row>
    <x:row r="331">
      <x:c r="A331" s="10" t="s">
        <x:v>60</x:v>
      </x:c>
      <x:c r="B331" s="10">
        <x:v>10872</x:v>
      </x:c>
      <x:c r="C331" s="10">
        <x:v>13779</x:v>
      </x:c>
      <x:c r="D331" s="10" t="s">
        <x:v>9</x:v>
      </x:c>
      <x:c r="E331" s="10" t="s">
        <x:v>33</x:v>
      </x:c>
      <x:c r="F331" s="10">
        <x:v>40</x:v>
      </x:c>
      <x:c r="G331" s="10">
        <x:v>185</x:v>
      </x:c>
      <x:c r="H331" s="22">
        <x:f t="shared" si="5"/>
        <x:v>9004.5864026270265</x:v>
      </x:c>
      <x:c r="I331" s="22">
        <x:v>1665848.4844859999</x:v>
      </x:c>
      <x:c r="J331" s="10">
        <x:v>17</x:v>
      </x:c>
      <x:c r="K331" s="10">
        <x:v>13</x:v>
      </x:c>
    </x:row>
    <x:row r="332">
      <x:c r="A332" s="10" t="s">
        <x:v>60</x:v>
      </x:c>
      <x:c r="B332" s="10">
        <x:v>10479</x:v>
      </x:c>
      <x:c r="C332" s="10">
        <x:v>13780</x:v>
      </x:c>
      <x:c r="D332" s="10" t="s">
        <x:v>9</x:v>
      </x:c>
      <x:c r="E332" s="10" t="s">
        <x:v>33</x:v>
      </x:c>
      <x:c r="F332" s="10">
        <x:v>41</x:v>
      </x:c>
      <x:c r="G332" s="10">
        <x:v>194</x:v>
      </x:c>
      <x:c r="H332" s="22">
        <x:f t="shared" si="5"/>
        <x:v>8535.3014664226794</x:v>
      </x:c>
      <x:c r="I332" s="22">
        <x:v>1655848.4844859999</x:v>
      </x:c>
      <x:c r="J332" s="10">
        <x:v>17</x:v>
      </x:c>
      <x:c r="K332" s="10">
        <x:v>14</x:v>
      </x:c>
    </x:row>
    <x:row r="333">
      <x:c r="A333" s="10" t="s">
        <x:v>60</x:v>
      </x:c>
      <x:c r="B333" s="10">
        <x:v>10505</x:v>
      </x:c>
      <x:c r="C333" s="10">
        <x:v>13781</x:v>
      </x:c>
      <x:c r="D333" s="10" t="s">
        <x:v>9</x:v>
      </x:c>
      <x:c r="E333" s="10" t="s">
        <x:v>33</x:v>
      </x:c>
      <x:c r="F333" s="10">
        <x:v>35</x:v>
      </x:c>
      <x:c r="G333" s="10">
        <x:v>192</x:v>
      </x:c>
      <x:c r="H333" s="22">
        <x:f t="shared" si="5"/>
        <x:v>8676.2941900312489</x:v>
      </x:c>
      <x:c r="I333" s="22">
        <x:v>1665848.4844859999</x:v>
      </x:c>
      <x:c r="J333" s="10">
        <x:v>17</x:v>
      </x:c>
      <x:c r="K333" s="10">
        <x:v>15</x:v>
      </x:c>
    </x:row>
    <x:row r="334">
      <x:c r="A334" s="10" t="s">
        <x:v>60</x:v>
      </x:c>
      <x:c r="B334" s="10">
        <x:v>10503</x:v>
      </x:c>
      <x:c r="C334" s="10">
        <x:v>13782</x:v>
      </x:c>
      <x:c r="D334" s="10" t="s">
        <x:v>9</x:v>
      </x:c>
      <x:c r="E334" s="10" t="s">
        <x:v>33</x:v>
      </x:c>
      <x:c r="F334" s="10">
        <x:v>35</x:v>
      </x:c>
      <x:c r="G334" s="10">
        <x:v>183</x:v>
      </x:c>
      <x:c r="H334" s="22">
        <x:f t="shared" si="5"/>
        <x:v>9102.9971829836068</x:v>
      </x:c>
      <x:c r="I334" s="22">
        <x:v>1665848.4844859999</x:v>
      </x:c>
      <x:c r="J334" s="10">
        <x:v>17</x:v>
      </x:c>
      <x:c r="K334" s="10">
        <x:v>16</x:v>
      </x:c>
    </x:row>
    <x:row r="335">
      <x:c r="A335" s="10" t="s">
        <x:v>60</x:v>
      </x:c>
      <x:c r="B335" s="10">
        <x:v>10480</x:v>
      </x:c>
      <x:c r="C335" s="10">
        <x:v>13783</x:v>
      </x:c>
      <x:c r="D335" s="10" t="s">
        <x:v>9</x:v>
      </x:c>
      <x:c r="E335" s="10" t="s">
        <x:v>33</x:v>
      </x:c>
      <x:c r="F335" s="10">
        <x:v>41</x:v>
      </x:c>
      <x:c r="G335" s="10">
        <x:v>193</x:v>
      </x:c>
      <x:c r="H335" s="22">
        <x:f t="shared" si="5"/>
        <x:v>8631.3392978549218</x:v>
      </x:c>
      <x:c r="I335" s="22">
        <x:v>1665848.4844859999</x:v>
      </x:c>
      <x:c r="J335" s="10">
        <x:v>17</x:v>
      </x:c>
      <x:c r="K335" s="10">
        <x:v>17</x:v>
      </x:c>
    </x:row>
    <x:row r="336">
      <x:c r="A336" s="10" t="s">
        <x:v>60</x:v>
      </x:c>
      <x:c r="B336" s="10">
        <x:v>10866</x:v>
      </x:c>
      <x:c r="C336" s="10">
        <x:v>13784</x:v>
      </x:c>
      <x:c r="D336" s="10" t="s">
        <x:v>9</x:v>
      </x:c>
      <x:c r="E336" s="10" t="s">
        <x:v>33</x:v>
      </x:c>
      <x:c r="F336" s="10">
        <x:v>40</x:v>
      </x:c>
      <x:c r="G336" s="10">
        <x:v>192</x:v>
      </x:c>
      <x:c r="H336" s="22">
        <x:f t="shared" si="5"/>
        <x:v>8676.2941900312489</x:v>
      </x:c>
      <x:c r="I336" s="22">
        <x:v>1665848.4844859999</x:v>
      </x:c>
      <x:c r="J336" s="10">
        <x:v>17</x:v>
      </x:c>
      <x:c r="K336" s="10">
        <x:v>18</x:v>
      </x:c>
    </x:row>
    <x:row r="337">
      <x:c r="A337" s="10" t="s">
        <x:v>60</x:v>
      </x:c>
      <x:c r="B337" s="10">
        <x:v>10482</x:v>
      </x:c>
      <x:c r="C337" s="10">
        <x:v>13785</x:v>
      </x:c>
      <x:c r="D337" s="10" t="s">
        <x:v>9</x:v>
      </x:c>
      <x:c r="E337" s="10" t="s">
        <x:v>33</x:v>
      </x:c>
      <x:c r="F337" s="10">
        <x:v>41</x:v>
      </x:c>
      <x:c r="G337" s="10">
        <x:v>182</x:v>
      </x:c>
      <x:c r="H337" s="22">
        <x:f t="shared" si="5"/>
        <x:v>9153.0136510219781</x:v>
      </x:c>
      <x:c r="I337" s="22">
        <x:v>1665848.4844859999</x:v>
      </x:c>
      <x:c r="J337" s="10">
        <x:v>17</x:v>
      </x:c>
      <x:c r="K337" s="10">
        <x:v>19</x:v>
      </x:c>
    </x:row>
    <x:row r="338">
      <x:c r="A338" s="10" t="s">
        <x:v>60</x:v>
      </x:c>
      <x:c r="B338" s="10">
        <x:v>10877</x:v>
      </x:c>
      <x:c r="C338" s="10">
        <x:v>13786</x:v>
      </x:c>
      <x:c r="D338" s="10" t="s">
        <x:v>9</x:v>
      </x:c>
      <x:c r="E338" s="10" t="s">
        <x:v>33</x:v>
      </x:c>
      <x:c r="F338" s="10">
        <x:v>36</x:v>
      </x:c>
      <x:c r="G338" s="10">
        <x:v>192</x:v>
      </x:c>
      <x:c r="H338" s="22">
        <x:f t="shared" si="5"/>
        <x:v>8676.2941900312489</x:v>
      </x:c>
      <x:c r="I338" s="22">
        <x:v>1665848.4844859999</x:v>
      </x:c>
      <x:c r="J338" s="10">
        <x:v>17</x:v>
      </x:c>
      <x:c r="K338" s="10">
        <x:v>20</x:v>
      </x:c>
    </x:row>
    <x:row r="339">
      <x:c r="A339" s="10" t="s">
        <x:v>60</x:v>
      </x:c>
      <x:c r="B339" s="10">
        <x:v>10876</x:v>
      </x:c>
      <x:c r="C339" s="10">
        <x:v>13787</x:v>
      </x:c>
      <x:c r="D339" s="10" t="s">
        <x:v>9</x:v>
      </x:c>
      <x:c r="E339" s="10" t="s">
        <x:v>33</x:v>
      </x:c>
      <x:c r="F339" s="10">
        <x:v>37</x:v>
      </x:c>
      <x:c r="G339" s="10">
        <x:v>185</x:v>
      </x:c>
      <x:c r="H339" s="22">
        <x:f t="shared" si="5"/>
        <x:v>9004.5864026270265</x:v>
      </x:c>
      <x:c r="I339" s="22">
        <x:v>1665848.4844859999</x:v>
      </x:c>
      <x:c r="J339" s="10">
        <x:v>18</x:v>
      </x:c>
      <x:c r="K339" s="10">
        <x:v>1</x:v>
      </x:c>
    </x:row>
    <x:row r="340">
      <x:c r="A340" s="10" t="s">
        <x:v>60</x:v>
      </x:c>
      <x:c r="B340" s="10">
        <x:v>10767</x:v>
      </x:c>
      <x:c r="C340" s="10">
        <x:v>13788</x:v>
      </x:c>
      <x:c r="D340" s="10" t="s">
        <x:v>6</x:v>
      </x:c>
      <x:c r="E340" s="10" t="s">
        <x:v>20</x:v>
      </x:c>
      <x:c r="F340" s="10">
        <x:v>50</x:v>
      </x:c>
      <x:c r="G340" s="10">
        <x:v>182</x:v>
      </x:c>
      <x:c r="H340" s="22">
        <x:f t="shared" si="5"/>
        <x:v>9153.0136510219781</x:v>
      </x:c>
      <x:c r="I340" s="22">
        <x:v>1665848.4844859999</x:v>
      </x:c>
      <x:c r="J340" s="10">
        <x:v>18</x:v>
      </x:c>
      <x:c r="K340" s="10">
        <x:v>2</x:v>
      </x:c>
    </x:row>
    <x:row r="341">
      <x:c r="A341" s="10" t="s">
        <x:v>60</x:v>
      </x:c>
      <x:c r="B341" s="10">
        <x:v>10695</x:v>
      </x:c>
      <x:c r="C341" s="10">
        <x:v>13789</x:v>
      </x:c>
      <x:c r="D341" s="10" t="s">
        <x:v>9</x:v>
      </x:c>
      <x:c r="E341" s="10" t="s">
        <x:v>33</x:v>
      </x:c>
      <x:c r="F341" s="10">
        <x:v>41</x:v>
      </x:c>
      <x:c r="G341" s="10">
        <x:v>182</x:v>
      </x:c>
      <x:c r="H341" s="22">
        <x:f t="shared" si="5"/>
        <x:v>9153.0136510219781</x:v>
      </x:c>
      <x:c r="I341" s="22">
        <x:v>1665848.4844859999</x:v>
      </x:c>
      <x:c r="J341" s="10">
        <x:v>18</x:v>
      </x:c>
      <x:c r="K341" s="10">
        <x:v>3</x:v>
      </x:c>
    </x:row>
    <x:row r="342">
      <x:c r="A342" s="10" t="s">
        <x:v>60</x:v>
      </x:c>
      <x:c r="B342" s="10">
        <x:v>10879</x:v>
      </x:c>
      <x:c r="C342" s="10">
        <x:v>13790</x:v>
      </x:c>
      <x:c r="D342" s="10" t="s">
        <x:v>9</x:v>
      </x:c>
      <x:c r="E342" s="10" t="s">
        <x:v>33</x:v>
      </x:c>
      <x:c r="F342" s="10">
        <x:v>39</x:v>
      </x:c>
      <x:c r="G342" s="10">
        <x:v>190</x:v>
      </x:c>
      <x:c r="H342" s="22">
        <x:f t="shared" si="5"/>
        <x:v>8767.6236025578946</x:v>
      </x:c>
      <x:c r="I342" s="22">
        <x:v>1665848.4844859999</x:v>
      </x:c>
      <x:c r="J342" s="10">
        <x:v>18</x:v>
      </x:c>
      <x:c r="K342" s="10">
        <x:v>4</x:v>
      </x:c>
    </x:row>
    <x:row r="343">
      <x:c r="A343" s="10" t="s">
        <x:v>60</x:v>
      </x:c>
      <x:c r="B343" s="10">
        <x:v>10670</x:v>
      </x:c>
      <x:c r="C343" s="10">
        <x:v>13791</x:v>
      </x:c>
      <x:c r="D343" s="10" t="s">
        <x:v>9</x:v>
      </x:c>
      <x:c r="E343" s="10" t="s">
        <x:v>33</x:v>
      </x:c>
      <x:c r="F343" s="10">
        <x:v>40</x:v>
      </x:c>
      <x:c r="G343" s="10">
        <x:v>182</x:v>
      </x:c>
      <x:c r="H343" s="22">
        <x:f t="shared" si="5"/>
        <x:v>9153.0136510219781</x:v>
      </x:c>
      <x:c r="I343" s="22">
        <x:v>1665848.4844859999</x:v>
      </x:c>
      <x:c r="J343" s="10">
        <x:v>18</x:v>
      </x:c>
      <x:c r="K343" s="10">
        <x:v>5</x:v>
      </x:c>
    </x:row>
    <x:row r="344">
      <x:c r="A344" s="10" t="s">
        <x:v>60</x:v>
      </x:c>
      <x:c r="B344" s="10">
        <x:v>10682</x:v>
      </x:c>
      <x:c r="C344" s="10">
        <x:v>13792</x:v>
      </x:c>
      <x:c r="D344" s="10" t="s">
        <x:v>9</x:v>
      </x:c>
      <x:c r="E344" s="10" t="s">
        <x:v>33</x:v>
      </x:c>
      <x:c r="F344" s="10">
        <x:v>40</x:v>
      </x:c>
      <x:c r="G344" s="10">
        <x:v>182</x:v>
      </x:c>
      <x:c r="H344" s="22">
        <x:f t="shared" si="5"/>
        <x:v>9153.0136510219781</x:v>
      </x:c>
      <x:c r="I344" s="22">
        <x:v>1665848.4844859999</x:v>
      </x:c>
      <x:c r="J344" s="10">
        <x:v>18</x:v>
      </x:c>
      <x:c r="K344" s="10">
        <x:v>6</x:v>
      </x:c>
    </x:row>
    <x:row r="345">
      <x:c r="A345" s="10" t="s">
        <x:v>60</x:v>
      </x:c>
      <x:c r="B345" s="10">
        <x:v>10672</x:v>
      </x:c>
      <x:c r="C345" s="10">
        <x:v>13793</x:v>
      </x:c>
      <x:c r="D345" s="10" t="s">
        <x:v>9</x:v>
      </x:c>
      <x:c r="E345" s="10" t="s">
        <x:v>33</x:v>
      </x:c>
      <x:c r="F345" s="10">
        <x:v>40</x:v>
      </x:c>
      <x:c r="G345" s="10">
        <x:v>182</x:v>
      </x:c>
      <x:c r="H345" s="22">
        <x:f t="shared" si="5"/>
        <x:v>9153.0136510219781</x:v>
      </x:c>
      <x:c r="I345" s="22">
        <x:v>1665848.4844859999</x:v>
      </x:c>
      <x:c r="J345" s="10">
        <x:v>18</x:v>
      </x:c>
      <x:c r="K345" s="10">
        <x:v>7</x:v>
      </x:c>
    </x:row>
    <x:row r="346">
      <x:c r="A346" s="10" t="s">
        <x:v>60</x:v>
      </x:c>
      <x:c r="B346" s="10">
        <x:v>10685</x:v>
      </x:c>
      <x:c r="C346" s="10">
        <x:v>13794</x:v>
      </x:c>
      <x:c r="D346" s="10" t="s">
        <x:v>9</x:v>
      </x:c>
      <x:c r="E346" s="10" t="s">
        <x:v>33</x:v>
      </x:c>
      <x:c r="F346" s="10">
        <x:v>40</x:v>
      </x:c>
      <x:c r="G346" s="10">
        <x:v>182</x:v>
      </x:c>
      <x:c r="H346" s="22">
        <x:f t="shared" si="5"/>
        <x:v>9153.0136510219781</x:v>
      </x:c>
      <x:c r="I346" s="22">
        <x:v>1665848.4844859999</x:v>
      </x:c>
      <x:c r="J346" s="10">
        <x:v>18</x:v>
      </x:c>
      <x:c r="K346" s="10">
        <x:v>8</x:v>
      </x:c>
    </x:row>
    <x:row r="347">
      <x:c r="A347" s="10" t="s">
        <x:v>60</x:v>
      </x:c>
      <x:c r="B347" s="10">
        <x:v>10669</x:v>
      </x:c>
      <x:c r="C347" s="10">
        <x:v>13795</x:v>
      </x:c>
      <x:c r="D347" s="10" t="s">
        <x:v>9</x:v>
      </x:c>
      <x:c r="E347" s="10" t="s">
        <x:v>33</x:v>
      </x:c>
      <x:c r="F347" s="10">
        <x:v>40</x:v>
      </x:c>
      <x:c r="G347" s="10">
        <x:v>184</x:v>
      </x:c>
      <x:c r="H347" s="22">
        <x:f t="shared" si="5"/>
        <x:v>9053.5243722065206</x:v>
      </x:c>
      <x:c r="I347" s="22">
        <x:v>1665848.4844859999</x:v>
      </x:c>
      <x:c r="J347" s="10">
        <x:v>18</x:v>
      </x:c>
      <x:c r="K347" s="10">
        <x:v>9</x:v>
      </x:c>
    </x:row>
    <x:row r="348">
      <x:c r="A348" s="10" t="s">
        <x:v>60</x:v>
      </x:c>
      <x:c r="B348" s="10">
        <x:v>10668</x:v>
      </x:c>
      <x:c r="C348" s="10">
        <x:v>13796</x:v>
      </x:c>
      <x:c r="D348" s="10" t="s">
        <x:v>9</x:v>
      </x:c>
      <x:c r="E348" s="10" t="s">
        <x:v>33</x:v>
      </x:c>
      <x:c r="F348" s="10">
        <x:v>42</x:v>
      </x:c>
      <x:c r="G348" s="10">
        <x:v>188</x:v>
      </x:c>
      <x:c r="H348" s="22">
        <x:f t="shared" si="5"/>
        <x:v>8860.8961940744684</x:v>
      </x:c>
      <x:c r="I348" s="22">
        <x:v>1665848.4844859999</x:v>
      </x:c>
      <x:c r="J348" s="10">
        <x:v>18</x:v>
      </x:c>
      <x:c r="K348" s="10">
        <x:v>10</x:v>
      </x:c>
    </x:row>
    <x:row r="349">
      <x:c r="A349" s="10" t="s">
        <x:v>60</x:v>
      </x:c>
      <x:c r="B349" s="10">
        <x:v>10671</x:v>
      </x:c>
      <x:c r="C349" s="10">
        <x:v>13797</x:v>
      </x:c>
      <x:c r="D349" s="10" t="s">
        <x:v>9</x:v>
      </x:c>
      <x:c r="E349" s="10" t="s">
        <x:v>33</x:v>
      </x:c>
      <x:c r="F349" s="10">
        <x:v>40</x:v>
      </x:c>
      <x:c r="G349" s="10">
        <x:v>183</x:v>
      </x:c>
      <x:c r="H349" s="22">
        <x:f t="shared" si="5"/>
        <x:v>9102.9971829836068</x:v>
      </x:c>
      <x:c r="I349" s="22">
        <x:v>1665848.4844859999</x:v>
      </x:c>
      <x:c r="J349" s="10">
        <x:v>18</x:v>
      </x:c>
      <x:c r="K349" s="10">
        <x:v>11</x:v>
      </x:c>
    </x:row>
    <x:row r="350">
      <x:c r="A350" s="10" t="s">
        <x:v>60</x:v>
      </x:c>
      <x:c r="B350" s="10">
        <x:v>9047</x:v>
      </x:c>
      <x:c r="C350" s="10">
        <x:v>13798</x:v>
      </x:c>
      <x:c r="D350" s="10" t="s">
        <x:v>9</x:v>
      </x:c>
      <x:c r="E350" s="10" t="s">
        <x:v>9</x:v>
      </x:c>
      <x:c r="F350" s="10">
        <x:v>22</x:v>
      </x:c>
      <x:c r="G350" s="10">
        <x:v>94</x:v>
      </x:c>
      <x:c r="H350" s="22">
        <x:f t="shared" si="5"/>
        <x:v>9000</x:v>
      </x:c>
      <x:c r="I350" s="22">
        <x:v>846000</x:v>
      </x:c>
      <x:c r="J350" s="10">
        <x:v>18</x:v>
      </x:c>
      <x:c r="K350" s="10">
        <x:v>12</x:v>
      </x:c>
    </x:row>
    <x:row r="351">
      <x:c r="A351" s="10" t="s">
        <x:v>60</x:v>
      </x:c>
      <x:c r="B351" s="10">
        <x:v>9048</x:v>
      </x:c>
      <x:c r="C351" s="10">
        <x:v>13799</x:v>
      </x:c>
      <x:c r="D351" s="10" t="s">
        <x:v>9</x:v>
      </x:c>
      <x:c r="E351" s="10" t="s">
        <x:v>9</x:v>
      </x:c>
      <x:c r="F351" s="10">
        <x:v>16</x:v>
      </x:c>
      <x:c r="G351" s="10">
        <x:v>94</x:v>
      </x:c>
      <x:c r="H351" s="22">
        <x:f t="shared" si="5"/>
        <x:v>9000</x:v>
      </x:c>
      <x:c r="I351" s="22">
        <x:v>846000</x:v>
      </x:c>
      <x:c r="J351" s="10">
        <x:v>18</x:v>
      </x:c>
      <x:c r="K351" s="10">
        <x:v>13</x:v>
      </x:c>
    </x:row>
    <x:row r="352">
      <x:c r="A352" s="10" t="s">
        <x:v>60</x:v>
      </x:c>
      <x:c r="B352" s="10">
        <x:v>9049</x:v>
      </x:c>
      <x:c r="C352" s="10">
        <x:v>13800</x:v>
      </x:c>
      <x:c r="D352" s="10" t="s">
        <x:v>9</x:v>
      </x:c>
      <x:c r="E352" s="10" t="s">
        <x:v>9</x:v>
      </x:c>
      <x:c r="F352" s="10">
        <x:v>36</x:v>
      </x:c>
      <x:c r="G352" s="10">
        <x:v>197</x:v>
      </x:c>
      <x:c r="H352" s="22">
        <x:f t="shared" si="5"/>
        <x:v>9000</x:v>
      </x:c>
      <x:c r="I352" s="22">
        <x:v>1773000</x:v>
      </x:c>
      <x:c r="J352" s="10">
        <x:v>18</x:v>
      </x:c>
      <x:c r="K352" s="10">
        <x:v>14</x:v>
      </x:c>
    </x:row>
    <x:row r="353">
      <x:c r="A353" s="10" t="s">
        <x:v>60</x:v>
      </x:c>
      <x:c r="B353" s="10">
        <x:v>9007</x:v>
      </x:c>
      <x:c r="C353" s="10">
        <x:v>13801</x:v>
      </x:c>
      <x:c r="D353" s="10" t="s">
        <x:v>9</x:v>
      </x:c>
      <x:c r="E353" s="10" t="s">
        <x:v>9</x:v>
      </x:c>
      <x:c r="F353" s="10">
        <x:v>18</x:v>
      </x:c>
      <x:c r="G353" s="10">
        <x:v>89</x:v>
      </x:c>
      <x:c r="H353" s="22">
        <x:f t="shared" si="5"/>
        <x:v>9000</x:v>
      </x:c>
      <x:c r="I353" s="22">
        <x:v>801000</x:v>
      </x:c>
      <x:c r="J353" s="10">
        <x:v>18</x:v>
      </x:c>
      <x:c r="K353" s="10">
        <x:v>15</x:v>
      </x:c>
    </x:row>
    <x:row r="354">
      <x:c r="A354" s="10" t="s">
        <x:v>60</x:v>
      </x:c>
      <x:c r="B354" s="10">
        <x:v>9034</x:v>
      </x:c>
      <x:c r="C354" s="10">
        <x:v>13802</x:v>
      </x:c>
      <x:c r="D354" s="10" t="s">
        <x:v>9</x:v>
      </x:c>
      <x:c r="E354" s="10" t="s">
        <x:v>9</x:v>
      </x:c>
      <x:c r="F354" s="10">
        <x:v>49</x:v>
      </x:c>
      <x:c r="G354" s="10">
        <x:v>188</x:v>
      </x:c>
      <x:c r="H354" s="22">
        <x:f t="shared" si="5"/>
        <x:v>9000</x:v>
      </x:c>
      <x:c r="I354" s="22">
        <x:v>1692000</x:v>
      </x:c>
      <x:c r="J354" s="10">
        <x:v>18</x:v>
      </x:c>
      <x:c r="K354" s="10">
        <x:v>16</x:v>
      </x:c>
    </x:row>
    <x:row r="355">
      <x:c r="A355" s="10" t="s">
        <x:v>60</x:v>
      </x:c>
      <x:c r="B355" s="10">
        <x:v>10673</x:v>
      </x:c>
      <x:c r="C355" s="10">
        <x:v>13803</x:v>
      </x:c>
      <x:c r="D355" s="10" t="s">
        <x:v>9</x:v>
      </x:c>
      <x:c r="E355" s="10" t="s">
        <x:v>33</x:v>
      </x:c>
      <x:c r="F355" s="10">
        <x:v>40</x:v>
      </x:c>
      <x:c r="G355" s="10">
        <x:v>182</x:v>
      </x:c>
      <x:c r="H355" s="22">
        <x:f t="shared" si="5"/>
        <x:v>9153.0136510219781</x:v>
      </x:c>
      <x:c r="I355" s="22">
        <x:v>1665848.4844859999</x:v>
      </x:c>
      <x:c r="J355" s="10">
        <x:v>18</x:v>
      </x:c>
      <x:c r="K355" s="10">
        <x:v>17</x:v>
      </x:c>
    </x:row>
    <x:row r="356">
      <x:c r="A356" s="10" t="s">
        <x:v>60</x:v>
      </x:c>
      <x:c r="B356" s="10">
        <x:v>10674</x:v>
      </x:c>
      <x:c r="C356" s="10">
        <x:v>13804</x:v>
      </x:c>
      <x:c r="D356" s="10" t="s">
        <x:v>9</x:v>
      </x:c>
      <x:c r="E356" s="10" t="s">
        <x:v>33</x:v>
      </x:c>
      <x:c r="F356" s="10">
        <x:v>40</x:v>
      </x:c>
      <x:c r="G356" s="10">
        <x:v>183</x:v>
      </x:c>
      <x:c r="H356" s="22">
        <x:f t="shared" si="5"/>
        <x:v>9102.9971829836068</x:v>
      </x:c>
      <x:c r="I356" s="22">
        <x:v>1665848.4844859999</x:v>
      </x:c>
      <x:c r="J356" s="10">
        <x:v>18</x:v>
      </x:c>
      <x:c r="K356" s="10">
        <x:v>18</x:v>
      </x:c>
    </x:row>
    <x:row r="357">
      <x:c r="A357" s="10" t="s">
        <x:v>60</x:v>
      </x:c>
      <x:c r="B357" s="10">
        <x:v>10678</x:v>
      </x:c>
      <x:c r="C357" s="10">
        <x:v>13805</x:v>
      </x:c>
      <x:c r="D357" s="10" t="s">
        <x:v>9</x:v>
      </x:c>
      <x:c r="E357" s="10" t="s">
        <x:v>33</x:v>
      </x:c>
      <x:c r="F357" s="10">
        <x:v>40</x:v>
      </x:c>
      <x:c r="G357" s="10">
        <x:v>182</x:v>
      </x:c>
      <x:c r="H357" s="22">
        <x:f t="shared" si="5"/>
        <x:v>9153.0136510219781</x:v>
      </x:c>
      <x:c r="I357" s="22">
        <x:v>1665848.4844859999</x:v>
      </x:c>
      <x:c r="J357" s="10">
        <x:v>18</x:v>
      </x:c>
      <x:c r="K357" s="10">
        <x:v>19</x:v>
      </x:c>
    </x:row>
    <x:row r="358">
      <x:c r="A358" s="10" t="s">
        <x:v>60</x:v>
      </x:c>
      <x:c r="B358" s="10">
        <x:v>10680</x:v>
      </x:c>
      <x:c r="C358" s="10">
        <x:v>13806</x:v>
      </x:c>
      <x:c r="D358" s="10" t="s">
        <x:v>9</x:v>
      </x:c>
      <x:c r="E358" s="10" t="s">
        <x:v>33</x:v>
      </x:c>
      <x:c r="F358" s="10">
        <x:v>40</x:v>
      </x:c>
      <x:c r="G358" s="10">
        <x:v>182</x:v>
      </x:c>
      <x:c r="H358" s="22">
        <x:f t="shared" si="5"/>
        <x:v>9153.0136510219781</x:v>
      </x:c>
      <x:c r="I358" s="22">
        <x:v>1665848.4844859999</x:v>
      </x:c>
      <x:c r="J358" s="10">
        <x:v>18</x:v>
      </x:c>
      <x:c r="K358" s="10">
        <x:v>20</x:v>
      </x:c>
    </x:row>
    <x:row r="359">
      <x:c r="A359" s="10" t="s">
        <x:v>60</x:v>
      </x:c>
      <x:c r="B359" s="10">
        <x:v>9143</x:v>
      </x:c>
      <x:c r="C359" s="10">
        <x:v>14574</x:v>
      </x:c>
      <x:c r="D359" s="10" t="s">
        <x:v>9</x:v>
      </x:c>
      <x:c r="E359" s="10" t="s">
        <x:v>9</x:v>
      </x:c>
      <x:c r="F359" s="10">
        <x:v>16</x:v>
      </x:c>
      <x:c r="G359" s="10">
        <x:v>80</x:v>
      </x:c>
      <x:c r="H359" s="22">
        <x:f t="shared" si="5"/>
        <x:v>9000</x:v>
      </x:c>
      <x:c r="I359" s="22">
        <x:v>720000</x:v>
      </x:c>
      <x:c r="J359" s="10">
        <x:v>19</x:v>
      </x:c>
      <x:c r="K359" s="10">
        <x:v>1</x:v>
      </x:c>
    </x:row>
    <x:row r="360">
      <x:c r="A360" s="10" t="s">
        <x:v>60</x:v>
      </x:c>
      <x:c r="B360" s="10">
        <x:v>9195</x:v>
      </x:c>
      <x:c r="C360" s="10">
        <x:v>13549</x:v>
      </x:c>
      <x:c r="D360" s="10" t="s">
        <x:v>9</x:v>
      </x:c>
      <x:c r="E360" s="10" t="s">
        <x:v>9</x:v>
      </x:c>
      <x:c r="F360" s="10">
        <x:v>17</x:v>
      </x:c>
      <x:c r="G360" s="10">
        <x:v>84</x:v>
      </x:c>
      <x:c r="H360" s="22">
        <x:f t="shared" si="5"/>
        <x:v>9000</x:v>
      </x:c>
      <x:c r="I360" s="22">
        <x:v>756000</x:v>
      </x:c>
      <x:c r="J360" s="10">
        <x:v>19</x:v>
      </x:c>
      <x:c r="K360" s="10">
        <x:v>2</x:v>
      </x:c>
    </x:row>
    <x:row r="361">
      <x:c r="A361" s="10" t="s">
        <x:v>60</x:v>
      </x:c>
      <x:c r="B361" s="10">
        <x:v>9193</x:v>
      </x:c>
      <x:c r="C361" s="10">
        <x:v>13550</x:v>
      </x:c>
      <x:c r="D361" s="10" t="s">
        <x:v>9</x:v>
      </x:c>
      <x:c r="E361" s="10" t="s">
        <x:v>9</x:v>
      </x:c>
      <x:c r="F361" s="10">
        <x:v>18</x:v>
      </x:c>
      <x:c r="G361" s="10">
        <x:v>86</x:v>
      </x:c>
      <x:c r="H361" s="22">
        <x:f t="shared" si="5"/>
        <x:v>9000</x:v>
      </x:c>
      <x:c r="I361" s="22">
        <x:v>774000</x:v>
      </x:c>
      <x:c r="J361" s="10">
        <x:v>19</x:v>
      </x:c>
      <x:c r="K361" s="10">
        <x:v>3</x:v>
      </x:c>
    </x:row>
    <x:row r="362">
      <x:c r="A362" s="10" t="s">
        <x:v>60</x:v>
      </x:c>
      <x:c r="B362" s="10">
        <x:v>9192</x:v>
      </x:c>
      <x:c r="C362" s="10">
        <x:v>13551</x:v>
      </x:c>
      <x:c r="D362" s="10" t="s">
        <x:v>9</x:v>
      </x:c>
      <x:c r="E362" s="10" t="s">
        <x:v>9</x:v>
      </x:c>
      <x:c r="F362" s="10">
        <x:v>16</x:v>
      </x:c>
      <x:c r="G362" s="10">
        <x:v>82</x:v>
      </x:c>
      <x:c r="H362" s="22">
        <x:f t="shared" si="5"/>
        <x:v>9000</x:v>
      </x:c>
      <x:c r="I362" s="22">
        <x:v>738000</x:v>
      </x:c>
      <x:c r="J362" s="10">
        <x:v>19</x:v>
      </x:c>
      <x:c r="K362" s="10">
        <x:v>4</x:v>
      </x:c>
    </x:row>
    <x:row r="363">
      <x:c r="A363" s="10" t="s">
        <x:v>60</x:v>
      </x:c>
      <x:c r="B363" s="10">
        <x:v>9480</x:v>
      </x:c>
      <x:c r="C363" s="10">
        <x:v>13552</x:v>
      </x:c>
      <x:c r="D363" s="10" t="s">
        <x:v>9</x:v>
      </x:c>
      <x:c r="E363" s="10" t="s">
        <x:v>9</x:v>
      </x:c>
      <x:c r="F363" s="10">
        <x:v>0</x:v>
      </x:c>
      <x:c r="G363" s="10">
        <x:v>100</x:v>
      </x:c>
      <x:c r="H363" s="22">
        <x:f t="shared" si="5"/>
        <x:v>9000</x:v>
      </x:c>
      <x:c r="I363" s="22">
        <x:v>900000</x:v>
      </x:c>
      <x:c r="J363" s="10">
        <x:v>19</x:v>
      </x:c>
      <x:c r="K363" s="10">
        <x:v>5</x:v>
      </x:c>
    </x:row>
    <x:row r="364">
      <x:c r="A364" s="10" t="s">
        <x:v>60</x:v>
      </x:c>
      <x:c r="B364" s="10">
        <x:v>9469</x:v>
      </x:c>
      <x:c r="C364" s="10">
        <x:v>13553</x:v>
      </x:c>
      <x:c r="D364" s="10" t="s">
        <x:v>9</x:v>
      </x:c>
      <x:c r="E364" s="10" t="s">
        <x:v>9</x:v>
      </x:c>
      <x:c r="F364" s="10">
        <x:v>0</x:v>
      </x:c>
      <x:c r="G364" s="10">
        <x:v>102</x:v>
      </x:c>
      <x:c r="H364" s="22">
        <x:f t="shared" si="5"/>
        <x:v>9000</x:v>
      </x:c>
      <x:c r="I364" s="22">
        <x:v>918000</x:v>
      </x:c>
      <x:c r="J364" s="10">
        <x:v>19</x:v>
      </x:c>
      <x:c r="K364" s="10">
        <x:v>6</x:v>
      </x:c>
    </x:row>
    <x:row r="365">
      <x:c r="A365" s="10" t="s">
        <x:v>60</x:v>
      </x:c>
      <x:c r="B365" s="10">
        <x:v>9157</x:v>
      </x:c>
      <x:c r="C365" s="10">
        <x:v>13554</x:v>
      </x:c>
      <x:c r="D365" s="10" t="s">
        <x:v>9</x:v>
      </x:c>
      <x:c r="E365" s="10" t="s">
        <x:v>9</x:v>
      </x:c>
      <x:c r="F365" s="10">
        <x:v>40</x:v>
      </x:c>
      <x:c r="G365" s="10">
        <x:v>203</x:v>
      </x:c>
      <x:c r="H365" s="22">
        <x:f t="shared" si="5"/>
        <x:v>9000</x:v>
      </x:c>
      <x:c r="I365" s="22">
        <x:v>1827000</x:v>
      </x:c>
      <x:c r="J365" s="10">
        <x:v>19</x:v>
      </x:c>
      <x:c r="K365" s="10">
        <x:v>7</x:v>
      </x:c>
    </x:row>
    <x:row r="366">
      <x:c r="A366" s="10" t="s">
        <x:v>60</x:v>
      </x:c>
      <x:c r="B366" s="10">
        <x:v>10933</x:v>
      </x:c>
      <x:c r="C366" s="10">
        <x:v>13555</x:v>
      </x:c>
      <x:c r="D366" s="10" t="s">
        <x:v>6</x:v>
      </x:c>
      <x:c r="E366" s="10" t="s">
        <x:v>26</x:v>
      </x:c>
      <x:c r="F366" s="10">
        <x:v>0</x:v>
      </x:c>
      <x:c r="G366" s="10">
        <x:v>182</x:v>
      </x:c>
      <x:c r="H366" s="22">
        <x:f t="shared" si="5"/>
        <x:v>9153.0136510219781</x:v>
      </x:c>
      <x:c r="I366" s="22">
        <x:v>1665848.4844859999</x:v>
      </x:c>
      <x:c r="J366" s="10">
        <x:v>19</x:v>
      </x:c>
      <x:c r="K366" s="10">
        <x:v>8</x:v>
      </x:c>
    </x:row>
    <x:row r="367">
      <x:c r="A367" s="10" t="s">
        <x:v>60</x:v>
      </x:c>
      <x:c r="B367" s="10">
        <x:v>10706</x:v>
      </x:c>
      <x:c r="C367" s="10">
        <x:v>13556</x:v>
      </x:c>
      <x:c r="D367" s="10" t="s">
        <x:v>9</x:v>
      </x:c>
      <x:c r="E367" s="10" t="s">
        <x:v>33</x:v>
      </x:c>
      <x:c r="F367" s="10">
        <x:v>41</x:v>
      </x:c>
      <x:c r="G367" s="10">
        <x:v>182</x:v>
      </x:c>
      <x:c r="H367" s="22">
        <x:f t="shared" si="5"/>
        <x:v>9153.0136510219781</x:v>
      </x:c>
      <x:c r="I367" s="22">
        <x:v>1665848.4844859999</x:v>
      </x:c>
      <x:c r="J367" s="10">
        <x:v>19</x:v>
      </x:c>
      <x:c r="K367" s="10">
        <x:v>9</x:v>
      </x:c>
    </x:row>
    <x:row r="368">
      <x:c r="A368" s="10" t="s">
        <x:v>60</x:v>
      </x:c>
      <x:c r="B368" s="10">
        <x:v>10733</x:v>
      </x:c>
      <x:c r="C368" s="10">
        <x:v>13557</x:v>
      </x:c>
      <x:c r="D368" s="10" t="s">
        <x:v>6</x:v>
      </x:c>
      <x:c r="E368" s="10" t="s">
        <x:v>20</x:v>
      </x:c>
      <x:c r="F368" s="10">
        <x:v>48</x:v>
      </x:c>
      <x:c r="G368" s="10">
        <x:v>182</x:v>
      </x:c>
      <x:c r="H368" s="22">
        <x:f t="shared" si="5"/>
        <x:v>9153.0136510219781</x:v>
      </x:c>
      <x:c r="I368" s="22">
        <x:v>1665848.4844859999</x:v>
      </x:c>
      <x:c r="J368" s="10">
        <x:v>19</x:v>
      </x:c>
      <x:c r="K368" s="10">
        <x:v>10</x:v>
      </x:c>
    </x:row>
    <x:row r="369">
      <x:c r="A369" s="10" t="s">
        <x:v>60</x:v>
      </x:c>
      <x:c r="B369" s="10">
        <x:v>10722</x:v>
      </x:c>
      <x:c r="C369" s="10">
        <x:v>13558</x:v>
      </x:c>
      <x:c r="D369" s="10" t="s">
        <x:v>6</x:v>
      </x:c>
      <x:c r="E369" s="10" t="s">
        <x:v>20</x:v>
      </x:c>
      <x:c r="F369" s="10">
        <x:v>46</x:v>
      </x:c>
      <x:c r="G369" s="10">
        <x:v>182</x:v>
      </x:c>
      <x:c r="H369" s="22">
        <x:f t="shared" si="5"/>
        <x:v>9153.0136510219781</x:v>
      </x:c>
      <x:c r="I369" s="22">
        <x:v>1665848.4844859999</x:v>
      </x:c>
      <x:c r="J369" s="10">
        <x:v>19</x:v>
      </x:c>
      <x:c r="K369" s="10">
        <x:v>11</x:v>
      </x:c>
    </x:row>
    <x:row r="370">
      <x:c r="A370" s="10" t="s">
        <x:v>60</x:v>
      </x:c>
      <x:c r="B370" s="10">
        <x:v>10707</x:v>
      </x:c>
      <x:c r="C370" s="10">
        <x:v>13559</x:v>
      </x:c>
      <x:c r="D370" s="10" t="s">
        <x:v>9</x:v>
      </x:c>
      <x:c r="E370" s="10" t="s">
        <x:v>33</x:v>
      </x:c>
      <x:c r="F370" s="10">
        <x:v>43</x:v>
      </x:c>
      <x:c r="G370" s="10">
        <x:v>182</x:v>
      </x:c>
      <x:c r="H370" s="22">
        <x:f t="shared" si="5"/>
        <x:v>9153.0136510219781</x:v>
      </x:c>
      <x:c r="I370" s="22">
        <x:v>1665848.4844859999</x:v>
      </x:c>
      <x:c r="J370" s="10">
        <x:v>19</x:v>
      </x:c>
      <x:c r="K370" s="10">
        <x:v>12</x:v>
      </x:c>
    </x:row>
    <x:row r="371">
      <x:c r="A371" s="10" t="s">
        <x:v>60</x:v>
      </x:c>
      <x:c r="B371" s="10">
        <x:v>10780</x:v>
      </x:c>
      <x:c r="C371" s="10">
        <x:v>13560</x:v>
      </x:c>
      <x:c r="D371" s="10" t="s">
        <x:v>6</x:v>
      </x:c>
      <x:c r="E371" s="10" t="s">
        <x:v>20</x:v>
      </x:c>
      <x:c r="F371" s="10">
        <x:v>52</x:v>
      </x:c>
      <x:c r="G371" s="10">
        <x:v>182</x:v>
      </x:c>
      <x:c r="H371" s="22">
        <x:f t="shared" si="5"/>
        <x:v>9153.0136510219781</x:v>
      </x:c>
      <x:c r="I371" s="22">
        <x:v>1665848.4844859999</x:v>
      </x:c>
      <x:c r="J371" s="10">
        <x:v>19</x:v>
      </x:c>
      <x:c r="K371" s="10">
        <x:v>13</x:v>
      </x:c>
    </x:row>
    <x:row r="372">
      <x:c r="A372" s="10" t="s">
        <x:v>60</x:v>
      </x:c>
      <x:c r="B372" s="10">
        <x:v>10766</x:v>
      </x:c>
      <x:c r="C372" s="10">
        <x:v>13561</x:v>
      </x:c>
      <x:c r="D372" s="10" t="s">
        <x:v>6</x:v>
      </x:c>
      <x:c r="E372" s="10" t="s">
        <x:v>20</x:v>
      </x:c>
      <x:c r="F372" s="10">
        <x:v>50</x:v>
      </x:c>
      <x:c r="G372" s="10">
        <x:v>182</x:v>
      </x:c>
      <x:c r="H372" s="22">
        <x:f t="shared" si="5"/>
        <x:v>9153.0136510219781</x:v>
      </x:c>
      <x:c r="I372" s="22">
        <x:v>1665848.4844859999</x:v>
      </x:c>
      <x:c r="J372" s="10">
        <x:v>19</x:v>
      </x:c>
      <x:c r="K372" s="10">
        <x:v>14</x:v>
      </x:c>
    </x:row>
    <x:row r="373">
      <x:c r="A373" s="10" t="s">
        <x:v>60</x:v>
      </x:c>
      <x:c r="B373" s="10">
        <x:v>10684</x:v>
      </x:c>
      <x:c r="C373" s="10">
        <x:v>13562</x:v>
      </x:c>
      <x:c r="D373" s="10" t="s">
        <x:v>9</x:v>
      </x:c>
      <x:c r="E373" s="10" t="s">
        <x:v>33</x:v>
      </x:c>
      <x:c r="F373" s="10">
        <x:v>37</x:v>
      </x:c>
      <x:c r="G373" s="10">
        <x:v>184</x:v>
      </x:c>
      <x:c r="H373" s="22">
        <x:f t="shared" si="5"/>
        <x:v>9053.5243722065206</x:v>
      </x:c>
      <x:c r="I373" s="22">
        <x:v>1665848.4844859999</x:v>
      </x:c>
      <x:c r="J373" s="10">
        <x:v>19</x:v>
      </x:c>
      <x:c r="K373" s="10">
        <x:v>15</x:v>
      </x:c>
    </x:row>
    <x:row r="374">
      <x:c r="A374" s="10" t="s">
        <x:v>60</x:v>
      </x:c>
      <x:c r="B374" s="10">
        <x:v>10697</x:v>
      </x:c>
      <x:c r="C374" s="10">
        <x:v>13563</x:v>
      </x:c>
      <x:c r="D374" s="10" t="s">
        <x:v>9</x:v>
      </x:c>
      <x:c r="E374" s="10" t="s">
        <x:v>33</x:v>
      </x:c>
      <x:c r="F374" s="10">
        <x:v>42</x:v>
      </x:c>
      <x:c r="G374" s="10">
        <x:v>182</x:v>
      </x:c>
      <x:c r="H374" s="22">
        <x:f t="shared" si="5"/>
        <x:v>9153.0136510219781</x:v>
      </x:c>
      <x:c r="I374" s="22">
        <x:v>1665848.4844859999</x:v>
      </x:c>
      <x:c r="J374" s="10">
        <x:v>19</x:v>
      </x:c>
      <x:c r="K374" s="10">
        <x:v>16</x:v>
      </x:c>
    </x:row>
    <x:row r="375">
      <x:c r="A375" s="10" t="s">
        <x:v>60</x:v>
      </x:c>
      <x:c r="B375" s="10">
        <x:v>10705</x:v>
      </x:c>
      <x:c r="C375" s="10">
        <x:v>13564</x:v>
      </x:c>
      <x:c r="D375" s="10" t="s">
        <x:v>9</x:v>
      </x:c>
      <x:c r="E375" s="10" t="s">
        <x:v>33</x:v>
      </x:c>
      <x:c r="F375" s="10">
        <x:v>43</x:v>
      </x:c>
      <x:c r="G375" s="10">
        <x:v>184</x:v>
      </x:c>
      <x:c r="H375" s="22">
        <x:f t="shared" si="5"/>
        <x:v>9053.5243722065206</x:v>
      </x:c>
      <x:c r="I375" s="22">
        <x:v>1665848.4844859999</x:v>
      </x:c>
      <x:c r="J375" s="10">
        <x:v>19</x:v>
      </x:c>
      <x:c r="K375" s="10">
        <x:v>17</x:v>
      </x:c>
    </x:row>
    <x:row r="376">
      <x:c r="A376" s="10" t="s">
        <x:v>60</x:v>
      </x:c>
      <x:c r="B376" s="10">
        <x:v>10855</x:v>
      </x:c>
      <x:c r="C376" s="10">
        <x:v>13565</x:v>
      </x:c>
      <x:c r="D376" s="10" t="s">
        <x:v>9</x:v>
      </x:c>
      <x:c r="E376" s="10" t="s">
        <x:v>33</x:v>
      </x:c>
      <x:c r="F376" s="10">
        <x:v>40</x:v>
      </x:c>
      <x:c r="G376" s="10">
        <x:v>186</x:v>
      </x:c>
      <x:c r="H376" s="22">
        <x:f t="shared" si="5"/>
        <x:v>8956.1746477741926</x:v>
      </x:c>
      <x:c r="I376" s="22">
        <x:v>1665848.4844859999</x:v>
      </x:c>
      <x:c r="J376" s="10">
        <x:v>19</x:v>
      </x:c>
      <x:c r="K376" s="10">
        <x:v>18</x:v>
      </x:c>
    </x:row>
    <x:row r="377">
      <x:c r="A377" s="10" t="s">
        <x:v>60</x:v>
      </x:c>
      <x:c r="B377" s="10">
        <x:v>9470</x:v>
      </x:c>
      <x:c r="C377" s="10">
        <x:v>13566</x:v>
      </x:c>
      <x:c r="D377" s="10" t="s">
        <x:v>9</x:v>
      </x:c>
      <x:c r="E377" s="10" t="s">
        <x:v>9</x:v>
      </x:c>
      <x:c r="F377" s="10">
        <x:v>0</x:v>
      </x:c>
      <x:c r="G377" s="10">
        <x:v>99</x:v>
      </x:c>
      <x:c r="H377" s="22">
        <x:f t="shared" si="5"/>
        <x:v>9000</x:v>
      </x:c>
      <x:c r="I377" s="22">
        <x:v>891000</x:v>
      </x:c>
      <x:c r="J377" s="10">
        <x:v>19</x:v>
      </x:c>
      <x:c r="K377" s="10">
        <x:v>19</x:v>
      </x:c>
    </x:row>
    <x:row r="378">
      <x:c r="A378" s="10" t="s">
        <x:v>60</x:v>
      </x:c>
      <x:c r="B378" s="10">
        <x:v>10732</x:v>
      </x:c>
      <x:c r="C378" s="10">
        <x:v>13567</x:v>
      </x:c>
      <x:c r="D378" s="10" t="s">
        <x:v>6</x:v>
      </x:c>
      <x:c r="E378" s="10" t="s">
        <x:v>20</x:v>
      </x:c>
      <x:c r="F378" s="10">
        <x:v>47</x:v>
      </x:c>
      <x:c r="G378" s="10">
        <x:v>182</x:v>
      </x:c>
      <x:c r="H378" s="22">
        <x:f t="shared" si="5"/>
        <x:v>9153.0136510219781</x:v>
      </x:c>
      <x:c r="I378" s="22">
        <x:v>1665848.4844859999</x:v>
      </x:c>
      <x:c r="J378" s="10">
        <x:v>19</x:v>
      </x:c>
      <x:c r="K378" s="10">
        <x:v>20</x:v>
      </x:c>
    </x:row>
    <x:row r="379">
      <x:c r="A379" s="10" t="s">
        <x:v>60</x:v>
      </x:c>
      <x:c r="B379" s="10">
        <x:v>10701</x:v>
      </x:c>
      <x:c r="C379" s="10">
        <x:v>13568</x:v>
      </x:c>
      <x:c r="D379" s="10" t="s">
        <x:v>9</x:v>
      </x:c>
      <x:c r="E379" s="10" t="s">
        <x:v>33</x:v>
      </x:c>
      <x:c r="F379" s="10">
        <x:v>41</x:v>
      </x:c>
      <x:c r="G379" s="10">
        <x:v>182</x:v>
      </x:c>
      <x:c r="H379" s="22">
        <x:f t="shared" si="5"/>
        <x:v>9098.0685960769224</x:v>
      </x:c>
      <x:c r="I379" s="22">
        <x:v>1655848.4844859999</x:v>
      </x:c>
      <x:c r="J379" s="10">
        <x:v>20</x:v>
      </x:c>
      <x:c r="K379" s="10">
        <x:v>1</x:v>
      </x:c>
    </x:row>
    <x:row r="380">
      <x:c r="A380" s="10" t="s">
        <x:v>60</x:v>
      </x:c>
      <x:c r="B380" s="10">
        <x:v>10675</x:v>
      </x:c>
      <x:c r="C380" s="10">
        <x:v>13569</x:v>
      </x:c>
      <x:c r="D380" s="10" t="s">
        <x:v>9</x:v>
      </x:c>
      <x:c r="E380" s="10" t="s">
        <x:v>33</x:v>
      </x:c>
      <x:c r="F380" s="10">
        <x:v>40</x:v>
      </x:c>
      <x:c r="G380" s="10">
        <x:v>182</x:v>
      </x:c>
      <x:c r="H380" s="22">
        <x:f t="shared" si="5"/>
        <x:v>9153.0136510219781</x:v>
      </x:c>
      <x:c r="I380" s="22">
        <x:v>1665848.4844859999</x:v>
      </x:c>
      <x:c r="J380" s="10">
        <x:v>20</x:v>
      </x:c>
      <x:c r="K380" s="10">
        <x:v>2</x:v>
      </x:c>
    </x:row>
    <x:row r="381">
      <x:c r="A381" s="10" t="s">
        <x:v>60</x:v>
      </x:c>
      <x:c r="B381" s="10">
        <x:v>10683</x:v>
      </x:c>
      <x:c r="C381" s="10">
        <x:v>13570</x:v>
      </x:c>
      <x:c r="D381" s="10" t="s">
        <x:v>9</x:v>
      </x:c>
      <x:c r="E381" s="10" t="s">
        <x:v>33</x:v>
      </x:c>
      <x:c r="F381" s="10">
        <x:v>37</x:v>
      </x:c>
      <x:c r="G381" s="10">
        <x:v>182</x:v>
      </x:c>
      <x:c r="H381" s="22">
        <x:f t="shared" si="5"/>
        <x:v>9098.0685960769224</x:v>
      </x:c>
      <x:c r="I381" s="22">
        <x:v>1655848.4844859999</x:v>
      </x:c>
      <x:c r="J381" s="10">
        <x:v>20</x:v>
      </x:c>
      <x:c r="K381" s="10">
        <x:v>3</x:v>
      </x:c>
    </x:row>
    <x:row r="382">
      <x:c r="A382" s="10" t="s">
        <x:v>60</x:v>
      </x:c>
      <x:c r="B382" s="10">
        <x:v>9055</x:v>
      </x:c>
      <x:c r="C382" s="10">
        <x:v>13571</x:v>
      </x:c>
      <x:c r="D382" s="10" t="s">
        <x:v>9</x:v>
      </x:c>
      <x:c r="E382" s="10" t="s">
        <x:v>9</x:v>
      </x:c>
      <x:c r="F382" s="10">
        <x:v>22</x:v>
      </x:c>
      <x:c r="G382" s="10">
        <x:v>95</x:v>
      </x:c>
      <x:c r="H382" s="22">
        <x:f t="shared" si="5"/>
        <x:v>9000</x:v>
      </x:c>
      <x:c r="I382" s="22">
        <x:v>855000</x:v>
      </x:c>
      <x:c r="J382" s="10">
        <x:v>20</x:v>
      </x:c>
      <x:c r="K382" s="10">
        <x:v>4</x:v>
      </x:c>
    </x:row>
    <x:row r="383">
      <x:c r="A383" s="10" t="s">
        <x:v>60</x:v>
      </x:c>
      <x:c r="B383" s="10">
        <x:v>9024</x:v>
      </x:c>
      <x:c r="C383" s="10">
        <x:v>13572</x:v>
      </x:c>
      <x:c r="D383" s="10" t="s">
        <x:v>9</x:v>
      </x:c>
      <x:c r="E383" s="10" t="s">
        <x:v>9</x:v>
      </x:c>
      <x:c r="F383" s="10">
        <x:v>47</x:v>
      </x:c>
      <x:c r="G383" s="10">
        <x:v>205</x:v>
      </x:c>
      <x:c r="H383" s="22">
        <x:f t="shared" si="5"/>
        <x:v>9000</x:v>
      </x:c>
      <x:c r="I383" s="22">
        <x:v>1845000</x:v>
      </x:c>
      <x:c r="J383" s="10">
        <x:v>20</x:v>
      </x:c>
      <x:c r="K383" s="10">
        <x:v>5</x:v>
      </x:c>
    </x:row>
    <x:row r="384">
      <x:c r="A384" s="10" t="s">
        <x:v>60</x:v>
      </x:c>
      <x:c r="B384" s="10">
        <x:v>9039</x:v>
      </x:c>
      <x:c r="C384" s="10">
        <x:v>13573</x:v>
      </x:c>
      <x:c r="D384" s="10" t="s">
        <x:v>9</x:v>
      </x:c>
      <x:c r="E384" s="10" t="s">
        <x:v>9</x:v>
      </x:c>
      <x:c r="F384" s="10">
        <x:v>40</x:v>
      </x:c>
      <x:c r="G384" s="10">
        <x:v>208</x:v>
      </x:c>
      <x:c r="H384" s="22">
        <x:f t="shared" si="5"/>
        <x:v>9000</x:v>
      </x:c>
      <x:c r="I384" s="22">
        <x:v>1872000</x:v>
      </x:c>
      <x:c r="J384" s="10">
        <x:v>20</x:v>
      </x:c>
      <x:c r="K384" s="10">
        <x:v>6</x:v>
      </x:c>
    </x:row>
    <x:row r="385">
      <x:c r="A385" s="10" t="s">
        <x:v>60</x:v>
      </x:c>
      <x:c r="B385" s="10">
        <x:v>9585</x:v>
      </x:c>
      <x:c r="C385" s="10">
        <x:v>13574</x:v>
      </x:c>
      <x:c r="D385" s="10" t="s">
        <x:v>9</x:v>
      </x:c>
      <x:c r="E385" s="10" t="s">
        <x:v>9</x:v>
      </x:c>
      <x:c r="F385" s="10">
        <x:v>20</x:v>
      </x:c>
      <x:c r="G385" s="10">
        <x:v>99</x:v>
      </x:c>
      <x:c r="H385" s="22">
        <x:f t="shared" si="5"/>
        <x:v>9000</x:v>
      </x:c>
      <x:c r="I385" s="22">
        <x:v>891000</x:v>
      </x:c>
      <x:c r="J385" s="10">
        <x:v>20</x:v>
      </x:c>
      <x:c r="K385" s="10">
        <x:v>7</x:v>
      </x:c>
    </x:row>
    <x:row r="386">
      <x:c r="A386" s="10" t="s">
        <x:v>60</x:v>
      </x:c>
      <x:c r="B386" s="10">
        <x:v>9584</x:v>
      </x:c>
      <x:c r="C386" s="10">
        <x:v>13575</x:v>
      </x:c>
      <x:c r="D386" s="10" t="s">
        <x:v>9</x:v>
      </x:c>
      <x:c r="E386" s="10" t="s">
        <x:v>9</x:v>
      </x:c>
      <x:c r="F386" s="10">
        <x:v>88</x:v>
      </x:c>
      <x:c r="G386" s="10">
        <x:v>338</x:v>
      </x:c>
      <x:c r="H386" s="22">
        <x:f t="shared" si="5"/>
        <x:v>9000</x:v>
      </x:c>
      <x:c r="I386" s="22">
        <x:v>3042000</x:v>
      </x:c>
      <x:c r="J386" s="10">
        <x:v>20</x:v>
      </x:c>
      <x:c r="K386" s="10">
        <x:v>8</x:v>
      </x:c>
    </x:row>
    <x:row r="387">
      <x:c r="A387" s="10" t="s">
        <x:v>60</x:v>
      </x:c>
      <x:c r="B387" s="10">
        <x:v>9379</x:v>
      </x:c>
      <x:c r="C387" s="10">
        <x:v>13576</x:v>
      </x:c>
      <x:c r="D387" s="10" t="s">
        <x:v>9</x:v>
      </x:c>
      <x:c r="E387" s="10" t="s">
        <x:v>9</x:v>
      </x:c>
      <x:c r="F387" s="10">
        <x:v>20</x:v>
      </x:c>
      <x:c r="G387" s="10">
        <x:v>90</x:v>
      </x:c>
      <x:c r="H387" s="22" t="n">
        <x:f t="shared" ref="H387:H450" si="6">I387/G387</x:f>
        <x:v>9000</x:v>
      </x:c>
      <x:c r="I387" s="22">
        <x:v>810000</x:v>
      </x:c>
      <x:c r="J387" s="10">
        <x:v>20</x:v>
      </x:c>
      <x:c r="K387" s="10">
        <x:v>9</x:v>
      </x:c>
    </x:row>
    <x:row r="388">
      <x:c r="A388" s="10" t="s">
        <x:v>60</x:v>
      </x:c>
      <x:c r="B388" s="10">
        <x:v>10554</x:v>
      </x:c>
      <x:c r="C388" s="10">
        <x:v>13577</x:v>
      </x:c>
      <x:c r="D388" s="10" t="s">
        <x:v>6</x:v>
      </x:c>
      <x:c r="E388" s="10" t="s">
        <x:v>61</x:v>
      </x:c>
      <x:c r="F388" s="10">
        <x:v>0</x:v>
      </x:c>
      <x:c r="G388" s="10">
        <x:v>227</x:v>
      </x:c>
      <x:c r="H388" s="22">
        <x:f t="shared" si="6"/>
        <x:v>8867.4019915740082</x:v>
      </x:c>
      <x:c r="I388" s="22">
        <x:v>2012900.2520872999</x:v>
      </x:c>
      <x:c r="J388" s="10">
        <x:v>20</x:v>
      </x:c>
      <x:c r="K388" s="10">
        <x:v>10</x:v>
      </x:c>
    </x:row>
    <x:row r="389">
      <x:c r="A389" s="10" t="s">
        <x:v>60</x:v>
      </x:c>
      <x:c r="B389" s="10">
        <x:v>10514</x:v>
      </x:c>
      <x:c r="C389" s="10">
        <x:v>13578</x:v>
      </x:c>
      <x:c r="D389" s="10" t="s">
        <x:v>9</x:v>
      </x:c>
      <x:c r="E389" s="10" t="s">
        <x:v>33</x:v>
      </x:c>
      <x:c r="F389" s="10">
        <x:v>30</x:v>
      </x:c>
      <x:c r="G389" s="10">
        <x:v>185</x:v>
      </x:c>
      <x:c r="H389" s="22">
        <x:f t="shared" si="6"/>
        <x:v>9004.5864026270265</x:v>
      </x:c>
      <x:c r="I389" s="22">
        <x:v>1665848.4844859999</x:v>
      </x:c>
      <x:c r="J389" s="10">
        <x:v>20</x:v>
      </x:c>
      <x:c r="K389" s="10">
        <x:v>11</x:v>
      </x:c>
    </x:row>
    <x:row r="390">
      <x:c r="A390" s="10" t="s">
        <x:v>60</x:v>
      </x:c>
      <x:c r="B390" s="10">
        <x:v>10576</x:v>
      </x:c>
      <x:c r="C390" s="10">
        <x:v>13579</x:v>
      </x:c>
      <x:c r="D390" s="10" t="s">
        <x:v>6</x:v>
      </x:c>
      <x:c r="E390" s="10" t="s">
        <x:v>20</x:v>
      </x:c>
      <x:c r="F390" s="10">
        <x:v>51</x:v>
      </x:c>
      <x:c r="G390" s="10">
        <x:v>185</x:v>
      </x:c>
      <x:c r="H390" s="22">
        <x:f t="shared" si="6"/>
        <x:v>9004.5864026270265</x:v>
      </x:c>
      <x:c r="I390" s="22">
        <x:v>1665848.4844859999</x:v>
      </x:c>
      <x:c r="J390" s="10">
        <x:v>20</x:v>
      </x:c>
      <x:c r="K390" s="10">
        <x:v>12</x:v>
      </x:c>
    </x:row>
    <x:row r="391">
      <x:c r="A391" s="10" t="s">
        <x:v>60</x:v>
      </x:c>
      <x:c r="B391" s="10">
        <x:v>10593</x:v>
      </x:c>
      <x:c r="C391" s="10">
        <x:v>13580</x:v>
      </x:c>
      <x:c r="D391" s="10" t="s">
        <x:v>6</x:v>
      </x:c>
      <x:c r="E391" s="10" t="s">
        <x:v>20</x:v>
      </x:c>
      <x:c r="F391" s="10">
        <x:v>49</x:v>
      </x:c>
      <x:c r="G391" s="10">
        <x:v>186</x:v>
      </x:c>
      <x:c r="H391" s="22">
        <x:f t="shared" si="6"/>
        <x:v>8956.1746477741926</x:v>
      </x:c>
      <x:c r="I391" s="22">
        <x:v>1665848.4844859999</x:v>
      </x:c>
      <x:c r="J391" s="10">
        <x:v>20</x:v>
      </x:c>
      <x:c r="K391" s="10">
        <x:v>13</x:v>
      </x:c>
    </x:row>
    <x:row r="392">
      <x:c r="A392" s="10" t="s">
        <x:v>60</x:v>
      </x:c>
      <x:c r="B392" s="10">
        <x:v>10558</x:v>
      </x:c>
      <x:c r="C392" s="10">
        <x:v>13581</x:v>
      </x:c>
      <x:c r="D392" s="10" t="s">
        <x:v>6</x:v>
      </x:c>
      <x:c r="E392" s="10" t="s">
        <x:v>61</x:v>
      </x:c>
      <x:c r="F392" s="10">
        <x:v>0</x:v>
      </x:c>
      <x:c r="G392" s="10">
        <x:v>189</x:v>
      </x:c>
      <x:c r="H392" s="22">
        <x:f t="shared" si="6"/>
        <x:v>8814.0131454285711</x:v>
      </x:c>
      <x:c r="I392" s="22">
        <x:v>1665848.4844859999</x:v>
      </x:c>
      <x:c r="J392" s="10">
        <x:v>20</x:v>
      </x:c>
      <x:c r="K392" s="10">
        <x:v>14</x:v>
      </x:c>
    </x:row>
    <x:row r="393">
      <x:c r="A393" s="10" t="s">
        <x:v>60</x:v>
      </x:c>
      <x:c r="B393" s="10">
        <x:v>10572</x:v>
      </x:c>
      <x:c r="C393" s="10">
        <x:v>13582</x:v>
      </x:c>
      <x:c r="D393" s="10" t="s">
        <x:v>6</x:v>
      </x:c>
      <x:c r="E393" s="10" t="s">
        <x:v>20</x:v>
      </x:c>
      <x:c r="F393" s="10">
        <x:v>41</x:v>
      </x:c>
      <x:c r="G393" s="10">
        <x:v>188</x:v>
      </x:c>
      <x:c r="H393" s="22">
        <x:f t="shared" si="6"/>
        <x:v>8834.3004493936169</x:v>
      </x:c>
      <x:c r="I393" s="22">
        <x:v>1660848.4844859999</x:v>
      </x:c>
      <x:c r="J393" s="10">
        <x:v>20</x:v>
      </x:c>
      <x:c r="K393" s="10">
        <x:v>15</x:v>
      </x:c>
    </x:row>
    <x:row r="394">
      <x:c r="A394" s="10" t="s">
        <x:v>60</x:v>
      </x:c>
      <x:c r="B394" s="10">
        <x:v>10512</x:v>
      </x:c>
      <x:c r="C394" s="10">
        <x:v>13583</x:v>
      </x:c>
      <x:c r="D394" s="10" t="s">
        <x:v>9</x:v>
      </x:c>
      <x:c r="E394" s="10" t="s">
        <x:v>33</x:v>
      </x:c>
      <x:c r="F394" s="10">
        <x:v>30</x:v>
      </x:c>
      <x:c r="G394" s="10">
        <x:v>180</x:v>
      </x:c>
      <x:c r="H394" s="22">
        <x:f t="shared" si="6"/>
        <x:v>9004.7138027000001</x:v>
      </x:c>
      <x:c r="I394" s="22">
        <x:v>1620848.4844859999</x:v>
      </x:c>
      <x:c r="J394" s="10">
        <x:v>20</x:v>
      </x:c>
      <x:c r="K394" s="10">
        <x:v>16</x:v>
      </x:c>
    </x:row>
    <x:row r="395">
      <x:c r="A395" s="10" t="s">
        <x:v>60</x:v>
      </x:c>
      <x:c r="B395" s="10">
        <x:v>10581</x:v>
      </x:c>
      <x:c r="C395" s="10">
        <x:v>13584</x:v>
      </x:c>
      <x:c r="D395" s="10" t="s">
        <x:v>6</x:v>
      </x:c>
      <x:c r="E395" s="10" t="s">
        <x:v>20</x:v>
      </x:c>
      <x:c r="F395" s="10">
        <x:v>52</x:v>
      </x:c>
      <x:c r="G395" s="10">
        <x:v>192</x:v>
      </x:c>
      <x:c r="H395" s="22">
        <x:f t="shared" si="6"/>
        <x:v>8676.2941900312489</x:v>
      </x:c>
      <x:c r="I395" s="22">
        <x:v>1665848.4844859999</x:v>
      </x:c>
      <x:c r="J395" s="10">
        <x:v>20</x:v>
      </x:c>
      <x:c r="K395" s="10">
        <x:v>17</x:v>
      </x:c>
    </x:row>
    <x:row r="396">
      <x:c r="A396" s="10" t="s">
        <x:v>60</x:v>
      </x:c>
      <x:c r="B396" s="10">
        <x:v>10582</x:v>
      </x:c>
      <x:c r="C396" s="10">
        <x:v>13585</x:v>
      </x:c>
      <x:c r="D396" s="10" t="s">
        <x:v>6</x:v>
      </x:c>
      <x:c r="E396" s="10" t="s">
        <x:v>20</x:v>
      </x:c>
      <x:c r="F396" s="10">
        <x:v>52</x:v>
      </x:c>
      <x:c r="G396" s="10">
        <x:v>179</x:v>
      </x:c>
      <x:c r="H396" s="22">
        <x:f t="shared" si="6"/>
        <x:v>9278.483153553072</x:v>
      </x:c>
      <x:c r="I396" s="22">
        <x:v>1660848.4844859999</x:v>
      </x:c>
      <x:c r="J396" s="10">
        <x:v>20</x:v>
      </x:c>
      <x:c r="K396" s="10">
        <x:v>18</x:v>
      </x:c>
    </x:row>
    <x:row r="397">
      <x:c r="A397" s="10" t="s">
        <x:v>60</x:v>
      </x:c>
      <x:c r="B397" s="10">
        <x:v>10499</x:v>
      </x:c>
      <x:c r="C397" s="10">
        <x:v>13586</x:v>
      </x:c>
      <x:c r="D397" s="10" t="s">
        <x:v>9</x:v>
      </x:c>
      <x:c r="E397" s="10" t="s">
        <x:v>33</x:v>
      </x:c>
      <x:c r="F397" s="10">
        <x:v>41</x:v>
      </x:c>
      <x:c r="G397" s="10">
        <x:v>192</x:v>
      </x:c>
      <x:c r="H397" s="22">
        <x:f t="shared" si="6"/>
        <x:v>8676.2941900312489</x:v>
      </x:c>
      <x:c r="I397" s="22">
        <x:v>1665848.4844859999</x:v>
      </x:c>
      <x:c r="J397" s="10">
        <x:v>20</x:v>
      </x:c>
      <x:c r="K397" s="10">
        <x:v>19</x:v>
      </x:c>
    </x:row>
    <x:row r="398">
      <x:c r="A398" s="10" t="s">
        <x:v>60</x:v>
      </x:c>
      <x:c r="B398" s="10">
        <x:v>10560</x:v>
      </x:c>
      <x:c r="C398" s="10">
        <x:v>13587</x:v>
      </x:c>
      <x:c r="D398" s="10" t="s">
        <x:v>6</x:v>
      </x:c>
      <x:c r="E398" s="10" t="s">
        <x:v>61</x:v>
      </x:c>
      <x:c r="F398" s="10">
        <x:v>0</x:v>
      </x:c>
      <x:c r="G398" s="10">
        <x:v>192</x:v>
      </x:c>
      <x:c r="H398" s="22">
        <x:f t="shared" si="6"/>
        <x:v>8676.2941900312489</x:v>
      </x:c>
      <x:c r="I398" s="22">
        <x:v>1665848.4844859999</x:v>
      </x:c>
      <x:c r="J398" s="10">
        <x:v>20</x:v>
      </x:c>
      <x:c r="K398" s="10">
        <x:v>20</x:v>
      </x:c>
    </x:row>
    <x:row r="399">
      <x:c r="A399" s="10" t="s">
        <x:v>60</x:v>
      </x:c>
      <x:c r="B399" s="10">
        <x:v>6872</x:v>
      </x:c>
      <x:c r="C399" s="10">
        <x:v>13588</x:v>
      </x:c>
      <x:c r="D399" s="10" t="s">
        <x:v>0</x:v>
      </x:c>
      <x:c r="E399" s="10" t="s">
        <x:v>22</x:v>
      </x:c>
      <x:c r="F399" s="10">
        <x:v>14</x:v>
      </x:c>
      <x:c r="G399" s="10">
        <x:v>103</x:v>
      </x:c>
      <x:c r="H399" s="22">
        <x:f t="shared" si="6"/>
        <x:v>10590.922469658253</x:v>
      </x:c>
      <x:c r="I399" s="22">
        <x:v>1090865.0143748</x:v>
      </x:c>
      <x:c r="J399" s="10">
        <x:v>21</x:v>
      </x:c>
      <x:c r="K399" s="10">
        <x:v>1</x:v>
      </x:c>
    </x:row>
    <x:row r="400">
      <x:c r="A400" s="10" t="s">
        <x:v>60</x:v>
      </x:c>
      <x:c r="B400" s="10">
        <x:v>6865</x:v>
      </x:c>
      <x:c r="C400" s="10">
        <x:v>13589</x:v>
      </x:c>
      <x:c r="D400" s="10" t="s">
        <x:v>0</x:v>
      </x:c>
      <x:c r="E400" s="10" t="s">
        <x:v>22</x:v>
      </x:c>
      <x:c r="F400" s="10">
        <x:v>31</x:v>
      </x:c>
      <x:c r="G400" s="10">
        <x:v>193</x:v>
      </x:c>
      <x:c r="H400" s="22">
        <x:f t="shared" si="6"/>
        <x:v>10597.78187540259</x:v>
      </x:c>
      <x:c r="I400" s="22">
        <x:v>2045371.9019527</x:v>
      </x:c>
      <x:c r="J400" s="10">
        <x:v>21</x:v>
      </x:c>
      <x:c r="K400" s="10">
        <x:v>2</x:v>
      </x:c>
    </x:row>
    <x:row r="401">
      <x:c r="A401" s="10" t="s">
        <x:v>60</x:v>
      </x:c>
      <x:c r="B401" s="10">
        <x:v>6901</x:v>
      </x:c>
      <x:c r="C401" s="10">
        <x:v>13590</x:v>
      </x:c>
      <x:c r="D401" s="10" t="s">
        <x:v>2</x:v>
      </x:c>
      <x:c r="E401" s="10" t="s">
        <x:v>2</x:v>
      </x:c>
      <x:c r="F401" s="10">
        <x:v>33</x:v>
      </x:c>
      <x:c r="G401" s="10">
        <x:v>192</x:v>
      </x:c>
      <x:c r="H401" s="22">
        <x:f t="shared" si="6"/>
        <x:v>10652.978656003646</x:v>
      </x:c>
      <x:c r="I401" s="22">
        <x:v>2045371.9019527</x:v>
      </x:c>
      <x:c r="J401" s="10">
        <x:v>21</x:v>
      </x:c>
      <x:c r="K401" s="10">
        <x:v>3</x:v>
      </x:c>
    </x:row>
    <x:row r="402">
      <x:c r="A402" s="10" t="s">
        <x:v>60</x:v>
      </x:c>
      <x:c r="B402" s="10">
        <x:v>6899</x:v>
      </x:c>
      <x:c r="C402" s="10">
        <x:v>13591</x:v>
      </x:c>
      <x:c r="D402" s="10" t="s">
        <x:v>2</x:v>
      </x:c>
      <x:c r="E402" s="10" t="s">
        <x:v>2</x:v>
      </x:c>
      <x:c r="F402" s="10">
        <x:v>36</x:v>
      </x:c>
      <x:c r="G402" s="10">
        <x:v>196</x:v>
      </x:c>
      <x:c r="H402" s="22">
        <x:f t="shared" si="6"/>
        <x:v>10410.060724248469</x:v>
      </x:c>
      <x:c r="I402" s="22">
        <x:v>2040371.9019527</x:v>
      </x:c>
      <x:c r="J402" s="10">
        <x:v>21</x:v>
      </x:c>
      <x:c r="K402" s="10">
        <x:v>4</x:v>
      </x:c>
    </x:row>
    <x:row r="403">
      <x:c r="A403" s="10" t="s">
        <x:v>60</x:v>
      </x:c>
      <x:c r="B403" s="10">
        <x:v>10661</x:v>
      </x:c>
      <x:c r="C403" s="10">
        <x:v>13592</x:v>
      </x:c>
      <x:c r="D403" s="10" t="s">
        <x:v>0</x:v>
      </x:c>
      <x:c r="E403" s="10" t="s">
        <x:v>22</x:v>
      </x:c>
      <x:c r="F403" s="10">
        <x:v>35</x:v>
      </x:c>
      <x:c r="G403" s="10">
        <x:v>192</x:v>
      </x:c>
      <x:c r="H403" s="22">
        <x:f t="shared" si="6"/>
        <x:v>8676.2941900312489</x:v>
      </x:c>
      <x:c r="I403" s="22">
        <x:v>1665848.4844859999</x:v>
      </x:c>
      <x:c r="J403" s="10">
        <x:v>21</x:v>
      </x:c>
      <x:c r="K403" s="10">
        <x:v>5</x:v>
      </x:c>
    </x:row>
    <x:row r="404">
      <x:c r="A404" s="10" t="s">
        <x:v>60</x:v>
      </x:c>
      <x:c r="B404" s="10">
        <x:v>9059</x:v>
      </x:c>
      <x:c r="C404" s="10">
        <x:v>13593</x:v>
      </x:c>
      <x:c r="D404" s="10" t="s">
        <x:v>1</x:v>
      </x:c>
      <x:c r="E404" s="10" t="s">
        <x:v>1</x:v>
      </x:c>
      <x:c r="F404" s="10">
        <x:v>37</x:v>
      </x:c>
      <x:c r="G404" s="10">
        <x:v>171</x:v>
      </x:c>
      <x:c r="H404" s="22">
        <x:f t="shared" si="6"/>
        <x:v>11461.988304093567</x:v>
      </x:c>
      <x:c r="I404" s="22">
        <x:v>1960000</x:v>
      </x:c>
      <x:c r="J404" s="10">
        <x:v>21</x:v>
      </x:c>
      <x:c r="K404" s="10">
        <x:v>6</x:v>
      </x:c>
    </x:row>
    <x:row r="405">
      <x:c r="A405" s="10" t="s">
        <x:v>60</x:v>
      </x:c>
      <x:c r="B405" s="10">
        <x:v>6991</x:v>
      </x:c>
      <x:c r="C405" s="10">
        <x:v>13594</x:v>
      </x:c>
      <x:c r="D405" s="10" t="s">
        <x:v>2</x:v>
      </x:c>
      <x:c r="E405" s="10" t="s">
        <x:v>2</x:v>
      </x:c>
      <x:c r="F405" s="10">
        <x:v>35</x:v>
      </x:c>
      <x:c r="G405" s="10">
        <x:v>192</x:v>
      </x:c>
      <x:c r="H405" s="22">
        <x:f t="shared" si="6"/>
        <x:v>10652.978656003646</x:v>
      </x:c>
      <x:c r="I405" s="22">
        <x:v>2045371.9019527</x:v>
      </x:c>
      <x:c r="J405" s="10">
        <x:v>21</x:v>
      </x:c>
      <x:c r="K405" s="10">
        <x:v>7</x:v>
      </x:c>
    </x:row>
    <x:row r="406">
      <x:c r="A406" s="10" t="s">
        <x:v>60</x:v>
      </x:c>
      <x:c r="B406" s="10">
        <x:v>6809</x:v>
      </x:c>
      <x:c r="C406" s="10">
        <x:v>13595</x:v>
      </x:c>
      <x:c r="D406" s="10" t="s">
        <x:v>0</x:v>
      </x:c>
      <x:c r="E406" s="10" t="s">
        <x:v>22</x:v>
      </x:c>
      <x:c r="F406" s="10">
        <x:v>34</x:v>
      </x:c>
      <x:c r="G406" s="10">
        <x:v>192</x:v>
      </x:c>
      <x:c r="H406" s="22">
        <x:f t="shared" si="6"/>
        <x:v>10652.978656003646</x:v>
      </x:c>
      <x:c r="I406" s="22">
        <x:v>2045371.9019527</x:v>
      </x:c>
      <x:c r="J406" s="10">
        <x:v>21</x:v>
      </x:c>
      <x:c r="K406" s="10">
        <x:v>8</x:v>
      </x:c>
    </x:row>
    <x:row r="407">
      <x:c r="A407" s="10" t="s">
        <x:v>60</x:v>
      </x:c>
      <x:c r="B407" s="10">
        <x:v>8693</x:v>
      </x:c>
      <x:c r="C407" s="10">
        <x:v>13596</x:v>
      </x:c>
      <x:c r="D407" s="10" t="s">
        <x:v>2</x:v>
      </x:c>
      <x:c r="E407" s="10" t="s">
        <x:v>2</x:v>
      </x:c>
      <x:c r="F407" s="10">
        <x:v>41</x:v>
      </x:c>
      <x:c r="G407" s="10">
        <x:v>197</x:v>
      </x:c>
      <x:c r="H407" s="22">
        <x:f t="shared" si="6"/>
        <x:v>11500</x:v>
      </x:c>
      <x:c r="I407" s="22">
        <x:v>2265500</x:v>
      </x:c>
      <x:c r="J407" s="10">
        <x:v>21</x:v>
      </x:c>
      <x:c r="K407" s="10">
        <x:v>9</x:v>
      </x:c>
    </x:row>
    <x:row r="408">
      <x:c r="A408" s="10" t="s">
        <x:v>60</x:v>
      </x:c>
      <x:c r="B408" s="10">
        <x:v>8789</x:v>
      </x:c>
      <x:c r="C408" s="10">
        <x:v>13597</x:v>
      </x:c>
      <x:c r="D408" s="10" t="s">
        <x:v>2</x:v>
      </x:c>
      <x:c r="E408" s="10" t="s">
        <x:v>2</x:v>
      </x:c>
      <x:c r="F408" s="10">
        <x:v>74</x:v>
      </x:c>
      <x:c r="G408" s="10">
        <x:v>372</x:v>
      </x:c>
      <x:c r="H408" s="22">
        <x:f t="shared" si="6"/>
        <x:v>11500</x:v>
      </x:c>
      <x:c r="I408" s="22">
        <x:v>4278000</x:v>
      </x:c>
      <x:c r="J408" s="10">
        <x:v>21</x:v>
      </x:c>
      <x:c r="K408" s="10">
        <x:v>10</x:v>
      </x:c>
    </x:row>
    <x:row r="409">
      <x:c r="A409" s="10" t="s">
        <x:v>60</x:v>
      </x:c>
      <x:c r="B409" s="10">
        <x:v>8898</x:v>
      </x:c>
      <x:c r="C409" s="10">
        <x:v>13598</x:v>
      </x:c>
      <x:c r="D409" s="10" t="s">
        <x:v>2</x:v>
      </x:c>
      <x:c r="E409" s="10" t="s">
        <x:v>2</x:v>
      </x:c>
      <x:c r="F409" s="10">
        <x:v>28</x:v>
      </x:c>
      <x:c r="G409" s="10">
        <x:v>172</x:v>
      </x:c>
      <x:c r="H409" s="22">
        <x:f t="shared" si="6"/>
        <x:v>11500</x:v>
      </x:c>
      <x:c r="I409" s="22">
        <x:v>1978000</x:v>
      </x:c>
      <x:c r="J409" s="10">
        <x:v>21</x:v>
      </x:c>
      <x:c r="K409" s="10">
        <x:v>11</x:v>
      </x:c>
    </x:row>
    <x:row r="410">
      <x:c r="A410" s="10" t="s">
        <x:v>60</x:v>
      </x:c>
      <x:c r="B410" s="10">
        <x:v>8807</x:v>
      </x:c>
      <x:c r="C410" s="10">
        <x:v>13599</x:v>
      </x:c>
      <x:c r="D410" s="10" t="s">
        <x:v>2</x:v>
      </x:c>
      <x:c r="E410" s="10" t="s">
        <x:v>2</x:v>
      </x:c>
      <x:c r="F410" s="10">
        <x:v>33</x:v>
      </x:c>
      <x:c r="G410" s="10">
        <x:v>186</x:v>
      </x:c>
      <x:c r="H410" s="22">
        <x:f t="shared" si="6"/>
        <x:v>11500</x:v>
      </x:c>
      <x:c r="I410" s="22">
        <x:v>2139000</x:v>
      </x:c>
      <x:c r="J410" s="10">
        <x:v>21</x:v>
      </x:c>
      <x:c r="K410" s="10">
        <x:v>12</x:v>
      </x:c>
    </x:row>
    <x:row r="411">
      <x:c r="A411" s="10" t="s">
        <x:v>60</x:v>
      </x:c>
      <x:c r="B411" s="10">
        <x:v>8804</x:v>
      </x:c>
      <x:c r="C411" s="10">
        <x:v>13600</x:v>
      </x:c>
      <x:c r="D411" s="10" t="s">
        <x:v>2</x:v>
      </x:c>
      <x:c r="E411" s="10" t="s">
        <x:v>2</x:v>
      </x:c>
      <x:c r="F411" s="10">
        <x:v>79</x:v>
      </x:c>
      <x:c r="G411" s="10">
        <x:v>367</x:v>
      </x:c>
      <x:c r="H411" s="22">
        <x:f t="shared" si="6"/>
        <x:v>11500</x:v>
      </x:c>
      <x:c r="I411" s="22">
        <x:v>4220500</x:v>
      </x:c>
      <x:c r="J411" s="10">
        <x:v>21</x:v>
      </x:c>
      <x:c r="K411" s="10">
        <x:v>13</x:v>
      </x:c>
    </x:row>
    <x:row r="412">
      <x:c r="A412" s="10" t="s">
        <x:v>60</x:v>
      </x:c>
      <x:c r="B412" s="10">
        <x:v>8856</x:v>
      </x:c>
      <x:c r="C412" s="10">
        <x:v>13601</x:v>
      </x:c>
      <x:c r="D412" s="10" t="s">
        <x:v>2</x:v>
      </x:c>
      <x:c r="E412" s="10" t="s">
        <x:v>2</x:v>
      </x:c>
      <x:c r="F412" s="10">
        <x:v>29</x:v>
      </x:c>
      <x:c r="G412" s="10">
        <x:v>146</x:v>
      </x:c>
      <x:c r="H412" s="22">
        <x:f t="shared" si="6"/>
        <x:v>11500</x:v>
      </x:c>
      <x:c r="I412" s="22">
        <x:v>1679000</x:v>
      </x:c>
      <x:c r="J412" s="10">
        <x:v>21</x:v>
      </x:c>
      <x:c r="K412" s="10">
        <x:v>14</x:v>
      </x:c>
    </x:row>
    <x:row r="413">
      <x:c r="A413" s="10" t="s">
        <x:v>60</x:v>
      </x:c>
      <x:c r="B413" s="10">
        <x:v>8852</x:v>
      </x:c>
      <x:c r="C413" s="10">
        <x:v>13602</x:v>
      </x:c>
      <x:c r="D413" s="10" t="s">
        <x:v>2</x:v>
      </x:c>
      <x:c r="E413" s="10" t="s">
        <x:v>2</x:v>
      </x:c>
      <x:c r="F413" s="10">
        <x:v>28</x:v>
      </x:c>
      <x:c r="G413" s="10">
        <x:v>183</x:v>
      </x:c>
      <x:c r="H413" s="22">
        <x:f t="shared" si="6"/>
        <x:v>11500</x:v>
      </x:c>
      <x:c r="I413" s="22">
        <x:v>2104500</x:v>
      </x:c>
      <x:c r="J413" s="10">
        <x:v>21</x:v>
      </x:c>
      <x:c r="K413" s="10">
        <x:v>15</x:v>
      </x:c>
    </x:row>
    <x:row r="414">
      <x:c r="A414" s="10" t="s">
        <x:v>60</x:v>
      </x:c>
      <x:c r="B414" s="10">
        <x:v>8689</x:v>
      </x:c>
      <x:c r="C414" s="10">
        <x:v>13603</x:v>
      </x:c>
      <x:c r="D414" s="10" t="s">
        <x:v>2</x:v>
      </x:c>
      <x:c r="E414" s="10" t="s">
        <x:v>2</x:v>
      </x:c>
      <x:c r="F414" s="10">
        <x:v>42</x:v>
      </x:c>
      <x:c r="G414" s="10">
        <x:v>198</x:v>
      </x:c>
      <x:c r="H414" s="22">
        <x:f t="shared" si="6"/>
        <x:v>11500</x:v>
      </x:c>
      <x:c r="I414" s="22">
        <x:v>2277000</x:v>
      </x:c>
      <x:c r="J414" s="10">
        <x:v>21</x:v>
      </x:c>
      <x:c r="K414" s="10">
        <x:v>16</x:v>
      </x:c>
    </x:row>
    <x:row r="415">
      <x:c r="A415" s="10" t="s">
        <x:v>60</x:v>
      </x:c>
      <x:c r="B415" s="10">
        <x:v>8712</x:v>
      </x:c>
      <x:c r="C415" s="10">
        <x:v>13604</x:v>
      </x:c>
      <x:c r="D415" s="10" t="s">
        <x:v>2</x:v>
      </x:c>
      <x:c r="E415" s="10" t="s">
        <x:v>2</x:v>
      </x:c>
      <x:c r="F415" s="10">
        <x:v>31</x:v>
      </x:c>
      <x:c r="G415" s="10">
        <x:v>178</x:v>
      </x:c>
      <x:c r="H415" s="22">
        <x:f t="shared" si="6"/>
        <x:v>11500</x:v>
      </x:c>
      <x:c r="I415" s="22">
        <x:v>2047000</x:v>
      </x:c>
      <x:c r="J415" s="10">
        <x:v>21</x:v>
      </x:c>
      <x:c r="K415" s="10">
        <x:v>17</x:v>
      </x:c>
    </x:row>
    <x:row r="416">
      <x:c r="A416" s="10" t="s">
        <x:v>60</x:v>
      </x:c>
      <x:c r="B416" s="10">
        <x:v>6902</x:v>
      </x:c>
      <x:c r="C416" s="10">
        <x:v>13605</x:v>
      </x:c>
      <x:c r="D416" s="10" t="s">
        <x:v>2</x:v>
      </x:c>
      <x:c r="E416" s="10" t="s">
        <x:v>2</x:v>
      </x:c>
      <x:c r="F416" s="10">
        <x:v>35</x:v>
      </x:c>
      <x:c r="G416" s="10">
        <x:v>193</x:v>
      </x:c>
      <x:c r="H416" s="22">
        <x:f t="shared" si="6"/>
        <x:v>10597.78187540259</x:v>
      </x:c>
      <x:c r="I416" s="22">
        <x:v>2045371.9019527</x:v>
      </x:c>
      <x:c r="J416" s="10">
        <x:v>21</x:v>
      </x:c>
      <x:c r="K416" s="10">
        <x:v>18</x:v>
      </x:c>
    </x:row>
    <x:row r="417">
      <x:c r="A417" s="10" t="s">
        <x:v>60</x:v>
      </x:c>
      <x:c r="B417" s="10">
        <x:v>6900</x:v>
      </x:c>
      <x:c r="C417" s="10">
        <x:v>13606</x:v>
      </x:c>
      <x:c r="D417" s="10" t="s">
        <x:v>2</x:v>
      </x:c>
      <x:c r="E417" s="10" t="s">
        <x:v>2</x:v>
      </x:c>
      <x:c r="F417" s="10">
        <x:v>35</x:v>
      </x:c>
      <x:c r="G417" s="10">
        <x:v>195</x:v>
      </x:c>
      <x:c r="H417" s="22">
        <x:f t="shared" si="6"/>
        <x:v>10437.804625398461</x:v>
      </x:c>
      <x:c r="I417" s="22">
        <x:v>2035371.9019527</x:v>
      </x:c>
      <x:c r="J417" s="10">
        <x:v>21</x:v>
      </x:c>
      <x:c r="K417" s="10">
        <x:v>19</x:v>
      </x:c>
    </x:row>
    <x:row r="418">
      <x:c r="A418" s="10" t="s">
        <x:v>60</x:v>
      </x:c>
      <x:c r="B418" s="10">
        <x:v>6898</x:v>
      </x:c>
      <x:c r="C418" s="10">
        <x:v>13607</x:v>
      </x:c>
      <x:c r="D418" s="10" t="s">
        <x:v>2</x:v>
      </x:c>
      <x:c r="E418" s="10" t="s">
        <x:v>2</x:v>
      </x:c>
      <x:c r="F418" s="10">
        <x:v>35</x:v>
      </x:c>
      <x:c r="G418" s="10">
        <x:v>193</x:v>
      </x:c>
      <x:c r="H418" s="22">
        <x:f t="shared" si="6"/>
        <x:v>10597.78187540259</x:v>
      </x:c>
      <x:c r="I418" s="22">
        <x:v>2045371.9019527</x:v>
      </x:c>
      <x:c r="J418" s="10">
        <x:v>21</x:v>
      </x:c>
      <x:c r="K418" s="10">
        <x:v>20</x:v>
      </x:c>
    </x:row>
    <x:row r="419">
      <x:c r="A419" s="10" t="s">
        <x:v>60</x:v>
      </x:c>
      <x:c r="B419" s="10">
        <x:v>6972</x:v>
      </x:c>
      <x:c r="C419" s="10">
        <x:v>13489</x:v>
      </x:c>
      <x:c r="D419" s="10" t="s">
        <x:v>0</x:v>
      </x:c>
      <x:c r="E419" s="10" t="s">
        <x:v>24</x:v>
      </x:c>
      <x:c r="F419" s="10">
        <x:v>30</x:v>
      </x:c>
      <x:c r="G419" s="10">
        <x:v>183</x:v>
      </x:c>
      <x:c r="H419" s="22">
        <x:f t="shared" si="6"/>
        <x:v>10992.469409577596</x:v>
      </x:c>
      <x:c r="I419" s="22">
        <x:v>2011621.9019527</x:v>
      </x:c>
      <x:c r="J419" s="10">
        <x:v>22</x:v>
      </x:c>
      <x:c r="K419" s="10">
        <x:v>1</x:v>
      </x:c>
    </x:row>
    <x:row r="420">
      <x:c r="A420" s="10" t="s">
        <x:v>60</x:v>
      </x:c>
      <x:c r="B420" s="10">
        <x:v>6971</x:v>
      </x:c>
      <x:c r="C420" s="10">
        <x:v>13490</x:v>
      </x:c>
      <x:c r="D420" s="10" t="s">
        <x:v>0</x:v>
      </x:c>
      <x:c r="E420" s="10" t="s">
        <x:v>24</x:v>
      </x:c>
      <x:c r="F420" s="10">
        <x:v>31</x:v>
      </x:c>
      <x:c r="G420" s="10">
        <x:v>192</x:v>
      </x:c>
      <x:c r="H420" s="22">
        <x:f t="shared" si="6"/>
        <x:v>10652.978656003646</x:v>
      </x:c>
      <x:c r="I420" s="22">
        <x:v>2045371.9019527</x:v>
      </x:c>
      <x:c r="J420" s="10">
        <x:v>22</x:v>
      </x:c>
      <x:c r="K420" s="10">
        <x:v>2</x:v>
      </x:c>
    </x:row>
    <x:row r="421">
      <x:c r="A421" s="10" t="s">
        <x:v>60</x:v>
      </x:c>
      <x:c r="B421" s="10">
        <x:v>6975</x:v>
      </x:c>
      <x:c r="C421" s="10">
        <x:v>13491</x:v>
      </x:c>
      <x:c r="D421" s="10" t="s">
        <x:v>0</x:v>
      </x:c>
      <x:c r="E421" s="10" t="s">
        <x:v>24</x:v>
      </x:c>
      <x:c r="F421" s="10">
        <x:v>26</x:v>
      </x:c>
      <x:c r="G421" s="10">
        <x:v>192</x:v>
      </x:c>
      <x:c r="H421" s="22">
        <x:f t="shared" si="6"/>
        <x:v>10652.978656003646</x:v>
      </x:c>
      <x:c r="I421" s="22">
        <x:v>2045371.9019527</x:v>
      </x:c>
      <x:c r="J421" s="10">
        <x:v>22</x:v>
      </x:c>
      <x:c r="K421" s="10">
        <x:v>3</x:v>
      </x:c>
    </x:row>
    <x:row r="422">
      <x:c r="A422" s="10" t="s">
        <x:v>60</x:v>
      </x:c>
      <x:c r="B422" s="10">
        <x:v>8678</x:v>
      </x:c>
      <x:c r="C422" s="10">
        <x:v>13492</x:v>
      </x:c>
      <x:c r="D422" s="10" t="s">
        <x:v>0</x:v>
      </x:c>
      <x:c r="E422" s="10" t="s">
        <x:v>0</x:v>
      </x:c>
      <x:c r="F422" s="10">
        <x:v>27</x:v>
      </x:c>
      <x:c r="G422" s="10">
        <x:v>118</x:v>
      </x:c>
      <x:c r="H422" s="22">
        <x:f t="shared" si="6"/>
        <x:v>13000</x:v>
      </x:c>
      <x:c r="I422" s="22">
        <x:v>1534000</x:v>
      </x:c>
      <x:c r="J422" s="10">
        <x:v>22</x:v>
      </x:c>
      <x:c r="K422" s="10">
        <x:v>4</x:v>
      </x:c>
    </x:row>
    <x:row r="423">
      <x:c r="A423" s="10" t="s">
        <x:v>60</x:v>
      </x:c>
      <x:c r="B423" s="10">
        <x:v>8686</x:v>
      </x:c>
      <x:c r="C423" s="10">
        <x:v>13493</x:v>
      </x:c>
      <x:c r="D423" s="10" t="s">
        <x:v>0</x:v>
      </x:c>
      <x:c r="E423" s="10" t="s">
        <x:v>0</x:v>
      </x:c>
      <x:c r="F423" s="10">
        <x:v>36</x:v>
      </x:c>
      <x:c r="G423" s="10">
        <x:v>198</x:v>
      </x:c>
      <x:c r="H423" s="22">
        <x:f t="shared" si="6"/>
        <x:v>13000</x:v>
      </x:c>
      <x:c r="I423" s="22">
        <x:v>2574000</x:v>
      </x:c>
      <x:c r="J423" s="10">
        <x:v>22</x:v>
      </x:c>
      <x:c r="K423" s="10">
        <x:v>5</x:v>
      </x:c>
    </x:row>
    <x:row r="424">
      <x:c r="A424" s="10" t="s">
        <x:v>60</x:v>
      </x:c>
      <x:c r="B424" s="10">
        <x:v>8676</x:v>
      </x:c>
      <x:c r="C424" s="10">
        <x:v>13494</x:v>
      </x:c>
      <x:c r="D424" s="10" t="s">
        <x:v>0</x:v>
      </x:c>
      <x:c r="E424" s="10" t="s">
        <x:v>0</x:v>
      </x:c>
      <x:c r="F424" s="10">
        <x:v>37</x:v>
      </x:c>
      <x:c r="G424" s="10">
        <x:v>200</x:v>
      </x:c>
      <x:c r="H424" s="22">
        <x:f t="shared" si="6"/>
        <x:v>13000</x:v>
      </x:c>
      <x:c r="I424" s="22">
        <x:v>2600000</x:v>
      </x:c>
      <x:c r="J424" s="10">
        <x:v>22</x:v>
      </x:c>
      <x:c r="K424" s="10">
        <x:v>6</x:v>
      </x:c>
    </x:row>
    <x:row r="425">
      <x:c r="A425" s="10" t="s">
        <x:v>60</x:v>
      </x:c>
      <x:c r="B425" s="10">
        <x:v>8677</x:v>
      </x:c>
      <x:c r="C425" s="10">
        <x:v>13495</x:v>
      </x:c>
      <x:c r="D425" s="10" t="s">
        <x:v>0</x:v>
      </x:c>
      <x:c r="E425" s="10" t="s">
        <x:v>0</x:v>
      </x:c>
      <x:c r="F425" s="10">
        <x:v>37</x:v>
      </x:c>
      <x:c r="G425" s="10">
        <x:v>200</x:v>
      </x:c>
      <x:c r="H425" s="22">
        <x:f t="shared" si="6"/>
        <x:v>13000</x:v>
      </x:c>
      <x:c r="I425" s="22">
        <x:v>2600000</x:v>
      </x:c>
      <x:c r="J425" s="10">
        <x:v>22</x:v>
      </x:c>
      <x:c r="K425" s="10">
        <x:v>7</x:v>
      </x:c>
    </x:row>
    <x:row r="426">
      <x:c r="A426" s="10" t="s">
        <x:v>60</x:v>
      </x:c>
      <x:c r="B426" s="10">
        <x:v>9362</x:v>
      </x:c>
      <x:c r="C426" s="10">
        <x:v>13496</x:v>
      </x:c>
      <x:c r="D426" s="10" t="s">
        <x:v>0</x:v>
      </x:c>
      <x:c r="E426" s="10" t="s">
        <x:v>0</x:v>
      </x:c>
      <x:c r="F426" s="10">
        <x:v>32</x:v>
      </x:c>
      <x:c r="G426" s="10">
        <x:v>164</x:v>
      </x:c>
      <x:c r="H426" s="22">
        <x:f t="shared" si="6"/>
        <x:v>13000</x:v>
      </x:c>
      <x:c r="I426" s="22">
        <x:v>2132000</x:v>
      </x:c>
      <x:c r="J426" s="10">
        <x:v>22</x:v>
      </x:c>
      <x:c r="K426" s="10">
        <x:v>8</x:v>
      </x:c>
    </x:row>
    <x:row r="427">
      <x:c r="A427" s="10" t="s">
        <x:v>60</x:v>
      </x:c>
      <x:c r="B427" s="10">
        <x:v>9582</x:v>
      </x:c>
      <x:c r="C427" s="10">
        <x:v>13497</x:v>
      </x:c>
      <x:c r="D427" s="10" t="s">
        <x:v>0</x:v>
      </x:c>
      <x:c r="E427" s="10" t="s">
        <x:v>0</x:v>
      </x:c>
      <x:c r="F427" s="10">
        <x:v>74</x:v>
      </x:c>
      <x:c r="G427" s="10">
        <x:v>398</x:v>
      </x:c>
      <x:c r="H427" s="22">
        <x:f t="shared" si="6"/>
        <x:v>13000</x:v>
      </x:c>
      <x:c r="I427" s="22">
        <x:v>5174000</x:v>
      </x:c>
      <x:c r="J427" s="10">
        <x:v>22</x:v>
      </x:c>
      <x:c r="K427" s="10">
        <x:v>9</x:v>
      </x:c>
    </x:row>
    <x:row r="428">
      <x:c r="A428" s="10" t="s">
        <x:v>60</x:v>
      </x:c>
      <x:c r="B428" s="10">
        <x:v>9015</x:v>
      </x:c>
      <x:c r="C428" s="10">
        <x:v>13498</x:v>
      </x:c>
      <x:c r="D428" s="10" t="s">
        <x:v>0</x:v>
      </x:c>
      <x:c r="E428" s="10" t="s">
        <x:v>0</x:v>
      </x:c>
      <x:c r="F428" s="10">
        <x:v>36</x:v>
      </x:c>
      <x:c r="G428" s="10">
        <x:v>176</x:v>
      </x:c>
      <x:c r="H428" s="22">
        <x:f t="shared" si="6"/>
        <x:v>13000</x:v>
      </x:c>
      <x:c r="I428" s="22">
        <x:v>2288000</x:v>
      </x:c>
      <x:c r="J428" s="10">
        <x:v>22</x:v>
      </x:c>
      <x:c r="K428" s="10">
        <x:v>10</x:v>
      </x:c>
    </x:row>
    <x:row r="429">
      <x:c r="A429" s="10" t="s">
        <x:v>60</x:v>
      </x:c>
      <x:c r="B429" s="10">
        <x:v>8955</x:v>
      </x:c>
      <x:c r="C429" s="10">
        <x:v>13499</x:v>
      </x:c>
      <x:c r="D429" s="10" t="s">
        <x:v>0</x:v>
      </x:c>
      <x:c r="E429" s="10" t="s">
        <x:v>0</x:v>
      </x:c>
      <x:c r="F429" s="10">
        <x:v>64</x:v>
      </x:c>
      <x:c r="G429" s="10">
        <x:v>360</x:v>
      </x:c>
      <x:c r="H429" s="22">
        <x:f t="shared" si="6"/>
        <x:v>13000</x:v>
      </x:c>
      <x:c r="I429" s="22">
        <x:v>4680000</x:v>
      </x:c>
      <x:c r="J429" s="10">
        <x:v>22</x:v>
      </x:c>
      <x:c r="K429" s="10">
        <x:v>11</x:v>
      </x:c>
    </x:row>
    <x:row r="430">
      <x:c r="A430" s="10" t="s">
        <x:v>60</x:v>
      </x:c>
      <x:c r="B430" s="10">
        <x:v>5893</x:v>
      </x:c>
      <x:c r="C430" s="10">
        <x:v>13500</x:v>
      </x:c>
      <x:c r="D430" s="10" t="s">
        <x:v>0</x:v>
      </x:c>
      <x:c r="E430" s="10" t="s">
        <x:v>64</x:v>
      </x:c>
      <x:c r="F430" s="10">
        <x:v>37</x:v>
      </x:c>
      <x:c r="G430" s="10">
        <x:v>193</x:v>
      </x:c>
      <x:c r="H430" s="22">
        <x:f t="shared" si="6"/>
        <x:v>9043.3777303248698</x:v>
      </x:c>
      <x:c r="I430" s="22">
        <x:v>1745371.9019527</x:v>
      </x:c>
      <x:c r="J430" s="10">
        <x:v>22</x:v>
      </x:c>
      <x:c r="K430" s="10">
        <x:v>12</x:v>
      </x:c>
    </x:row>
    <x:row r="431">
      <x:c r="A431" s="10" t="s">
        <x:v>60</x:v>
      </x:c>
      <x:c r="B431" s="10">
        <x:v>9001</x:v>
      </x:c>
      <x:c r="C431" s="10">
        <x:v>13501</x:v>
      </x:c>
      <x:c r="D431" s="10" t="s">
        <x:v>0</x:v>
      </x:c>
      <x:c r="E431" s="10" t="s">
        <x:v>0</x:v>
      </x:c>
      <x:c r="F431" s="10">
        <x:v>17</x:v>
      </x:c>
      <x:c r="G431" s="10">
        <x:v>189</x:v>
      </x:c>
      <x:c r="H431" s="22">
        <x:f t="shared" si="6"/>
        <x:v>13000</x:v>
      </x:c>
      <x:c r="I431" s="22">
        <x:v>2457000</x:v>
      </x:c>
      <x:c r="J431" s="10">
        <x:v>22</x:v>
      </x:c>
      <x:c r="K431" s="10">
        <x:v>13</x:v>
      </x:c>
    </x:row>
    <x:row r="432">
      <x:c r="A432" s="10" t="s">
        <x:v>60</x:v>
      </x:c>
      <x:c r="B432" s="10">
        <x:v>9018</x:v>
      </x:c>
      <x:c r="C432" s="10">
        <x:v>13502</x:v>
      </x:c>
      <x:c r="D432" s="10" t="s">
        <x:v>0</x:v>
      </x:c>
      <x:c r="E432" s="10" t="s">
        <x:v>0</x:v>
      </x:c>
      <x:c r="F432" s="10">
        <x:v>70</x:v>
      </x:c>
      <x:c r="G432" s="10">
        <x:v>388</x:v>
      </x:c>
      <x:c r="H432" s="22">
        <x:f t="shared" si="6"/>
        <x:v>13000</x:v>
      </x:c>
      <x:c r="I432" s="22">
        <x:v>5044000</x:v>
      </x:c>
      <x:c r="J432" s="10">
        <x:v>22</x:v>
      </x:c>
      <x:c r="K432" s="10">
        <x:v>14</x:v>
      </x:c>
    </x:row>
    <x:row r="433">
      <x:c r="A433" s="10" t="s">
        <x:v>60</x:v>
      </x:c>
      <x:c r="B433" s="10">
        <x:v>9020</x:v>
      </x:c>
      <x:c r="C433" s="10">
        <x:v>13503</x:v>
      </x:c>
      <x:c r="D433" s="10" t="s">
        <x:v>0</x:v>
      </x:c>
      <x:c r="E433" s="10" t="s">
        <x:v>0</x:v>
      </x:c>
      <x:c r="F433" s="10">
        <x:v>26</x:v>
      </x:c>
      <x:c r="G433" s="10">
        <x:v>170</x:v>
      </x:c>
      <x:c r="H433" s="22">
        <x:f t="shared" si="6"/>
        <x:v>13000</x:v>
      </x:c>
      <x:c r="I433" s="22">
        <x:v>2210000</x:v>
      </x:c>
      <x:c r="J433" s="10">
        <x:v>22</x:v>
      </x:c>
      <x:c r="K433" s="10">
        <x:v>15</x:v>
      </x:c>
    </x:row>
    <x:row r="434">
      <x:c r="A434" s="10" t="s">
        <x:v>60</x:v>
      </x:c>
      <x:c r="B434" s="10">
        <x:v>8920</x:v>
      </x:c>
      <x:c r="C434" s="10">
        <x:v>13504</x:v>
      </x:c>
      <x:c r="D434" s="10" t="s">
        <x:v>0</x:v>
      </x:c>
      <x:c r="E434" s="10" t="s">
        <x:v>0</x:v>
      </x:c>
      <x:c r="F434" s="10">
        <x:v>66</x:v>
      </x:c>
      <x:c r="G434" s="10">
        <x:v>356</x:v>
      </x:c>
      <x:c r="H434" s="22">
        <x:f t="shared" si="6"/>
        <x:v>13000</x:v>
      </x:c>
      <x:c r="I434" s="22">
        <x:v>4628000</x:v>
      </x:c>
      <x:c r="J434" s="10">
        <x:v>22</x:v>
      </x:c>
      <x:c r="K434" s="10">
        <x:v>16</x:v>
      </x:c>
    </x:row>
    <x:row r="435">
      <x:c r="A435" s="10" t="s">
        <x:v>60</x:v>
      </x:c>
      <x:c r="B435" s="10">
        <x:v>8933</x:v>
      </x:c>
      <x:c r="C435" s="10">
        <x:v>13505</x:v>
      </x:c>
      <x:c r="D435" s="10" t="s">
        <x:v>0</x:v>
      </x:c>
      <x:c r="E435" s="10" t="s">
        <x:v>0</x:v>
      </x:c>
      <x:c r="F435" s="10">
        <x:v>56</x:v>
      </x:c>
      <x:c r="G435" s="10">
        <x:v>328</x:v>
      </x:c>
      <x:c r="H435" s="22">
        <x:f t="shared" si="6"/>
        <x:v>13000</x:v>
      </x:c>
      <x:c r="I435" s="22">
        <x:v>4264000</x:v>
      </x:c>
      <x:c r="J435" s="10">
        <x:v>22</x:v>
      </x:c>
      <x:c r="K435" s="10">
        <x:v>17</x:v>
      </x:c>
    </x:row>
    <x:row r="436">
      <x:c r="A436" s="10" t="s">
        <x:v>60</x:v>
      </x:c>
      <x:c r="B436" s="10">
        <x:v>8885</x:v>
      </x:c>
      <x:c r="C436" s="10">
        <x:v>13506</x:v>
      </x:c>
      <x:c r="D436" s="10" t="s">
        <x:v>0</x:v>
      </x:c>
      <x:c r="E436" s="10" t="s">
        <x:v>0</x:v>
      </x:c>
      <x:c r="F436" s="10">
        <x:v>48</x:v>
      </x:c>
      <x:c r="G436" s="10">
        <x:v>404</x:v>
      </x:c>
      <x:c r="H436" s="22">
        <x:f t="shared" si="6"/>
        <x:v>13000</x:v>
      </x:c>
      <x:c r="I436" s="22">
        <x:v>5252000</x:v>
      </x:c>
      <x:c r="J436" s="10">
        <x:v>22</x:v>
      </x:c>
      <x:c r="K436" s="10">
        <x:v>18</x:v>
      </x:c>
    </x:row>
    <x:row r="437">
      <x:c r="A437" s="10" t="s">
        <x:v>60</x:v>
      </x:c>
      <x:c r="B437" s="10">
        <x:v>6886</x:v>
      </x:c>
      <x:c r="C437" s="10">
        <x:v>13507</x:v>
      </x:c>
      <x:c r="D437" s="10" t="s">
        <x:v>0</x:v>
      </x:c>
      <x:c r="E437" s="10" t="s">
        <x:v>24</x:v>
      </x:c>
      <x:c r="F437" s="10">
        <x:v>26</x:v>
      </x:c>
      <x:c r="G437" s="10">
        <x:v>193</x:v>
      </x:c>
      <x:c r="H437" s="22">
        <x:f t="shared" si="6"/>
        <x:v>10597.78187540259</x:v>
      </x:c>
      <x:c r="I437" s="22">
        <x:v>2045371.9019527</x:v>
      </x:c>
      <x:c r="J437" s="10">
        <x:v>22</x:v>
      </x:c>
      <x:c r="K437" s="10">
        <x:v>19</x:v>
      </x:c>
    </x:row>
    <x:row r="438">
      <x:c r="A438" s="10" t="s">
        <x:v>60</x:v>
      </x:c>
      <x:c r="B438" s="10">
        <x:v>8863</x:v>
      </x:c>
      <x:c r="C438" s="10">
        <x:v>13508</x:v>
      </x:c>
      <x:c r="D438" s="10" t="s">
        <x:v>0</x:v>
      </x:c>
      <x:c r="E438" s="10" t="s">
        <x:v>0</x:v>
      </x:c>
      <x:c r="F438" s="10">
        <x:v>30</x:v>
      </x:c>
      <x:c r="G438" s="10">
        <x:v>207</x:v>
      </x:c>
      <x:c r="H438" s="22">
        <x:f t="shared" si="6"/>
        <x:v>13000</x:v>
      </x:c>
      <x:c r="I438" s="22">
        <x:v>2691000</x:v>
      </x:c>
      <x:c r="J438" s="10">
        <x:v>22</x:v>
      </x:c>
      <x:c r="K438" s="10">
        <x:v>20</x:v>
      </x:c>
    </x:row>
    <x:row r="439">
      <x:c r="A439" s="10" t="s">
        <x:v>60</x:v>
      </x:c>
      <x:c r="B439" s="10">
        <x:v>10875</x:v>
      </x:c>
      <x:c r="C439" s="10">
        <x:v>13509</x:v>
      </x:c>
      <x:c r="D439" s="10" t="s">
        <x:v>9</x:v>
      </x:c>
      <x:c r="E439" s="10" t="s">
        <x:v>33</x:v>
      </x:c>
      <x:c r="F439" s="10">
        <x:v>41</x:v>
      </x:c>
      <x:c r="G439" s="10">
        <x:v>193</x:v>
      </x:c>
      <x:c r="H439" s="22">
        <x:f t="shared" si="6"/>
        <x:v>8631.3392978549218</x:v>
      </x:c>
      <x:c r="I439" s="22">
        <x:v>1665848.4844859999</x:v>
      </x:c>
      <x:c r="J439" s="10">
        <x:v>23</x:v>
      </x:c>
      <x:c r="K439" s="10">
        <x:v>1</x:v>
      </x:c>
    </x:row>
    <x:row r="440">
      <x:c r="A440" s="10" t="s">
        <x:v>60</x:v>
      </x:c>
      <x:c r="B440" s="10">
        <x:v>9169</x:v>
      </x:c>
      <x:c r="C440" s="10">
        <x:v>13510</x:v>
      </x:c>
      <x:c r="D440" s="10" t="s">
        <x:v>9</x:v>
      </x:c>
      <x:c r="E440" s="10" t="s">
        <x:v>9</x:v>
      </x:c>
      <x:c r="F440" s="10">
        <x:v>12</x:v>
      </x:c>
      <x:c r="G440" s="10">
        <x:v>73</x:v>
      </x:c>
      <x:c r="H440" s="22">
        <x:f t="shared" si="6"/>
        <x:v>9000</x:v>
      </x:c>
      <x:c r="I440" s="22">
        <x:v>657000</x:v>
      </x:c>
      <x:c r="J440" s="10">
        <x:v>23</x:v>
      </x:c>
      <x:c r="K440" s="10">
        <x:v>2</x:v>
      </x:c>
    </x:row>
    <x:row r="441">
      <x:c r="A441" s="10" t="s">
        <x:v>60</x:v>
      </x:c>
      <x:c r="B441" s="10">
        <x:v>9148</x:v>
      </x:c>
      <x:c r="C441" s="10">
        <x:v>13511</x:v>
      </x:c>
      <x:c r="D441" s="10" t="s">
        <x:v>9</x:v>
      </x:c>
      <x:c r="E441" s="10" t="s">
        <x:v>9</x:v>
      </x:c>
      <x:c r="F441" s="10">
        <x:v>34</x:v>
      </x:c>
      <x:c r="G441" s="10">
        <x:v>184</x:v>
      </x:c>
      <x:c r="H441" s="22">
        <x:f t="shared" si="6"/>
        <x:v>9000</x:v>
      </x:c>
      <x:c r="I441" s="22">
        <x:v>1656000</x:v>
      </x:c>
      <x:c r="J441" s="10">
        <x:v>23</x:v>
      </x:c>
      <x:c r="K441" s="10">
        <x:v>3</x:v>
      </x:c>
    </x:row>
    <x:row r="442">
      <x:c r="A442" s="10" t="s">
        <x:v>60</x:v>
      </x:c>
      <x:c r="B442" s="10">
        <x:v>9187</x:v>
      </x:c>
      <x:c r="C442" s="10">
        <x:v>13512</x:v>
      </x:c>
      <x:c r="D442" s="10" t="s">
        <x:v>9</x:v>
      </x:c>
      <x:c r="E442" s="10" t="s">
        <x:v>9</x:v>
      </x:c>
      <x:c r="F442" s="10">
        <x:v>18</x:v>
      </x:c>
      <x:c r="G442" s="10">
        <x:v>85</x:v>
      </x:c>
      <x:c r="H442" s="22">
        <x:f t="shared" si="6"/>
        <x:v>9000</x:v>
      </x:c>
      <x:c r="I442" s="22">
        <x:v>765000</x:v>
      </x:c>
      <x:c r="J442" s="10">
        <x:v>23</x:v>
      </x:c>
      <x:c r="K442" s="10">
        <x:v>4</x:v>
      </x:c>
    </x:row>
    <x:row r="443">
      <x:c r="A443" s="10" t="s">
        <x:v>60</x:v>
      </x:c>
      <x:c r="B443" s="10">
        <x:v>9181</x:v>
      </x:c>
      <x:c r="C443" s="10">
        <x:v>13513</x:v>
      </x:c>
      <x:c r="D443" s="10" t="s">
        <x:v>9</x:v>
      </x:c>
      <x:c r="E443" s="10" t="s">
        <x:v>9</x:v>
      </x:c>
      <x:c r="F443" s="10">
        <x:v>34</x:v>
      </x:c>
      <x:c r="G443" s="10">
        <x:v>181</x:v>
      </x:c>
      <x:c r="H443" s="22">
        <x:f t="shared" si="6"/>
        <x:v>9000</x:v>
      </x:c>
      <x:c r="I443" s="22">
        <x:v>1629000</x:v>
      </x:c>
      <x:c r="J443" s="10">
        <x:v>23</x:v>
      </x:c>
      <x:c r="K443" s="10">
        <x:v>5</x:v>
      </x:c>
    </x:row>
    <x:row r="444">
      <x:c r="A444" s="10" t="s">
        <x:v>60</x:v>
      </x:c>
      <x:c r="B444" s="10">
        <x:v>9135</x:v>
      </x:c>
      <x:c r="C444" s="10">
        <x:v>13514</x:v>
      </x:c>
      <x:c r="D444" s="10" t="s">
        <x:v>9</x:v>
      </x:c>
      <x:c r="E444" s="10" t="s">
        <x:v>9</x:v>
      </x:c>
      <x:c r="F444" s="10">
        <x:v>4</x:v>
      </x:c>
      <x:c r="G444" s="10">
        <x:v>79</x:v>
      </x:c>
      <x:c r="H444" s="22">
        <x:f t="shared" si="6"/>
        <x:v>9000</x:v>
      </x:c>
      <x:c r="I444" s="22">
        <x:v>711000</x:v>
      </x:c>
      <x:c r="J444" s="10">
        <x:v>23</x:v>
      </x:c>
      <x:c r="K444" s="10">
        <x:v>6</x:v>
      </x:c>
    </x:row>
    <x:row r="445">
      <x:c r="A445" s="10" t="s">
        <x:v>60</x:v>
      </x:c>
      <x:c r="B445" s="10">
        <x:v>9098</x:v>
      </x:c>
      <x:c r="C445" s="10">
        <x:v>13515</x:v>
      </x:c>
      <x:c r="D445" s="10" t="s">
        <x:v>9</x:v>
      </x:c>
      <x:c r="E445" s="10" t="s">
        <x:v>9</x:v>
      </x:c>
      <x:c r="F445" s="10">
        <x:v>13</x:v>
      </x:c>
      <x:c r="G445" s="10">
        <x:v>78</x:v>
      </x:c>
      <x:c r="H445" s="22">
        <x:f t="shared" si="6"/>
        <x:v>9000</x:v>
      </x:c>
      <x:c r="I445" s="22">
        <x:v>702000</x:v>
      </x:c>
      <x:c r="J445" s="10">
        <x:v>23</x:v>
      </x:c>
      <x:c r="K445" s="10">
        <x:v>7</x:v>
      </x:c>
    </x:row>
    <x:row r="446">
      <x:c r="A446" s="10" t="s">
        <x:v>60</x:v>
      </x:c>
      <x:c r="B446" s="10">
        <x:v>9153</x:v>
      </x:c>
      <x:c r="C446" s="10">
        <x:v>13516</x:v>
      </x:c>
      <x:c r="D446" s="10" t="s">
        <x:v>9</x:v>
      </x:c>
      <x:c r="E446" s="10" t="s">
        <x:v>9</x:v>
      </x:c>
      <x:c r="F446" s="10">
        <x:v>42</x:v>
      </x:c>
      <x:c r="G446" s="10">
        <x:v>169</x:v>
      </x:c>
      <x:c r="H446" s="22">
        <x:f t="shared" si="6"/>
        <x:v>9000</x:v>
      </x:c>
      <x:c r="I446" s="22">
        <x:v>1521000</x:v>
      </x:c>
      <x:c r="J446" s="10">
        <x:v>23</x:v>
      </x:c>
      <x:c r="K446" s="10">
        <x:v>8</x:v>
      </x:c>
    </x:row>
    <x:row r="447">
      <x:c r="A447" s="10" t="s">
        <x:v>60</x:v>
      </x:c>
      <x:c r="B447" s="10">
        <x:v>9123</x:v>
      </x:c>
      <x:c r="C447" s="10">
        <x:v>13517</x:v>
      </x:c>
      <x:c r="D447" s="10" t="s">
        <x:v>9</x:v>
      </x:c>
      <x:c r="E447" s="10" t="s">
        <x:v>9</x:v>
      </x:c>
      <x:c r="F447" s="10">
        <x:v>15</x:v>
      </x:c>
      <x:c r="G447" s="10">
        <x:v>80</x:v>
      </x:c>
      <x:c r="H447" s="22">
        <x:f t="shared" si="6"/>
        <x:v>9000</x:v>
      </x:c>
      <x:c r="I447" s="22">
        <x:v>720000</x:v>
      </x:c>
      <x:c r="J447" s="10">
        <x:v>23</x:v>
      </x:c>
      <x:c r="K447" s="10">
        <x:v>9</x:v>
      </x:c>
    </x:row>
    <x:row r="448">
      <x:c r="A448" s="10" t="s">
        <x:v>60</x:v>
      </x:c>
      <x:c r="B448" s="10">
        <x:v>9122</x:v>
      </x:c>
      <x:c r="C448" s="10">
        <x:v>13518</x:v>
      </x:c>
      <x:c r="D448" s="10" t="s">
        <x:v>9</x:v>
      </x:c>
      <x:c r="E448" s="10" t="s">
        <x:v>9</x:v>
      </x:c>
      <x:c r="F448" s="10">
        <x:v>16</x:v>
      </x:c>
      <x:c r="G448" s="10">
        <x:v>88</x:v>
      </x:c>
      <x:c r="H448" s="22">
        <x:f t="shared" si="6"/>
        <x:v>9000</x:v>
      </x:c>
      <x:c r="I448" s="22">
        <x:v>792000</x:v>
      </x:c>
      <x:c r="J448" s="10">
        <x:v>23</x:v>
      </x:c>
      <x:c r="K448" s="10">
        <x:v>10</x:v>
      </x:c>
    </x:row>
    <x:row r="449">
      <x:c r="A449" s="10" t="s">
        <x:v>60</x:v>
      </x:c>
      <x:c r="B449" s="10">
        <x:v>9133</x:v>
      </x:c>
      <x:c r="C449" s="10">
        <x:v>13519</x:v>
      </x:c>
      <x:c r="D449" s="10" t="s">
        <x:v>9</x:v>
      </x:c>
      <x:c r="E449" s="10" t="s">
        <x:v>9</x:v>
      </x:c>
      <x:c r="F449" s="10">
        <x:v>17</x:v>
      </x:c>
      <x:c r="G449" s="10">
        <x:v>84</x:v>
      </x:c>
      <x:c r="H449" s="22">
        <x:f t="shared" si="6"/>
        <x:v>9000</x:v>
      </x:c>
      <x:c r="I449" s="22">
        <x:v>756000</x:v>
      </x:c>
      <x:c r="J449" s="10">
        <x:v>23</x:v>
      </x:c>
      <x:c r="K449" s="10">
        <x:v>11</x:v>
      </x:c>
    </x:row>
    <x:row r="450">
      <x:c r="A450" s="10" t="s">
        <x:v>60</x:v>
      </x:c>
      <x:c r="B450" s="10">
        <x:v>9132</x:v>
      </x:c>
      <x:c r="C450" s="10">
        <x:v>13520</x:v>
      </x:c>
      <x:c r="D450" s="10" t="s">
        <x:v>9</x:v>
      </x:c>
      <x:c r="E450" s="10" t="s">
        <x:v>9</x:v>
      </x:c>
      <x:c r="F450" s="10">
        <x:v>14</x:v>
      </x:c>
      <x:c r="G450" s="10">
        <x:v>84</x:v>
      </x:c>
      <x:c r="H450" s="22">
        <x:f t="shared" si="6"/>
        <x:v>9000</x:v>
      </x:c>
      <x:c r="I450" s="22">
        <x:v>756000</x:v>
      </x:c>
      <x:c r="J450" s="10">
        <x:v>23</x:v>
      </x:c>
      <x:c r="K450" s="10">
        <x:v>12</x:v>
      </x:c>
    </x:row>
    <x:row r="451">
      <x:c r="A451" s="10" t="s">
        <x:v>60</x:v>
      </x:c>
      <x:c r="B451" s="10">
        <x:v>6926</x:v>
      </x:c>
      <x:c r="C451" s="10">
        <x:v>13521</x:v>
      </x:c>
      <x:c r="D451" s="10" t="s">
        <x:v>6</x:v>
      </x:c>
      <x:c r="E451" s="10" t="s">
        <x:v>54</x:v>
      </x:c>
      <x:c r="F451" s="10">
        <x:v>18</x:v>
      </x:c>
      <x:c r="G451" s="10">
        <x:v>86</x:v>
      </x:c>
      <x:c r="H451" s="22" t="n">
        <x:f t="shared" ref="H451:H514" si="7">I451/G451</x:f>
        <x:v>11717.278499725582</x:v>
      </x:c>
      <x:c r="I451" s="22">
        <x:v>1007685.9509764001</x:v>
      </x:c>
      <x:c r="J451" s="10">
        <x:v>23</x:v>
      </x:c>
      <x:c r="K451" s="10">
        <x:v>13</x:v>
      </x:c>
    </x:row>
    <x:row r="452">
      <x:c r="A452" s="10" t="s">
        <x:v>60</x:v>
      </x:c>
      <x:c r="B452" s="10">
        <x:v>10840</x:v>
      </x:c>
      <x:c r="C452" s="10">
        <x:v>13522</x:v>
      </x:c>
      <x:c r="D452" s="10" t="s">
        <x:v>9</x:v>
      </x:c>
      <x:c r="E452" s="10" t="s">
        <x:v>34</x:v>
      </x:c>
      <x:c r="F452" s="10">
        <x:v>34</x:v>
      </x:c>
      <x:c r="G452" s="10">
        <x:v>182</x:v>
      </x:c>
      <x:c r="H452" s="22">
        <x:f t="shared" si="7"/>
        <x:v>9153.0136510219781</x:v>
      </x:c>
      <x:c r="I452" s="22">
        <x:v>1665848.4844859999</x:v>
      </x:c>
      <x:c r="J452" s="10">
        <x:v>23</x:v>
      </x:c>
      <x:c r="K452" s="10">
        <x:v>14</x:v>
      </x:c>
    </x:row>
    <x:row r="453">
      <x:c r="A453" s="10" t="s">
        <x:v>60</x:v>
      </x:c>
      <x:c r="B453" s="10">
        <x:v>10843</x:v>
      </x:c>
      <x:c r="C453" s="10">
        <x:v>13523</x:v>
      </x:c>
      <x:c r="D453" s="10" t="s">
        <x:v>9</x:v>
      </x:c>
      <x:c r="E453" s="10" t="s">
        <x:v>34</x:v>
      </x:c>
      <x:c r="F453" s="10">
        <x:v>43</x:v>
      </x:c>
      <x:c r="G453" s="10">
        <x:v>185</x:v>
      </x:c>
      <x:c r="H453" s="22">
        <x:f t="shared" si="7"/>
        <x:v>9004.5864026270265</x:v>
      </x:c>
      <x:c r="I453" s="22">
        <x:v>1665848.4844859999</x:v>
      </x:c>
      <x:c r="J453" s="10">
        <x:v>23</x:v>
      </x:c>
      <x:c r="K453" s="10">
        <x:v>15</x:v>
      </x:c>
    </x:row>
    <x:row r="454">
      <x:c r="A454" s="10" t="s">
        <x:v>60</x:v>
      </x:c>
      <x:c r="B454" s="10">
        <x:v>10851</x:v>
      </x:c>
      <x:c r="C454" s="10">
        <x:v>13524</x:v>
      </x:c>
      <x:c r="D454" s="10" t="s">
        <x:v>9</x:v>
      </x:c>
      <x:c r="E454" s="10" t="s">
        <x:v>33</x:v>
      </x:c>
      <x:c r="F454" s="10">
        <x:v>43</x:v>
      </x:c>
      <x:c r="G454" s="10">
        <x:v>184</x:v>
      </x:c>
      <x:c r="H454" s="22">
        <x:f t="shared" si="7"/>
        <x:v>9053.5243722065206</x:v>
      </x:c>
      <x:c r="I454" s="22">
        <x:v>1665848.4844859999</x:v>
      </x:c>
      <x:c r="J454" s="10">
        <x:v>23</x:v>
      </x:c>
      <x:c r="K454" s="10">
        <x:v>16</x:v>
      </x:c>
    </x:row>
    <x:row r="455">
      <x:c r="A455" s="10" t="s">
        <x:v>60</x:v>
      </x:c>
      <x:c r="B455" s="10">
        <x:v>10846</x:v>
      </x:c>
      <x:c r="C455" s="10">
        <x:v>13525</x:v>
      </x:c>
      <x:c r="D455" s="10" t="s">
        <x:v>9</x:v>
      </x:c>
      <x:c r="E455" s="10" t="s">
        <x:v>34</x:v>
      </x:c>
      <x:c r="F455" s="10">
        <x:v>36</x:v>
      </x:c>
      <x:c r="G455" s="10">
        <x:v>182</x:v>
      </x:c>
      <x:c r="H455" s="22">
        <x:f t="shared" si="7"/>
        <x:v>9153.0136510219781</x:v>
      </x:c>
      <x:c r="I455" s="22">
        <x:v>1665848.4844859999</x:v>
      </x:c>
      <x:c r="J455" s="10">
        <x:v>23</x:v>
      </x:c>
      <x:c r="K455" s="10">
        <x:v>17</x:v>
      </x:c>
    </x:row>
    <x:row r="456">
      <x:c r="A456" s="10" t="s">
        <x:v>60</x:v>
      </x:c>
      <x:c r="B456" s="10">
        <x:v>10852</x:v>
      </x:c>
      <x:c r="C456" s="10">
        <x:v>13526</x:v>
      </x:c>
      <x:c r="D456" s="10" t="s">
        <x:v>9</x:v>
      </x:c>
      <x:c r="E456" s="10" t="s">
        <x:v>33</x:v>
      </x:c>
      <x:c r="F456" s="10">
        <x:v>39</x:v>
      </x:c>
      <x:c r="G456" s="10">
        <x:v>189</x:v>
      </x:c>
      <x:c r="H456" s="22">
        <x:f t="shared" si="7"/>
        <x:v>8814.0131454285711</x:v>
      </x:c>
      <x:c r="I456" s="22">
        <x:v>1665848.4844859999</x:v>
      </x:c>
      <x:c r="J456" s="10">
        <x:v>23</x:v>
      </x:c>
      <x:c r="K456" s="10">
        <x:v>18</x:v>
      </x:c>
    </x:row>
    <x:row r="457">
      <x:c r="A457" s="10" t="s">
        <x:v>60</x:v>
      </x:c>
      <x:c r="B457" s="10">
        <x:v>10688</x:v>
      </x:c>
      <x:c r="C457" s="10">
        <x:v>13527</x:v>
      </x:c>
      <x:c r="D457" s="10" t="s">
        <x:v>9</x:v>
      </x:c>
      <x:c r="E457" s="10" t="s">
        <x:v>33</x:v>
      </x:c>
      <x:c r="F457" s="10">
        <x:v>41</x:v>
      </x:c>
      <x:c r="G457" s="10">
        <x:v>182</x:v>
      </x:c>
      <x:c r="H457" s="22">
        <x:f t="shared" si="7"/>
        <x:v>9153.0136510219781</x:v>
      </x:c>
      <x:c r="I457" s="22">
        <x:v>1665848.4844859999</x:v>
      </x:c>
      <x:c r="J457" s="10">
        <x:v>23</x:v>
      </x:c>
      <x:c r="K457" s="10">
        <x:v>19</x:v>
      </x:c>
    </x:row>
    <x:row r="458">
      <x:c r="A458" s="10" t="s">
        <x:v>60</x:v>
      </x:c>
      <x:c r="B458" s="10">
        <x:v>10667</x:v>
      </x:c>
      <x:c r="C458" s="10">
        <x:v>13528</x:v>
      </x:c>
      <x:c r="D458" s="10" t="s">
        <x:v>9</x:v>
      </x:c>
      <x:c r="E458" s="10" t="s">
        <x:v>33</x:v>
      </x:c>
      <x:c r="F458" s="10">
        <x:v>40</x:v>
      </x:c>
      <x:c r="G458" s="10">
        <x:v>182</x:v>
      </x:c>
      <x:c r="H458" s="22">
        <x:f t="shared" si="7"/>
        <x:v>9153.0136510219781</x:v>
      </x:c>
      <x:c r="I458" s="22">
        <x:v>1665848.4844859999</x:v>
      </x:c>
      <x:c r="J458" s="10">
        <x:v>23</x:v>
      </x:c>
      <x:c r="K458" s="10">
        <x:v>20</x:v>
      </x:c>
    </x:row>
    <x:row r="459">
      <x:c r="A459" s="10" t="s">
        <x:v>60</x:v>
      </x:c>
      <x:c r="B459" s="10">
        <x:v>9215</x:v>
      </x:c>
      <x:c r="C459" s="10">
        <x:v>13529</x:v>
      </x:c>
      <x:c r="D459" s="10" t="s">
        <x:v>9</x:v>
      </x:c>
      <x:c r="E459" s="10" t="s">
        <x:v>9</x:v>
      </x:c>
      <x:c r="F459" s="10">
        <x:v>31</x:v>
      </x:c>
      <x:c r="G459" s="10">
        <x:v>178</x:v>
      </x:c>
      <x:c r="H459" s="22">
        <x:f t="shared" si="7"/>
        <x:v>9000</x:v>
      </x:c>
      <x:c r="I459" s="22">
        <x:v>1602000</x:v>
      </x:c>
      <x:c r="J459" s="10">
        <x:v>24</x:v>
      </x:c>
      <x:c r="K459" s="10">
        <x:v>1</x:v>
      </x:c>
    </x:row>
    <x:row r="460">
      <x:c r="A460" s="10" t="s">
        <x:v>60</x:v>
      </x:c>
      <x:c r="B460" s="10">
        <x:v>9216</x:v>
      </x:c>
      <x:c r="C460" s="10">
        <x:v>13530</x:v>
      </x:c>
      <x:c r="D460" s="10" t="s">
        <x:v>9</x:v>
      </x:c>
      <x:c r="E460" s="10" t="s">
        <x:v>9</x:v>
      </x:c>
      <x:c r="F460" s="10">
        <x:v>34</x:v>
      </x:c>
      <x:c r="G460" s="10">
        <x:v>186</x:v>
      </x:c>
      <x:c r="H460" s="22">
        <x:f t="shared" si="7"/>
        <x:v>9000</x:v>
      </x:c>
      <x:c r="I460" s="22">
        <x:v>1674000</x:v>
      </x:c>
      <x:c r="J460" s="10">
        <x:v>24</x:v>
      </x:c>
      <x:c r="K460" s="10">
        <x:v>2</x:v>
      </x:c>
    </x:row>
    <x:row r="461">
      <x:c r="A461" s="10" t="s">
        <x:v>60</x:v>
      </x:c>
      <x:c r="B461" s="10">
        <x:v>9220</x:v>
      </x:c>
      <x:c r="C461" s="10">
        <x:v>13531</x:v>
      </x:c>
      <x:c r="D461" s="10" t="s">
        <x:v>9</x:v>
      </x:c>
      <x:c r="E461" s="10" t="s">
        <x:v>9</x:v>
      </x:c>
      <x:c r="F461" s="10">
        <x:v>16</x:v>
      </x:c>
      <x:c r="G461" s="10">
        <x:v>83</x:v>
      </x:c>
      <x:c r="H461" s="22">
        <x:f t="shared" si="7"/>
        <x:v>9000</x:v>
      </x:c>
      <x:c r="I461" s="22">
        <x:v>747000</x:v>
      </x:c>
      <x:c r="J461" s="10">
        <x:v>24</x:v>
      </x:c>
      <x:c r="K461" s="10">
        <x:v>3</x:v>
      </x:c>
    </x:row>
    <x:row r="462">
      <x:c r="A462" s="10" t="s">
        <x:v>60</x:v>
      </x:c>
      <x:c r="B462" s="10">
        <x:v>9151</x:v>
      </x:c>
      <x:c r="C462" s="10">
        <x:v>13532</x:v>
      </x:c>
      <x:c r="D462" s="10" t="s">
        <x:v>9</x:v>
      </x:c>
      <x:c r="E462" s="10" t="s">
        <x:v>9</x:v>
      </x:c>
      <x:c r="F462" s="10">
        <x:v>16</x:v>
      </x:c>
      <x:c r="G462" s="10">
        <x:v>81</x:v>
      </x:c>
      <x:c r="H462" s="22">
        <x:f t="shared" si="7"/>
        <x:v>9000</x:v>
      </x:c>
      <x:c r="I462" s="22">
        <x:v>729000</x:v>
      </x:c>
      <x:c r="J462" s="10">
        <x:v>24</x:v>
      </x:c>
      <x:c r="K462" s="10">
        <x:v>4</x:v>
      </x:c>
    </x:row>
    <x:row r="463">
      <x:c r="A463" s="10" t="s">
        <x:v>60</x:v>
      </x:c>
      <x:c r="B463" s="10">
        <x:v>9139</x:v>
      </x:c>
      <x:c r="C463" s="10">
        <x:v>13533</x:v>
      </x:c>
      <x:c r="D463" s="10" t="s">
        <x:v>9</x:v>
      </x:c>
      <x:c r="E463" s="10" t="s">
        <x:v>9</x:v>
      </x:c>
      <x:c r="F463" s="10">
        <x:v>19</x:v>
      </x:c>
      <x:c r="G463" s="10">
        <x:v>89</x:v>
      </x:c>
      <x:c r="H463" s="22">
        <x:f t="shared" si="7"/>
        <x:v>9000</x:v>
      </x:c>
      <x:c r="I463" s="22">
        <x:v>801000</x:v>
      </x:c>
      <x:c r="J463" s="10">
        <x:v>24</x:v>
      </x:c>
      <x:c r="K463" s="10">
        <x:v>5</x:v>
      </x:c>
    </x:row>
    <x:row r="464">
      <x:c r="A464" s="10" t="s">
        <x:v>60</x:v>
      </x:c>
      <x:c r="B464" s="10">
        <x:v>10849</x:v>
      </x:c>
      <x:c r="C464" s="10">
        <x:v>13534</x:v>
      </x:c>
      <x:c r="D464" s="10" t="s">
        <x:v>9</x:v>
      </x:c>
      <x:c r="E464" s="10" t="s">
        <x:v>33</x:v>
      </x:c>
      <x:c r="F464" s="10">
        <x:v>41</x:v>
      </x:c>
      <x:c r="G464" s="10">
        <x:v>193</x:v>
      </x:c>
      <x:c r="H464" s="22">
        <x:f t="shared" si="7"/>
        <x:v>8631.3392978549218</x:v>
      </x:c>
      <x:c r="I464" s="22">
        <x:v>1665848.4844859999</x:v>
      </x:c>
      <x:c r="J464" s="10">
        <x:v>24</x:v>
      </x:c>
      <x:c r="K464" s="10">
        <x:v>6</x:v>
      </x:c>
    </x:row>
    <x:row r="465">
      <x:c r="A465" s="10" t="s">
        <x:v>60</x:v>
      </x:c>
      <x:c r="B465" s="10">
        <x:v>10845</x:v>
      </x:c>
      <x:c r="C465" s="10">
        <x:v>13535</x:v>
      </x:c>
      <x:c r="D465" s="10" t="s">
        <x:v>9</x:v>
      </x:c>
      <x:c r="E465" s="10" t="s">
        <x:v>34</x:v>
      </x:c>
      <x:c r="F465" s="10">
        <x:v>33</x:v>
      </x:c>
      <x:c r="G465" s="10">
        <x:v>187</x:v>
      </x:c>
      <x:c r="H465" s="22">
        <x:f t="shared" si="7"/>
        <x:v>8908.2806657005349</x:v>
      </x:c>
      <x:c r="I465" s="22">
        <x:v>1665848.4844859999</x:v>
      </x:c>
      <x:c r="J465" s="10">
        <x:v>24</x:v>
      </x:c>
      <x:c r="K465" s="10">
        <x:v>7</x:v>
      </x:c>
    </x:row>
    <x:row r="466">
      <x:c r="A466" s="10" t="s">
        <x:v>60</x:v>
      </x:c>
      <x:c r="B466" s="10">
        <x:v>10856</x:v>
      </x:c>
      <x:c r="C466" s="10">
        <x:v>13536</x:v>
      </x:c>
      <x:c r="D466" s="10" t="s">
        <x:v>9</x:v>
      </x:c>
      <x:c r="E466" s="10" t="s">
        <x:v>33</x:v>
      </x:c>
      <x:c r="F466" s="10">
        <x:v>40</x:v>
      </x:c>
      <x:c r="G466" s="10">
        <x:v>182</x:v>
      </x:c>
      <x:c r="H466" s="22">
        <x:f t="shared" si="7"/>
        <x:v>9153.0136510219781</x:v>
      </x:c>
      <x:c r="I466" s="22">
        <x:v>1665848.4844859999</x:v>
      </x:c>
      <x:c r="J466" s="10">
        <x:v>24</x:v>
      </x:c>
      <x:c r="K466" s="10">
        <x:v>8</x:v>
      </x:c>
    </x:row>
    <x:row r="467">
      <x:c r="A467" s="10" t="s">
        <x:v>60</x:v>
      </x:c>
      <x:c r="B467" s="10">
        <x:v>10850</x:v>
      </x:c>
      <x:c r="C467" s="10">
        <x:v>13537</x:v>
      </x:c>
      <x:c r="D467" s="10" t="s">
        <x:v>9</x:v>
      </x:c>
      <x:c r="E467" s="10" t="s">
        <x:v>33</x:v>
      </x:c>
      <x:c r="F467" s="10">
        <x:v>46</x:v>
      </x:c>
      <x:c r="G467" s="10">
        <x:v>185</x:v>
      </x:c>
      <x:c r="H467" s="22">
        <x:f t="shared" si="7"/>
        <x:v>9004.5864026270265</x:v>
      </x:c>
      <x:c r="I467" s="22">
        <x:v>1665848.4844859999</x:v>
      </x:c>
      <x:c r="J467" s="10">
        <x:v>24</x:v>
      </x:c>
      <x:c r="K467" s="10">
        <x:v>9</x:v>
      </x:c>
    </x:row>
    <x:row r="468">
      <x:c r="A468" s="10" t="s">
        <x:v>60</x:v>
      </x:c>
      <x:c r="B468" s="10">
        <x:v>10857</x:v>
      </x:c>
      <x:c r="C468" s="10">
        <x:v>13538</x:v>
      </x:c>
      <x:c r="D468" s="10" t="s">
        <x:v>9</x:v>
      </x:c>
      <x:c r="E468" s="10" t="s">
        <x:v>33</x:v>
      </x:c>
      <x:c r="F468" s="10">
        <x:v>40</x:v>
      </x:c>
      <x:c r="G468" s="10">
        <x:v>182</x:v>
      </x:c>
      <x:c r="H468" s="22">
        <x:f t="shared" si="7"/>
        <x:v>9153.0136510219781</x:v>
      </x:c>
      <x:c r="I468" s="22">
        <x:v>1665848.4844859999</x:v>
      </x:c>
      <x:c r="J468" s="10">
        <x:v>24</x:v>
      </x:c>
      <x:c r="K468" s="10">
        <x:v>10</x:v>
      </x:c>
    </x:row>
    <x:row r="469">
      <x:c r="A469" s="10" t="s">
        <x:v>60</x:v>
      </x:c>
      <x:c r="B469" s="10">
        <x:v>8833</x:v>
      </x:c>
      <x:c r="C469" s="10">
        <x:v>13539</x:v>
      </x:c>
      <x:c r="D469" s="10" t="s">
        <x:v>9</x:v>
      </x:c>
      <x:c r="E469" s="10" t="s">
        <x:v>9</x:v>
      </x:c>
      <x:c r="F469" s="10">
        <x:v>52</x:v>
      </x:c>
      <x:c r="G469" s="10">
        <x:v>198</x:v>
      </x:c>
      <x:c r="H469" s="22">
        <x:f t="shared" si="7"/>
        <x:v>9000</x:v>
      </x:c>
      <x:c r="I469" s="22">
        <x:v>1782000</x:v>
      </x:c>
      <x:c r="J469" s="10">
        <x:v>24</x:v>
      </x:c>
      <x:c r="K469" s="10">
        <x:v>11</x:v>
      </x:c>
    </x:row>
    <x:row r="470">
      <x:c r="A470" s="10" t="s">
        <x:v>60</x:v>
      </x:c>
      <x:c r="B470" s="10">
        <x:v>8823</x:v>
      </x:c>
      <x:c r="C470" s="10">
        <x:v>13540</x:v>
      </x:c>
      <x:c r="D470" s="10" t="s">
        <x:v>9</x:v>
      </x:c>
      <x:c r="E470" s="10" t="s">
        <x:v>9</x:v>
      </x:c>
      <x:c r="F470" s="10">
        <x:v>43</x:v>
      </x:c>
      <x:c r="G470" s="10">
        <x:v>199</x:v>
      </x:c>
      <x:c r="H470" s="22">
        <x:f t="shared" si="7"/>
        <x:v>9000</x:v>
      </x:c>
      <x:c r="I470" s="22">
        <x:v>1791000</x:v>
      </x:c>
      <x:c r="J470" s="10">
        <x:v>24</x:v>
      </x:c>
      <x:c r="K470" s="10">
        <x:v>12</x:v>
      </x:c>
    </x:row>
    <x:row r="471">
      <x:c r="A471" s="10" t="s">
        <x:v>60</x:v>
      </x:c>
      <x:c r="B471" s="10">
        <x:v>8997</x:v>
      </x:c>
      <x:c r="C471" s="10">
        <x:v>13541</x:v>
      </x:c>
      <x:c r="D471" s="10" t="s">
        <x:v>9</x:v>
      </x:c>
      <x:c r="E471" s="10" t="s">
        <x:v>9</x:v>
      </x:c>
      <x:c r="F471" s="10">
        <x:v>50</x:v>
      </x:c>
      <x:c r="G471" s="10">
        <x:v>164</x:v>
      </x:c>
      <x:c r="H471" s="22">
        <x:f t="shared" si="7"/>
        <x:v>9000</x:v>
      </x:c>
      <x:c r="I471" s="22">
        <x:v>1476000</x:v>
      </x:c>
      <x:c r="J471" s="10">
        <x:v>24</x:v>
      </x:c>
      <x:c r="K471" s="10">
        <x:v>13</x:v>
      </x:c>
    </x:row>
    <x:row r="472">
      <x:c r="A472" s="10" t="s">
        <x:v>60</x:v>
      </x:c>
      <x:c r="B472" s="10">
        <x:v>10504</x:v>
      </x:c>
      <x:c r="C472" s="10">
        <x:v>13542</x:v>
      </x:c>
      <x:c r="D472" s="10" t="s">
        <x:v>9</x:v>
      </x:c>
      <x:c r="E472" s="10" t="s">
        <x:v>33</x:v>
      </x:c>
      <x:c r="F472" s="10">
        <x:v>35</x:v>
      </x:c>
      <x:c r="G472" s="10">
        <x:v>190</x:v>
      </x:c>
      <x:c r="H472" s="22">
        <x:f t="shared" si="7"/>
        <x:v>8767.6236025578946</x:v>
      </x:c>
      <x:c r="I472" s="22">
        <x:v>1665848.4844859999</x:v>
      </x:c>
      <x:c r="J472" s="10">
        <x:v>24</x:v>
      </x:c>
      <x:c r="K472" s="10">
        <x:v>14</x:v>
      </x:c>
    </x:row>
    <x:row r="473">
      <x:c r="A473" s="10" t="s">
        <x:v>60</x:v>
      </x:c>
      <x:c r="B473" s="10">
        <x:v>9599</x:v>
      </x:c>
      <x:c r="C473" s="10">
        <x:v>13543</x:v>
      </x:c>
      <x:c r="D473" s="10" t="s">
        <x:v>9</x:v>
      </x:c>
      <x:c r="E473" s="10" t="s">
        <x:v>9</x:v>
      </x:c>
      <x:c r="F473" s="10">
        <x:v>0</x:v>
      </x:c>
      <x:c r="G473" s="10">
        <x:v>153</x:v>
      </x:c>
      <x:c r="H473" s="22">
        <x:f t="shared" si="7"/>
        <x:v>9000</x:v>
      </x:c>
      <x:c r="I473" s="22">
        <x:v>1377000</x:v>
      </x:c>
      <x:c r="J473" s="10">
        <x:v>24</x:v>
      </x:c>
      <x:c r="K473" s="10">
        <x:v>15</x:v>
      </x:c>
    </x:row>
    <x:row r="474">
      <x:c r="A474" s="10" t="s">
        <x:v>60</x:v>
      </x:c>
      <x:c r="B474" s="10">
        <x:v>10775</x:v>
      </x:c>
      <x:c r="C474" s="10">
        <x:v>13544</x:v>
      </x:c>
      <x:c r="D474" s="10" t="s">
        <x:v>6</x:v>
      </x:c>
      <x:c r="E474" s="10" t="s">
        <x:v>20</x:v>
      </x:c>
      <x:c r="F474" s="10">
        <x:v>50</x:v>
      </x:c>
      <x:c r="G474" s="10">
        <x:v>186</x:v>
      </x:c>
      <x:c r="H474" s="22">
        <x:f t="shared" si="7"/>
        <x:v>8956.1746477741926</x:v>
      </x:c>
      <x:c r="I474" s="22">
        <x:v>1665848.4844859999</x:v>
      </x:c>
      <x:c r="J474" s="10">
        <x:v>24</x:v>
      </x:c>
      <x:c r="K474" s="10">
        <x:v>16</x:v>
      </x:c>
    </x:row>
    <x:row r="475">
      <x:c r="A475" s="10" t="s">
        <x:v>60</x:v>
      </x:c>
      <x:c r="B475" s="10">
        <x:v>10771</x:v>
      </x:c>
      <x:c r="C475" s="10">
        <x:v>13545</x:v>
      </x:c>
      <x:c r="D475" s="10" t="s">
        <x:v>6</x:v>
      </x:c>
      <x:c r="E475" s="10" t="s">
        <x:v>20</x:v>
      </x:c>
      <x:c r="F475" s="10">
        <x:v>51</x:v>
      </x:c>
      <x:c r="G475" s="10">
        <x:v>181</x:v>
      </x:c>
      <x:c r="H475" s="22">
        <x:f t="shared" si="7"/>
        <x:v>9203.5827872154696</x:v>
      </x:c>
      <x:c r="I475" s="22">
        <x:v>1665848.4844859999</x:v>
      </x:c>
      <x:c r="J475" s="10">
        <x:v>24</x:v>
      </x:c>
      <x:c r="K475" s="10">
        <x:v>17</x:v>
      </x:c>
    </x:row>
    <x:row r="476">
      <x:c r="A476" s="10" t="s">
        <x:v>60</x:v>
      </x:c>
      <x:c r="B476" s="10">
        <x:v>10778</x:v>
      </x:c>
      <x:c r="C476" s="10">
        <x:v>13546</x:v>
      </x:c>
      <x:c r="D476" s="10" t="s">
        <x:v>6</x:v>
      </x:c>
      <x:c r="E476" s="10" t="s">
        <x:v>20</x:v>
      </x:c>
      <x:c r="F476" s="10">
        <x:v>48</x:v>
      </x:c>
      <x:c r="G476" s="10">
        <x:v>182</x:v>
      </x:c>
      <x:c r="H476" s="22">
        <x:f t="shared" si="7"/>
        <x:v>9125.5411235494503</x:v>
      </x:c>
      <x:c r="I476" s="22">
        <x:v>1660848.4844859999</x:v>
      </x:c>
      <x:c r="J476" s="10">
        <x:v>24</x:v>
      </x:c>
      <x:c r="K476" s="10">
        <x:v>18</x:v>
      </x:c>
    </x:row>
    <x:row r="477">
      <x:c r="A477" s="10" t="s">
        <x:v>60</x:v>
      </x:c>
      <x:c r="B477" s="10">
        <x:v>10764</x:v>
      </x:c>
      <x:c r="C477" s="10">
        <x:v>13547</x:v>
      </x:c>
      <x:c r="D477" s="10" t="s">
        <x:v>6</x:v>
      </x:c>
      <x:c r="E477" s="10" t="s">
        <x:v>20</x:v>
      </x:c>
      <x:c r="F477" s="10">
        <x:v>50</x:v>
      </x:c>
      <x:c r="G477" s="10">
        <x:v>182</x:v>
      </x:c>
      <x:c r="H477" s="22">
        <x:f t="shared" si="7"/>
        <x:v>9153.0136510219781</x:v>
      </x:c>
      <x:c r="I477" s="22">
        <x:v>1665848.4844859999</x:v>
      </x:c>
      <x:c r="J477" s="10">
        <x:v>24</x:v>
      </x:c>
      <x:c r="K477" s="10">
        <x:v>19</x:v>
      </x:c>
    </x:row>
    <x:row r="478">
      <x:c r="A478" s="10" t="s">
        <x:v>60</x:v>
      </x:c>
      <x:c r="B478" s="10">
        <x:v>10773</x:v>
      </x:c>
      <x:c r="C478" s="10">
        <x:v>13548</x:v>
      </x:c>
      <x:c r="D478" s="10" t="s">
        <x:v>6</x:v>
      </x:c>
      <x:c r="E478" s="10" t="s">
        <x:v>20</x:v>
      </x:c>
      <x:c r="F478" s="10">
        <x:v>51</x:v>
      </x:c>
      <x:c r="G478" s="10">
        <x:v>183</x:v>
      </x:c>
      <x:c r="H478" s="22">
        <x:f t="shared" si="7"/>
        <x:v>9102.9971829836068</x:v>
      </x:c>
      <x:c r="I478" s="22">
        <x:v>1665848.4844859999</x:v>
      </x:c>
      <x:c r="J478" s="10">
        <x:v>24</x:v>
      </x:c>
      <x:c r="K478" s="10">
        <x:v>20</x:v>
      </x:c>
    </x:row>
    <x:row r="479">
      <x:c r="A479" s="10" t="s">
        <x:v>60</x:v>
      </x:c>
      <x:c r="B479" s="10">
        <x:v>5943</x:v>
      </x:c>
      <x:c r="C479" s="10">
        <x:v>13907</x:v>
      </x:c>
      <x:c r="D479" s="10" t="s">
        <x:v>0</x:v>
      </x:c>
      <x:c r="E479" s="10" t="s">
        <x:v>63</x:v>
      </x:c>
      <x:c r="F479" s="10">
        <x:v>32</x:v>
      </x:c>
      <x:c r="G479" s="10">
        <x:v>198</x:v>
      </x:c>
      <x:c r="H479" s="22">
        <x:f t="shared" si="7"/>
        <x:v>10279.656070468181</x:v>
      </x:c>
      <x:c r="I479" s="22">
        <x:v>2035371.9019527</x:v>
      </x:c>
      <x:c r="J479" s="10">
        <x:v>25</x:v>
      </x:c>
      <x:c r="K479" s="10">
        <x:v>1</x:v>
      </x:c>
    </x:row>
    <x:row r="480">
      <x:c r="A480" s="10" t="s">
        <x:v>60</x:v>
      </x:c>
      <x:c r="B480" s="10">
        <x:v>5948</x:v>
      </x:c>
      <x:c r="C480" s="10">
        <x:v>13908</x:v>
      </x:c>
      <x:c r="D480" s="10" t="s">
        <x:v>0</x:v>
      </x:c>
      <x:c r="E480" s="10" t="s">
        <x:v>63</x:v>
      </x:c>
      <x:c r="F480" s="10">
        <x:v>31</x:v>
      </x:c>
      <x:c r="G480" s="10">
        <x:v>192</x:v>
      </x:c>
      <x:c r="H480" s="22">
        <x:f t="shared" si="7"/>
        <x:v>10652.978656003646</x:v>
      </x:c>
      <x:c r="I480" s="22">
        <x:v>2045371.9019527</x:v>
      </x:c>
      <x:c r="J480" s="10">
        <x:v>25</x:v>
      </x:c>
      <x:c r="K480" s="10">
        <x:v>2</x:v>
      </x:c>
    </x:row>
    <x:row r="481">
      <x:c r="A481" s="10" t="s">
        <x:v>60</x:v>
      </x:c>
      <x:c r="B481" s="10">
        <x:v>6878</x:v>
      </x:c>
      <x:c r="C481" s="10">
        <x:v>13909</x:v>
      </x:c>
      <x:c r="D481" s="10" t="s">
        <x:v>0</x:v>
      </x:c>
      <x:c r="E481" s="10" t="s">
        <x:v>24</x:v>
      </x:c>
      <x:c r="F481" s="10">
        <x:v>26</x:v>
      </x:c>
      <x:c r="G481" s="10">
        <x:v>192</x:v>
      </x:c>
      <x:c r="H481" s="22">
        <x:f t="shared" si="7"/>
        <x:v>10600.895322670312</x:v>
      </x:c>
      <x:c r="I481" s="22">
        <x:v>2035371.9019527</x:v>
      </x:c>
      <x:c r="J481" s="10">
        <x:v>25</x:v>
      </x:c>
      <x:c r="K481" s="10">
        <x:v>3</x:v>
      </x:c>
    </x:row>
    <x:row r="482">
      <x:c r="A482" s="10" t="s">
        <x:v>60</x:v>
      </x:c>
      <x:c r="B482" s="10">
        <x:v>6879</x:v>
      </x:c>
      <x:c r="C482" s="10">
        <x:v>13910</x:v>
      </x:c>
      <x:c r="D482" s="10" t="s">
        <x:v>0</x:v>
      </x:c>
      <x:c r="E482" s="10" t="s">
        <x:v>24</x:v>
      </x:c>
      <x:c r="F482" s="10">
        <x:v>28</x:v>
      </x:c>
      <x:c r="G482" s="10">
        <x:v>192</x:v>
      </x:c>
      <x:c r="H482" s="22">
        <x:f t="shared" si="7"/>
        <x:v>10652.978656003646</x:v>
      </x:c>
      <x:c r="I482" s="22">
        <x:v>2045371.9019527</x:v>
      </x:c>
      <x:c r="J482" s="10">
        <x:v>25</x:v>
      </x:c>
      <x:c r="K482" s="10">
        <x:v>4</x:v>
      </x:c>
    </x:row>
    <x:row r="483">
      <x:c r="A483" s="10" t="s">
        <x:v>60</x:v>
      </x:c>
      <x:c r="B483" s="10">
        <x:v>6966</x:v>
      </x:c>
      <x:c r="C483" s="10">
        <x:v>13911</x:v>
      </x:c>
      <x:c r="D483" s="10" t="s">
        <x:v>0</x:v>
      </x:c>
      <x:c r="E483" s="10" t="s">
        <x:v>24</x:v>
      </x:c>
      <x:c r="F483" s="10">
        <x:v>26</x:v>
      </x:c>
      <x:c r="G483" s="10">
        <x:v>177</x:v>
      </x:c>
      <x:c r="H483" s="22">
        <x:f t="shared" si="7"/>
        <x:v>11237.976847190395</x:v>
      </x:c>
      <x:c r="I483" s="22">
        <x:v>1989121.9019527</x:v>
      </x:c>
      <x:c r="J483" s="10">
        <x:v>25</x:v>
      </x:c>
      <x:c r="K483" s="10">
        <x:v>5</x:v>
      </x:c>
    </x:row>
    <x:row r="484">
      <x:c r="A484" s="10" t="s">
        <x:v>60</x:v>
      </x:c>
      <x:c r="B484" s="10">
        <x:v>10784</x:v>
      </x:c>
      <x:c r="C484" s="10">
        <x:v>13912</x:v>
      </x:c>
      <x:c r="D484" s="10" t="s">
        <x:v>0</x:v>
      </x:c>
      <x:c r="E484" s="10" t="s">
        <x:v>32</x:v>
      </x:c>
      <x:c r="F484" s="10">
        <x:v>30</x:v>
      </x:c>
      <x:c r="G484" s="10">
        <x:v>192</x:v>
      </x:c>
      <x:c r="H484" s="22">
        <x:f t="shared" si="7"/>
        <x:v>8676.2941900312489</x:v>
      </x:c>
      <x:c r="I484" s="22">
        <x:v>1665848.4844859999</x:v>
      </x:c>
      <x:c r="J484" s="10">
        <x:v>25</x:v>
      </x:c>
      <x:c r="K484" s="10">
        <x:v>6</x:v>
      </x:c>
    </x:row>
    <x:row r="485">
      <x:c r="A485" s="10" t="s">
        <x:v>60</x:v>
      </x:c>
      <x:c r="B485" s="10">
        <x:v>6880</x:v>
      </x:c>
      <x:c r="C485" s="10">
        <x:v>13913</x:v>
      </x:c>
      <x:c r="D485" s="10" t="s">
        <x:v>0</x:v>
      </x:c>
      <x:c r="E485" s="10" t="s">
        <x:v>24</x:v>
      </x:c>
      <x:c r="F485" s="10">
        <x:v>26</x:v>
      </x:c>
      <x:c r="G485" s="10">
        <x:v>193</x:v>
      </x:c>
      <x:c r="H485" s="22">
        <x:f t="shared" si="7"/>
        <x:v>10597.78187540259</x:v>
      </x:c>
      <x:c r="I485" s="22">
        <x:v>2045371.9019527</x:v>
      </x:c>
      <x:c r="J485" s="10">
        <x:v>25</x:v>
      </x:c>
      <x:c r="K485" s="10">
        <x:v>7</x:v>
      </x:c>
    </x:row>
    <x:row r="486">
      <x:c r="A486" s="10" t="s">
        <x:v>60</x:v>
      </x:c>
      <x:c r="B486" s="10">
        <x:v>9267</x:v>
      </x:c>
      <x:c r="C486" s="10">
        <x:v>13914</x:v>
      </x:c>
      <x:c r="D486" s="10" t="s">
        <x:v>0</x:v>
      </x:c>
      <x:c r="E486" s="10" t="s">
        <x:v>0</x:v>
      </x:c>
      <x:c r="F486" s="10">
        <x:v>37</x:v>
      </x:c>
      <x:c r="G486" s="10">
        <x:v>178</x:v>
      </x:c>
      <x:c r="H486" s="22">
        <x:f t="shared" si="7"/>
        <x:v>13000</x:v>
      </x:c>
      <x:c r="I486" s="22">
        <x:v>2314000</x:v>
      </x:c>
      <x:c r="J486" s="10">
        <x:v>25</x:v>
      </x:c>
      <x:c r="K486" s="10">
        <x:v>8</x:v>
      </x:c>
    </x:row>
    <x:row r="487">
      <x:c r="A487" s="10" t="s">
        <x:v>60</x:v>
      </x:c>
      <x:c r="B487" s="10">
        <x:v>6846</x:v>
      </x:c>
      <x:c r="C487" s="10">
        <x:v>13915</x:v>
      </x:c>
      <x:c r="D487" s="10" t="s">
        <x:v>0</x:v>
      </x:c>
      <x:c r="E487" s="10" t="s">
        <x:v>65</x:v>
      </x:c>
      <x:c r="F487" s="10">
        <x:v>35</x:v>
      </x:c>
      <x:c r="G487" s="10">
        <x:v>206</x:v>
      </x:c>
      <x:c r="H487" s="22">
        <x:f t="shared" si="7"/>
        <x:v>9637.7276793820383</x:v>
      </x:c>
      <x:c r="I487" s="22">
        <x:v>1985371.9019527</x:v>
      </x:c>
      <x:c r="J487" s="10">
        <x:v>25</x:v>
      </x:c>
      <x:c r="K487" s="10">
        <x:v>9</x:v>
      </x:c>
    </x:row>
    <x:row r="488">
      <x:c r="A488" s="10" t="s">
        <x:v>60</x:v>
      </x:c>
      <x:c r="B488" s="10">
        <x:v>6848</x:v>
      </x:c>
      <x:c r="C488" s="10">
        <x:v>13916</x:v>
      </x:c>
      <x:c r="D488" s="10" t="s">
        <x:v>0</x:v>
      </x:c>
      <x:c r="E488" s="10" t="s">
        <x:v>65</x:v>
      </x:c>
      <x:c r="F488" s="10">
        <x:v>37</x:v>
      </x:c>
      <x:c r="G488" s="10">
        <x:v>205</x:v>
      </x:c>
      <x:c r="H488" s="22">
        <x:f t="shared" si="7"/>
        <x:v>9684.7409851351222</x:v>
      </x:c>
      <x:c r="I488" s="22">
        <x:v>1985371.9019527</x:v>
      </x:c>
      <x:c r="J488" s="10">
        <x:v>25</x:v>
      </x:c>
      <x:c r="K488" s="10">
        <x:v>10</x:v>
      </x:c>
    </x:row>
    <x:row r="489">
      <x:c r="A489" s="10" t="s">
        <x:v>60</x:v>
      </x:c>
      <x:c r="B489" s="10">
        <x:v>6850</x:v>
      </x:c>
      <x:c r="C489" s="10">
        <x:v>13917</x:v>
      </x:c>
      <x:c r="D489" s="10" t="s">
        <x:v>0</x:v>
      </x:c>
      <x:c r="E489" s="10" t="s">
        <x:v>65</x:v>
      </x:c>
      <x:c r="F489" s="10">
        <x:v>35</x:v>
      </x:c>
      <x:c r="G489" s="10">
        <x:v>205</x:v>
      </x:c>
      <x:c r="H489" s="22">
        <x:f t="shared" si="7"/>
        <x:v>9684.7409851351222</x:v>
      </x:c>
      <x:c r="I489" s="22">
        <x:v>1985371.9019527</x:v>
      </x:c>
      <x:c r="J489" s="10">
        <x:v>25</x:v>
      </x:c>
      <x:c r="K489" s="10">
        <x:v>11</x:v>
      </x:c>
    </x:row>
    <x:row r="490">
      <x:c r="A490" s="10" t="s">
        <x:v>60</x:v>
      </x:c>
      <x:c r="B490" s="10">
        <x:v>9058</x:v>
      </x:c>
      <x:c r="C490" s="10">
        <x:v>13918</x:v>
      </x:c>
      <x:c r="D490" s="10" t="s">
        <x:v>0</x:v>
      </x:c>
      <x:c r="E490" s="10" t="s">
        <x:v>0</x:v>
      </x:c>
      <x:c r="F490" s="10">
        <x:v>32</x:v>
      </x:c>
      <x:c r="G490" s="10">
        <x:v>199</x:v>
      </x:c>
      <x:c r="H490" s="22">
        <x:f t="shared" si="7"/>
        <x:v>13000</x:v>
      </x:c>
      <x:c r="I490" s="22">
        <x:v>2587000</x:v>
      </x:c>
      <x:c r="J490" s="10">
        <x:v>25</x:v>
      </x:c>
      <x:c r="K490" s="10">
        <x:v>12</x:v>
      </x:c>
    </x:row>
    <x:row r="491">
      <x:c r="A491" s="10" t="s">
        <x:v>60</x:v>
      </x:c>
      <x:c r="B491" s="10">
        <x:v>6847</x:v>
      </x:c>
      <x:c r="C491" s="10">
        <x:v>13919</x:v>
      </x:c>
      <x:c r="D491" s="10" t="s">
        <x:v>0</x:v>
      </x:c>
      <x:c r="E491" s="10" t="s">
        <x:v>65</x:v>
      </x:c>
      <x:c r="F491" s="10">
        <x:v>36</x:v>
      </x:c>
      <x:c r="G491" s="10">
        <x:v>208</x:v>
      </x:c>
      <x:c r="H491" s="22">
        <x:f t="shared" si="7"/>
        <x:v>9545.0572209264428</x:v>
      </x:c>
      <x:c r="I491" s="22">
        <x:v>1985371.9019527</x:v>
      </x:c>
      <x:c r="J491" s="10">
        <x:v>25</x:v>
      </x:c>
      <x:c r="K491" s="10">
        <x:v>13</x:v>
      </x:c>
    </x:row>
    <x:row r="492">
      <x:c r="A492" s="10" t="s">
        <x:v>60</x:v>
      </x:c>
      <x:c r="B492" s="10">
        <x:v>6843</x:v>
      </x:c>
      <x:c r="C492" s="10">
        <x:v>13920</x:v>
      </x:c>
      <x:c r="D492" s="10" t="s">
        <x:v>0</x:v>
      </x:c>
      <x:c r="E492" s="10" t="s">
        <x:v>65</x:v>
      </x:c>
      <x:c r="F492" s="10">
        <x:v>35</x:v>
      </x:c>
      <x:c r="G492" s="10">
        <x:v>205</x:v>
      </x:c>
      <x:c r="H492" s="22">
        <x:f t="shared" si="7"/>
        <x:v>9684.7409851351222</x:v>
      </x:c>
      <x:c r="I492" s="22">
        <x:v>1985371.9019527</x:v>
      </x:c>
      <x:c r="J492" s="10">
        <x:v>25</x:v>
      </x:c>
      <x:c r="K492" s="10">
        <x:v>14</x:v>
      </x:c>
    </x:row>
    <x:row r="493">
      <x:c r="A493" s="10" t="s">
        <x:v>60</x:v>
      </x:c>
      <x:c r="B493" s="10">
        <x:v>6823</x:v>
      </x:c>
      <x:c r="C493" s="10">
        <x:v>13921</x:v>
      </x:c>
      <x:c r="D493" s="10" t="s">
        <x:v>0</x:v>
      </x:c>
      <x:c r="E493" s="10" t="s">
        <x:v>24</x:v>
      </x:c>
      <x:c r="F493" s="10">
        <x:v>28</x:v>
      </x:c>
      <x:c r="G493" s="10">
        <x:v>192</x:v>
      </x:c>
      <x:c r="H493" s="22">
        <x:f t="shared" si="7"/>
        <x:v>10652.978656003646</x:v>
      </x:c>
      <x:c r="I493" s="22">
        <x:v>2045371.9019527</x:v>
      </x:c>
      <x:c r="J493" s="10">
        <x:v>25</x:v>
      </x:c>
      <x:c r="K493" s="10">
        <x:v>15</x:v>
      </x:c>
    </x:row>
    <x:row r="494">
      <x:c r="A494" s="10" t="s">
        <x:v>60</x:v>
      </x:c>
      <x:c r="B494" s="10">
        <x:v>6968</x:v>
      </x:c>
      <x:c r="C494" s="10">
        <x:v>13922</x:v>
      </x:c>
      <x:c r="D494" s="10" t="s">
        <x:v>0</x:v>
      </x:c>
      <x:c r="E494" s="10" t="s">
        <x:v>24</x:v>
      </x:c>
      <x:c r="F494" s="10">
        <x:v>28</x:v>
      </x:c>
      <x:c r="G494" s="10">
        <x:v>192</x:v>
      </x:c>
      <x:c r="H494" s="22">
        <x:f t="shared" si="7"/>
        <x:v>10652.978656003646</x:v>
      </x:c>
      <x:c r="I494" s="22">
        <x:v>2045371.9019527</x:v>
      </x:c>
      <x:c r="J494" s="10">
        <x:v>25</x:v>
      </x:c>
      <x:c r="K494" s="10">
        <x:v>16</x:v>
      </x:c>
    </x:row>
    <x:row r="495">
      <x:c r="A495" s="10" t="s">
        <x:v>60</x:v>
      </x:c>
      <x:c r="B495" s="10">
        <x:v>6965</x:v>
      </x:c>
      <x:c r="C495" s="10">
        <x:v>13923</x:v>
      </x:c>
      <x:c r="D495" s="10" t="s">
        <x:v>0</x:v>
      </x:c>
      <x:c r="E495" s="10" t="s">
        <x:v>24</x:v>
      </x:c>
      <x:c r="F495" s="10">
        <x:v>26</x:v>
      </x:c>
      <x:c r="G495" s="10">
        <x:v>192</x:v>
      </x:c>
      <x:c r="H495" s="22">
        <x:f t="shared" si="7"/>
        <x:v>10652.978656003646</x:v>
      </x:c>
      <x:c r="I495" s="22">
        <x:v>2045371.9019527</x:v>
      </x:c>
      <x:c r="J495" s="10">
        <x:v>25</x:v>
      </x:c>
      <x:c r="K495" s="10">
        <x:v>17</x:v>
      </x:c>
    </x:row>
    <x:row r="496">
      <x:c r="A496" s="10" t="s">
        <x:v>60</x:v>
      </x:c>
      <x:c r="B496" s="10">
        <x:v>8674</x:v>
      </x:c>
      <x:c r="C496" s="10">
        <x:v>13924</x:v>
      </x:c>
      <x:c r="D496" s="10" t="s">
        <x:v>0</x:v>
      </x:c>
      <x:c r="E496" s="10" t="s">
        <x:v>0</x:v>
      </x:c>
      <x:c r="F496" s="10">
        <x:v>43</x:v>
      </x:c>
      <x:c r="G496" s="10">
        <x:v>209</x:v>
      </x:c>
      <x:c r="H496" s="22">
        <x:f t="shared" si="7"/>
        <x:v>13000</x:v>
      </x:c>
      <x:c r="I496" s="22">
        <x:v>2717000</x:v>
      </x:c>
      <x:c r="J496" s="10">
        <x:v>25</x:v>
      </x:c>
      <x:c r="K496" s="10">
        <x:v>18</x:v>
      </x:c>
    </x:row>
    <x:row r="497">
      <x:c r="A497" s="10" t="s">
        <x:v>60</x:v>
      </x:c>
      <x:c r="B497" s="10">
        <x:v>6969</x:v>
      </x:c>
      <x:c r="C497" s="10">
        <x:v>13925</x:v>
      </x:c>
      <x:c r="D497" s="10" t="s">
        <x:v>0</x:v>
      </x:c>
      <x:c r="E497" s="10" t="s">
        <x:v>24</x:v>
      </x:c>
      <x:c r="F497" s="10">
        <x:v>28</x:v>
      </x:c>
      <x:c r="G497" s="10">
        <x:v>175</x:v>
      </x:c>
      <x:c r="H497" s="22">
        <x:f t="shared" si="7"/>
        <x:v>11323.553725444001</x:v>
      </x:c>
      <x:c r="I497" s="22">
        <x:v>1981621.9019527</x:v>
      </x:c>
      <x:c r="J497" s="10">
        <x:v>25</x:v>
      </x:c>
      <x:c r="K497" s="10">
        <x:v>19</x:v>
      </x:c>
    </x:row>
    <x:row r="498">
      <x:c r="A498" s="10" t="s">
        <x:v>60</x:v>
      </x:c>
      <x:c r="B498" s="10">
        <x:v>6883</x:v>
      </x:c>
      <x:c r="C498" s="10">
        <x:v>13926</x:v>
      </x:c>
      <x:c r="D498" s="10" t="s">
        <x:v>0</x:v>
      </x:c>
      <x:c r="E498" s="10" t="s">
        <x:v>24</x:v>
      </x:c>
      <x:c r="F498" s="10">
        <x:v>26</x:v>
      </x:c>
      <x:c r="G498" s="10">
        <x:v>192</x:v>
      </x:c>
      <x:c r="H498" s="22">
        <x:f t="shared" si="7"/>
        <x:v>10652.978656003646</x:v>
      </x:c>
      <x:c r="I498" s="22">
        <x:v>2045371.9019527</x:v>
      </x:c>
      <x:c r="J498" s="10">
        <x:v>25</x:v>
      </x:c>
      <x:c r="K498" s="10">
        <x:v>20</x:v>
      </x:c>
    </x:row>
    <x:row r="499">
      <x:c r="A499" s="10" t="s">
        <x:v>60</x:v>
      </x:c>
      <x:c r="B499" s="10">
        <x:v>9175</x:v>
      </x:c>
      <x:c r="C499" s="10">
        <x:v>13927</x:v>
      </x:c>
      <x:c r="D499" s="10" t="s">
        <x:v>9</x:v>
      </x:c>
      <x:c r="E499" s="10" t="s">
        <x:v>9</x:v>
      </x:c>
      <x:c r="F499" s="10">
        <x:v>18</x:v>
      </x:c>
      <x:c r="G499" s="10">
        <x:v>92</x:v>
      </x:c>
      <x:c r="H499" s="22">
        <x:f t="shared" si="7"/>
        <x:v>9000</x:v>
      </x:c>
      <x:c r="I499" s="22">
        <x:v>828000</x:v>
      </x:c>
      <x:c r="J499" s="10">
        <x:v>26</x:v>
      </x:c>
      <x:c r="K499" s="10">
        <x:v>1</x:v>
      </x:c>
    </x:row>
    <x:row r="500">
      <x:c r="A500" s="10" t="s">
        <x:v>60</x:v>
      </x:c>
      <x:c r="B500" s="10">
        <x:v>9155</x:v>
      </x:c>
      <x:c r="C500" s="10">
        <x:v>13928</x:v>
      </x:c>
      <x:c r="D500" s="10" t="s">
        <x:v>9</x:v>
      </x:c>
      <x:c r="E500" s="10" t="s">
        <x:v>9</x:v>
      </x:c>
      <x:c r="F500" s="10">
        <x:v>15</x:v>
      </x:c>
      <x:c r="G500" s="10">
        <x:v>84</x:v>
      </x:c>
      <x:c r="H500" s="22">
        <x:f t="shared" si="7"/>
        <x:v>9000</x:v>
      </x:c>
      <x:c r="I500" s="22">
        <x:v>756000</x:v>
      </x:c>
      <x:c r="J500" s="10">
        <x:v>26</x:v>
      </x:c>
      <x:c r="K500" s="10">
        <x:v>2</x:v>
      </x:c>
    </x:row>
    <x:row r="501">
      <x:c r="A501" s="10" t="s">
        <x:v>60</x:v>
      </x:c>
      <x:c r="B501" s="10">
        <x:v>9092</x:v>
      </x:c>
      <x:c r="C501" s="10">
        <x:v>13929</x:v>
      </x:c>
      <x:c r="D501" s="10" t="s">
        <x:v>9</x:v>
      </x:c>
      <x:c r="E501" s="10" t="s">
        <x:v>9</x:v>
      </x:c>
      <x:c r="F501" s="10">
        <x:v>13</x:v>
      </x:c>
      <x:c r="G501" s="10">
        <x:v>79</x:v>
      </x:c>
      <x:c r="H501" s="22">
        <x:f t="shared" si="7"/>
        <x:v>9000</x:v>
      </x:c>
      <x:c r="I501" s="22">
        <x:v>711000</x:v>
      </x:c>
      <x:c r="J501" s="10">
        <x:v>26</x:v>
      </x:c>
      <x:c r="K501" s="10">
        <x:v>3</x:v>
      </x:c>
    </x:row>
    <x:row r="502">
      <x:c r="A502" s="10" t="s">
        <x:v>60</x:v>
      </x:c>
      <x:c r="B502" s="10">
        <x:v>9130</x:v>
      </x:c>
      <x:c r="C502" s="10">
        <x:v>13930</x:v>
      </x:c>
      <x:c r="D502" s="10" t="s">
        <x:v>9</x:v>
      </x:c>
      <x:c r="E502" s="10" t="s">
        <x:v>9</x:v>
      </x:c>
      <x:c r="F502" s="10">
        <x:v>17</x:v>
      </x:c>
      <x:c r="G502" s="10">
        <x:v>85</x:v>
      </x:c>
      <x:c r="H502" s="22">
        <x:f t="shared" si="7"/>
        <x:v>9000</x:v>
      </x:c>
      <x:c r="I502" s="22">
        <x:v>765000</x:v>
      </x:c>
      <x:c r="J502" s="10">
        <x:v>26</x:v>
      </x:c>
      <x:c r="K502" s="10">
        <x:v>4</x:v>
      </x:c>
    </x:row>
    <x:row r="503">
      <x:c r="A503" s="10" t="s">
        <x:v>60</x:v>
      </x:c>
      <x:c r="B503" s="10">
        <x:v>9097</x:v>
      </x:c>
      <x:c r="C503" s="10">
        <x:v>13931</x:v>
      </x:c>
      <x:c r="D503" s="10" t="s">
        <x:v>9</x:v>
      </x:c>
      <x:c r="E503" s="10" t="s">
        <x:v>9</x:v>
      </x:c>
      <x:c r="F503" s="10">
        <x:v>15</x:v>
      </x:c>
      <x:c r="G503" s="10">
        <x:v>84</x:v>
      </x:c>
      <x:c r="H503" s="22">
        <x:f t="shared" si="7"/>
        <x:v>9000</x:v>
      </x:c>
      <x:c r="I503" s="22">
        <x:v>756000</x:v>
      </x:c>
      <x:c r="J503" s="10">
        <x:v>26</x:v>
      </x:c>
      <x:c r="K503" s="10">
        <x:v>5</x:v>
      </x:c>
    </x:row>
    <x:row r="504">
      <x:c r="A504" s="10" t="s">
        <x:v>60</x:v>
      </x:c>
      <x:c r="B504" s="10">
        <x:v>9147</x:v>
      </x:c>
      <x:c r="C504" s="10">
        <x:v>13932</x:v>
      </x:c>
      <x:c r="D504" s="10" t="s">
        <x:v>9</x:v>
      </x:c>
      <x:c r="E504" s="10" t="s">
        <x:v>9</x:v>
      </x:c>
      <x:c r="F504" s="10">
        <x:v>18</x:v>
      </x:c>
      <x:c r="G504" s="10">
        <x:v>82</x:v>
      </x:c>
      <x:c r="H504" s="22">
        <x:f t="shared" si="7"/>
        <x:v>9000</x:v>
      </x:c>
      <x:c r="I504" s="22">
        <x:v>738000</x:v>
      </x:c>
      <x:c r="J504" s="10">
        <x:v>26</x:v>
      </x:c>
      <x:c r="K504" s="10">
        <x:v>6</x:v>
      </x:c>
    </x:row>
    <x:row r="505">
      <x:c r="A505" s="10" t="s">
        <x:v>60</x:v>
      </x:c>
      <x:c r="B505" s="10">
        <x:v>9154</x:v>
      </x:c>
      <x:c r="C505" s="10">
        <x:v>13933</x:v>
      </x:c>
      <x:c r="D505" s="10" t="s">
        <x:v>9</x:v>
      </x:c>
      <x:c r="E505" s="10" t="s">
        <x:v>9</x:v>
      </x:c>
      <x:c r="F505" s="10">
        <x:v>48</x:v>
      </x:c>
      <x:c r="G505" s="10">
        <x:v>207</x:v>
      </x:c>
      <x:c r="H505" s="22">
        <x:f t="shared" si="7"/>
        <x:v>9000</x:v>
      </x:c>
      <x:c r="I505" s="22">
        <x:v>1863000</x:v>
      </x:c>
      <x:c r="J505" s="10">
        <x:v>26</x:v>
      </x:c>
      <x:c r="K505" s="10">
        <x:v>7</x:v>
      </x:c>
    </x:row>
    <x:row r="506">
      <x:c r="A506" s="10" t="s">
        <x:v>60</x:v>
      </x:c>
      <x:c r="B506" s="10">
        <x:v>6937</x:v>
      </x:c>
      <x:c r="C506" s="10">
        <x:v>13934</x:v>
      </x:c>
      <x:c r="D506" s="10" t="s">
        <x:v>6</x:v>
      </x:c>
      <x:c r="E506" s="10" t="s">
        <x:v>54</x:v>
      </x:c>
      <x:c r="F506" s="10">
        <x:v>15</x:v>
      </x:c>
      <x:c r="G506" s="10">
        <x:v>83</x:v>
      </x:c>
      <x:c r="H506" s="22">
        <x:f t="shared" si="7"/>
        <x:v>11960.071698510361</x:v>
      </x:c>
      <x:c r="I506" s="22">
        <x:v>992685.95097636001</x:v>
      </x:c>
      <x:c r="J506" s="10">
        <x:v>26</x:v>
      </x:c>
      <x:c r="K506" s="10">
        <x:v>8</x:v>
      </x:c>
    </x:row>
    <x:row r="507">
      <x:c r="A507" s="10" t="s">
        <x:v>60</x:v>
      </x:c>
      <x:c r="B507" s="10">
        <x:v>6045</x:v>
      </x:c>
      <x:c r="C507" s="10">
        <x:v>13935</x:v>
      </x:c>
      <x:c r="D507" s="10" t="s">
        <x:v>9</x:v>
      </x:c>
      <x:c r="E507" s="10" t="s">
        <x:v>34</x:v>
      </x:c>
      <x:c r="F507" s="10">
        <x:v>32</x:v>
      </x:c>
      <x:c r="G507" s="10">
        <x:v>182</x:v>
      </x:c>
      <x:c r="H507" s="22">
        <x:f t="shared" si="7"/>
        <x:v>11238.307153586264</x:v>
      </x:c>
      <x:c r="I507" s="22">
        <x:v>2045371.9019527</x:v>
      </x:c>
      <x:c r="J507" s="10">
        <x:v>26</x:v>
      </x:c>
      <x:c r="K507" s="10">
        <x:v>9</x:v>
      </x:c>
    </x:row>
    <x:row r="508">
      <x:c r="A508" s="10" t="s">
        <x:v>60</x:v>
      </x:c>
      <x:c r="B508" s="10">
        <x:v>6042</x:v>
      </x:c>
      <x:c r="C508" s="10">
        <x:v>13936</x:v>
      </x:c>
      <x:c r="D508" s="10" t="s">
        <x:v>9</x:v>
      </x:c>
      <x:c r="E508" s="10" t="s">
        <x:v>34</x:v>
      </x:c>
      <x:c r="F508" s="10">
        <x:v>33</x:v>
      </x:c>
      <x:c r="G508" s="10">
        <x:v>185</x:v>
      </x:c>
      <x:c r="H508" s="22">
        <x:f t="shared" si="7"/>
        <x:v>11056.06433487946</x:v>
      </x:c>
      <x:c r="I508" s="22">
        <x:v>2045371.9019527</x:v>
      </x:c>
      <x:c r="J508" s="10">
        <x:v>26</x:v>
      </x:c>
      <x:c r="K508" s="10">
        <x:v>10</x:v>
      </x:c>
    </x:row>
    <x:row r="509">
      <x:c r="A509" s="10" t="s">
        <x:v>60</x:v>
      </x:c>
      <x:c r="B509" s="10">
        <x:v>10886</x:v>
      </x:c>
      <x:c r="C509" s="10">
        <x:v>13937</x:v>
      </x:c>
      <x:c r="D509" s="10" t="s">
        <x:v>6</x:v>
      </x:c>
      <x:c r="E509" s="10" t="s">
        <x:v>20</x:v>
      </x:c>
      <x:c r="F509" s="10">
        <x:v>52</x:v>
      </x:c>
      <x:c r="G509" s="10">
        <x:v>183</x:v>
      </x:c>
      <x:c r="H509" s="22">
        <x:f t="shared" si="7"/>
        <x:v>9102.9971829836068</x:v>
      </x:c>
      <x:c r="I509" s="22">
        <x:v>1665848.4844859999</x:v>
      </x:c>
      <x:c r="J509" s="10">
        <x:v>26</x:v>
      </x:c>
      <x:c r="K509" s="10">
        <x:v>11</x:v>
      </x:c>
    </x:row>
    <x:row r="510">
      <x:c r="A510" s="10" t="s">
        <x:v>60</x:v>
      </x:c>
      <x:c r="B510" s="10">
        <x:v>10927</x:v>
      </x:c>
      <x:c r="C510" s="10">
        <x:v>13938</x:v>
      </x:c>
      <x:c r="D510" s="10" t="s">
        <x:v>6</x:v>
      </x:c>
      <x:c r="E510" s="10" t="s">
        <x:v>26</x:v>
      </x:c>
      <x:c r="F510" s="10">
        <x:v>0</x:v>
      </x:c>
      <x:c r="G510" s="10">
        <x:v>194</x:v>
      </x:c>
      <x:c r="H510" s="22">
        <x:f t="shared" si="7"/>
        <x:v>8586.847858175257</x:v>
      </x:c>
      <x:c r="I510" s="22">
        <x:v>1665848.4844859999</x:v>
      </x:c>
      <x:c r="J510" s="10">
        <x:v>26</x:v>
      </x:c>
      <x:c r="K510" s="10">
        <x:v>12</x:v>
      </x:c>
    </x:row>
    <x:row r="511">
      <x:c r="A511" s="10" t="s">
        <x:v>60</x:v>
      </x:c>
      <x:c r="B511" s="10">
        <x:v>9218</x:v>
      </x:c>
      <x:c r="C511" s="10">
        <x:v>13939</x:v>
      </x:c>
      <x:c r="D511" s="10" t="s">
        <x:v>9</x:v>
      </x:c>
      <x:c r="E511" s="10" t="s">
        <x:v>9</x:v>
      </x:c>
      <x:c r="F511" s="10">
        <x:v>28</x:v>
      </x:c>
      <x:c r="G511" s="10">
        <x:v>190</x:v>
      </x:c>
      <x:c r="H511" s="22">
        <x:f t="shared" si="7"/>
        <x:v>9000</x:v>
      </x:c>
      <x:c r="I511" s="22">
        <x:v>1710000</x:v>
      </x:c>
      <x:c r="J511" s="10">
        <x:v>26</x:v>
      </x:c>
      <x:c r="K511" s="10">
        <x:v>13</x:v>
      </x:c>
    </x:row>
    <x:row r="512">
      <x:c r="A512" s="10" t="s">
        <x:v>60</x:v>
      </x:c>
      <x:c r="B512" s="10">
        <x:v>9196</x:v>
      </x:c>
      <x:c r="C512" s="10">
        <x:v>13940</x:v>
      </x:c>
      <x:c r="D512" s="10" t="s">
        <x:v>9</x:v>
      </x:c>
      <x:c r="E512" s="10" t="s">
        <x:v>9</x:v>
      </x:c>
      <x:c r="F512" s="10">
        <x:v>13</x:v>
      </x:c>
      <x:c r="G512" s="10">
        <x:v>79</x:v>
      </x:c>
      <x:c r="H512" s="22">
        <x:f t="shared" si="7"/>
        <x:v>9000</x:v>
      </x:c>
      <x:c r="I512" s="22">
        <x:v>711000</x:v>
      </x:c>
      <x:c r="J512" s="10">
        <x:v>26</x:v>
      </x:c>
      <x:c r="K512" s="10">
        <x:v>14</x:v>
      </x:c>
    </x:row>
    <x:row r="513">
      <x:c r="A513" s="10" t="s">
        <x:v>60</x:v>
      </x:c>
      <x:c r="B513" s="10">
        <x:v>10901</x:v>
      </x:c>
      <x:c r="C513" s="10">
        <x:v>13941</x:v>
      </x:c>
      <x:c r="D513" s="10" t="s">
        <x:v>6</x:v>
      </x:c>
      <x:c r="E513" s="10" t="s">
        <x:v>20</x:v>
      </x:c>
      <x:c r="F513" s="10">
        <x:v>25</x:v>
      </x:c>
      <x:c r="G513" s="10">
        <x:v>90</x:v>
      </x:c>
      <x:c r="H513" s="22">
        <x:f t="shared" si="7"/>
        <x:v>9254.713802700222</x:v>
      </x:c>
      <x:c r="I513" s="22">
        <x:v>832924.24224301998</x:v>
      </x:c>
      <x:c r="J513" s="10">
        <x:v>26</x:v>
      </x:c>
      <x:c r="K513" s="10">
        <x:v>15</x:v>
      </x:c>
    </x:row>
    <x:row r="514">
      <x:c r="A514" s="10" t="s">
        <x:v>60</x:v>
      </x:c>
      <x:c r="B514" s="10">
        <x:v>9372</x:v>
      </x:c>
      <x:c r="C514" s="10">
        <x:v>13942</x:v>
      </x:c>
      <x:c r="D514" s="10" t="s">
        <x:v>9</x:v>
      </x:c>
      <x:c r="E514" s="10" t="s">
        <x:v>9</x:v>
      </x:c>
      <x:c r="F514" s="10">
        <x:v>23</x:v>
      </x:c>
      <x:c r="G514" s="10">
        <x:v>95</x:v>
      </x:c>
      <x:c r="H514" s="22">
        <x:f t="shared" si="7"/>
        <x:v>9000</x:v>
      </x:c>
      <x:c r="I514" s="22">
        <x:v>855000</x:v>
      </x:c>
      <x:c r="J514" s="10">
        <x:v>26</x:v>
      </x:c>
      <x:c r="K514" s="10">
        <x:v>16</x:v>
      </x:c>
    </x:row>
    <x:row r="515">
      <x:c r="A515" s="10" t="s">
        <x:v>60</x:v>
      </x:c>
      <x:c r="B515" s="10">
        <x:v>9012</x:v>
      </x:c>
      <x:c r="C515" s="10">
        <x:v>13943</x:v>
      </x:c>
      <x:c r="D515" s="10" t="s">
        <x:v>9</x:v>
      </x:c>
      <x:c r="E515" s="10" t="s">
        <x:v>9</x:v>
      </x:c>
      <x:c r="F515" s="10">
        <x:v>19</x:v>
      </x:c>
      <x:c r="G515" s="10">
        <x:v>91</x:v>
      </x:c>
      <x:c r="H515" s="22" t="n">
        <x:f t="shared" ref="H515:H578" si="8">I515/G515</x:f>
        <x:v>9000</x:v>
      </x:c>
      <x:c r="I515" s="22">
        <x:v>819000</x:v>
      </x:c>
      <x:c r="J515" s="10">
        <x:v>26</x:v>
      </x:c>
      <x:c r="K515" s="10">
        <x:v>17</x:v>
      </x:c>
    </x:row>
    <x:row r="516">
      <x:c r="A516" s="10" t="s">
        <x:v>60</x:v>
      </x:c>
      <x:c r="B516" s="10">
        <x:v>9023</x:v>
      </x:c>
      <x:c r="C516" s="10">
        <x:v>13944</x:v>
      </x:c>
      <x:c r="D516" s="10" t="s">
        <x:v>9</x:v>
      </x:c>
      <x:c r="E516" s="10" t="s">
        <x:v>9</x:v>
      </x:c>
      <x:c r="F516" s="10">
        <x:v>23</x:v>
      </x:c>
      <x:c r="G516" s="10">
        <x:v>169</x:v>
      </x:c>
      <x:c r="H516" s="22">
        <x:f t="shared" si="8"/>
        <x:v>9000</x:v>
      </x:c>
      <x:c r="I516" s="22">
        <x:v>1521000</x:v>
      </x:c>
      <x:c r="J516" s="10">
        <x:v>26</x:v>
      </x:c>
      <x:c r="K516" s="10">
        <x:v>18</x:v>
      </x:c>
    </x:row>
    <x:row r="517">
      <x:c r="A517" s="10" t="s">
        <x:v>60</x:v>
      </x:c>
      <x:c r="B517" s="10">
        <x:v>8727</x:v>
      </x:c>
      <x:c r="C517" s="10">
        <x:v>13945</x:v>
      </x:c>
      <x:c r="D517" s="10" t="s">
        <x:v>2</x:v>
      </x:c>
      <x:c r="E517" s="10" t="s">
        <x:v>2</x:v>
      </x:c>
      <x:c r="F517" s="10">
        <x:v>44</x:v>
      </x:c>
      <x:c r="G517" s="10">
        <x:v>205</x:v>
      </x:c>
      <x:c r="H517" s="22">
        <x:f t="shared" si="8"/>
        <x:v>11500</x:v>
      </x:c>
      <x:c r="I517" s="22">
        <x:v>2357500</x:v>
      </x:c>
      <x:c r="J517" s="10">
        <x:v>26</x:v>
      </x:c>
      <x:c r="K517" s="10">
        <x:v>19</x:v>
      </x:c>
    </x:row>
    <x:row r="518">
      <x:c r="A518" s="10" t="s">
        <x:v>60</x:v>
      </x:c>
      <x:c r="B518" s="10">
        <x:v>5956</x:v>
      </x:c>
      <x:c r="C518" s="10">
        <x:v>13946</x:v>
      </x:c>
      <x:c r="D518" s="10" t="s">
        <x:v>9</x:v>
      </x:c>
      <x:c r="E518" s="10" t="s">
        <x:v>34</x:v>
      </x:c>
      <x:c r="F518" s="10">
        <x:v>30</x:v>
      </x:c>
      <x:c r="G518" s="10">
        <x:v>163</x:v>
      </x:c>
      <x:c r="H518" s="22">
        <x:f t="shared" si="8"/>
        <x:v>12226.207987439877</x:v>
      </x:c>
      <x:c r="I518" s="22">
        <x:v>1992871.9019527</x:v>
      </x:c>
      <x:c r="J518" s="10">
        <x:v>26</x:v>
      </x:c>
      <x:c r="K518" s="10">
        <x:v>20</x:v>
      </x:c>
    </x:row>
    <x:row r="519">
      <x:c r="A519" s="10" t="s">
        <x:v>60</x:v>
      </x:c>
      <x:c r="B519" s="10">
        <x:v>10613</x:v>
      </x:c>
      <x:c r="C519" s="10">
        <x:v>13947</x:v>
      </x:c>
      <x:c r="D519" s="10" t="s">
        <x:v>0</x:v>
      </x:c>
      <x:c r="E519" s="10" t="s">
        <x:v>22</x:v>
      </x:c>
      <x:c r="F519" s="10">
        <x:v>35</x:v>
      </x:c>
      <x:c r="G519" s="10">
        <x:v>188</x:v>
      </x:c>
      <x:c r="H519" s="22">
        <x:f t="shared" si="8"/>
        <x:v>8860.8961940744684</x:v>
      </x:c>
      <x:c r="I519" s="22">
        <x:v>1665848.4844859999</x:v>
      </x:c>
      <x:c r="J519" s="10">
        <x:v>27</x:v>
      </x:c>
      <x:c r="K519" s="10">
        <x:v>1</x:v>
      </x:c>
    </x:row>
    <x:row r="520">
      <x:c r="A520" s="10" t="s">
        <x:v>60</x:v>
      </x:c>
      <x:c r="B520" s="10">
        <x:v>9071</x:v>
      </x:c>
      <x:c r="C520" s="10">
        <x:v>13948</x:v>
      </x:c>
      <x:c r="D520" s="10" t="s">
        <x:v>2</x:v>
      </x:c>
      <x:c r="E520" s="10" t="s">
        <x:v>2</x:v>
      </x:c>
      <x:c r="F520" s="10">
        <x:v>40</x:v>
      </x:c>
      <x:c r="G520" s="10">
        <x:v>209</x:v>
      </x:c>
      <x:c r="H520" s="22">
        <x:f t="shared" si="8"/>
        <x:v>11500</x:v>
      </x:c>
      <x:c r="I520" s="22">
        <x:v>2403500</x:v>
      </x:c>
      <x:c r="J520" s="10">
        <x:v>27</x:v>
      </x:c>
      <x:c r="K520" s="10">
        <x:v>2</x:v>
      </x:c>
    </x:row>
    <x:row r="521">
      <x:c r="A521" s="10" t="s">
        <x:v>60</x:v>
      </x:c>
      <x:c r="B521" s="10">
        <x:v>6812</x:v>
      </x:c>
      <x:c r="C521" s="10">
        <x:v>13949</x:v>
      </x:c>
      <x:c r="D521" s="10" t="s">
        <x:v>0</x:v>
      </x:c>
      <x:c r="E521" s="10" t="s">
        <x:v>22</x:v>
      </x:c>
      <x:c r="F521" s="10">
        <x:v>34</x:v>
      </x:c>
      <x:c r="G521" s="10">
        <x:v>192</x:v>
      </x:c>
      <x:c r="H521" s="22">
        <x:f t="shared" si="8"/>
        <x:v>10652.978656003646</x:v>
      </x:c>
      <x:c r="I521" s="22">
        <x:v>2045371.9019527</x:v>
      </x:c>
      <x:c r="J521" s="10">
        <x:v>27</x:v>
      </x:c>
      <x:c r="K521" s="10">
        <x:v>3</x:v>
      </x:c>
    </x:row>
    <x:row r="522">
      <x:c r="A522" s="10" t="s">
        <x:v>60</x:v>
      </x:c>
      <x:c r="B522" s="10">
        <x:v>6856</x:v>
      </x:c>
      <x:c r="C522" s="10">
        <x:v>13950</x:v>
      </x:c>
      <x:c r="D522" s="10" t="s">
        <x:v>0</x:v>
      </x:c>
      <x:c r="E522" s="10" t="s">
        <x:v>22</x:v>
      </x:c>
      <x:c r="F522" s="10">
        <x:v>31</x:v>
      </x:c>
      <x:c r="G522" s="10">
        <x:v>193</x:v>
      </x:c>
      <x:c r="H522" s="22">
        <x:f t="shared" si="8"/>
        <x:v>10571.875139651296</x:v>
      </x:c>
      <x:c r="I522" s="22">
        <x:v>2040371.9019527</x:v>
      </x:c>
      <x:c r="J522" s="10">
        <x:v>27</x:v>
      </x:c>
      <x:c r="K522" s="10">
        <x:v>4</x:v>
      </x:c>
    </x:row>
    <x:row r="523">
      <x:c r="A523" s="10" t="s">
        <x:v>60</x:v>
      </x:c>
      <x:c r="B523" s="10">
        <x:v>6861</x:v>
      </x:c>
      <x:c r="C523" s="10">
        <x:v>13951</x:v>
      </x:c>
      <x:c r="D523" s="10" t="s">
        <x:v>0</x:v>
      </x:c>
      <x:c r="E523" s="10" t="s">
        <x:v>22</x:v>
      </x:c>
      <x:c r="F523" s="10">
        <x:v>31</x:v>
      </x:c>
      <x:c r="G523" s="10">
        <x:v>192</x:v>
      </x:c>
      <x:c r="H523" s="22">
        <x:f t="shared" si="8"/>
        <x:v>10574.853656003646</x:v>
      </x:c>
      <x:c r="I523" s="22">
        <x:v>2030371.9019527</x:v>
      </x:c>
      <x:c r="J523" s="10">
        <x:v>27</x:v>
      </x:c>
      <x:c r="K523" s="10">
        <x:v>5</x:v>
      </x:c>
    </x:row>
    <x:row r="524">
      <x:c r="A524" s="10" t="s">
        <x:v>60</x:v>
      </x:c>
      <x:c r="B524" s="10">
        <x:v>6832</x:v>
      </x:c>
      <x:c r="C524" s="10">
        <x:v>13952</x:v>
      </x:c>
      <x:c r="D524" s="10" t="s">
        <x:v>0</x:v>
      </x:c>
      <x:c r="E524" s="10" t="s">
        <x:v>42</x:v>
      </x:c>
      <x:c r="F524" s="10">
        <x:v>41</x:v>
      </x:c>
      <x:c r="G524" s="10">
        <x:v>192</x:v>
      </x:c>
      <x:c r="H524" s="22">
        <x:f t="shared" si="8"/>
        <x:v>10652.978656003646</x:v>
      </x:c>
      <x:c r="I524" s="22">
        <x:v>2045371.9019527</x:v>
      </x:c>
      <x:c r="J524" s="10">
        <x:v>27</x:v>
      </x:c>
      <x:c r="K524" s="10">
        <x:v>6</x:v>
      </x:c>
    </x:row>
    <x:row r="525">
      <x:c r="A525" s="10" t="s">
        <x:v>60</x:v>
      </x:c>
      <x:c r="B525" s="10">
        <x:v>6840</x:v>
      </x:c>
      <x:c r="C525" s="10">
        <x:v>13953</x:v>
      </x:c>
      <x:c r="D525" s="10" t="s">
        <x:v>2</x:v>
      </x:c>
      <x:c r="E525" s="10" t="s">
        <x:v>2</x:v>
      </x:c>
      <x:c r="F525" s="10">
        <x:v>34</x:v>
      </x:c>
      <x:c r="G525" s="10">
        <x:v>193</x:v>
      </x:c>
      <x:c r="H525" s="22">
        <x:f t="shared" si="8"/>
        <x:v>10597.78187540259</x:v>
      </x:c>
      <x:c r="I525" s="22">
        <x:v>2045371.9019527</x:v>
      </x:c>
      <x:c r="J525" s="10">
        <x:v>27</x:v>
      </x:c>
      <x:c r="K525" s="10">
        <x:v>7</x:v>
      </x:c>
    </x:row>
    <x:row r="526">
      <x:c r="A526" s="10" t="s">
        <x:v>60</x:v>
      </x:c>
      <x:c r="B526" s="10">
        <x:v>6836</x:v>
      </x:c>
      <x:c r="C526" s="10">
        <x:v>13954</x:v>
      </x:c>
      <x:c r="D526" s="10" t="s">
        <x:v>0</x:v>
      </x:c>
      <x:c r="E526" s="10" t="s">
        <x:v>42</x:v>
      </x:c>
      <x:c r="F526" s="10">
        <x:v>34</x:v>
      </x:c>
      <x:c r="G526" s="10">
        <x:v>192</x:v>
      </x:c>
      <x:c r="H526" s="22">
        <x:f t="shared" si="8"/>
        <x:v>10652.978656003646</x:v>
      </x:c>
      <x:c r="I526" s="22">
        <x:v>2045371.9019527</x:v>
      </x:c>
      <x:c r="J526" s="10">
        <x:v>27</x:v>
      </x:c>
      <x:c r="K526" s="10">
        <x:v>8</x:v>
      </x:c>
    </x:row>
    <x:row r="527">
      <x:c r="A527" s="10" t="s">
        <x:v>60</x:v>
      </x:c>
      <x:c r="B527" s="10">
        <x:v>6852</x:v>
      </x:c>
      <x:c r="C527" s="10">
        <x:v>13955</x:v>
      </x:c>
      <x:c r="D527" s="10" t="s">
        <x:v>2</x:v>
      </x:c>
      <x:c r="E527" s="10" t="s">
        <x:v>66</x:v>
      </x:c>
      <x:c r="F527" s="10">
        <x:v>34</x:v>
      </x:c>
      <x:c r="G527" s="10">
        <x:v>209</x:v>
      </x:c>
      <x:c r="H527" s="22">
        <x:f t="shared" si="8"/>
        <x:v>9499.3870906827742</x:v>
      </x:c>
      <x:c r="I527" s="22">
        <x:v>1985371.9019527</x:v>
      </x:c>
      <x:c r="J527" s="10">
        <x:v>27</x:v>
      </x:c>
      <x:c r="K527" s="10">
        <x:v>9</x:v>
      </x:c>
    </x:row>
    <x:row r="528">
      <x:c r="A528" s="10" t="s">
        <x:v>60</x:v>
      </x:c>
      <x:c r="B528" s="10">
        <x:v>6851</x:v>
      </x:c>
      <x:c r="C528" s="10">
        <x:v>13956</x:v>
      </x:c>
      <x:c r="D528" s="10" t="s">
        <x:v>2</x:v>
      </x:c>
      <x:c r="E528" s="10" t="s">
        <x:v>66</x:v>
      </x:c>
      <x:c r="F528" s="10">
        <x:v>34</x:v>
      </x:c>
      <x:c r="G528" s="10">
        <x:v>214</x:v>
      </x:c>
      <x:c r="H528" s="22">
        <x:f t="shared" si="8"/>
        <x:v>9277.4387941714958</x:v>
      </x:c>
      <x:c r="I528" s="22">
        <x:v>1985371.9019527</x:v>
      </x:c>
      <x:c r="J528" s="10">
        <x:v>27</x:v>
      </x:c>
      <x:c r="K528" s="10">
        <x:v>10</x:v>
      </x:c>
    </x:row>
    <x:row r="529">
      <x:c r="A529" s="10" t="s">
        <x:v>60</x:v>
      </x:c>
      <x:c r="B529" s="10">
        <x:v>7003</x:v>
      </x:c>
      <x:c r="C529" s="10">
        <x:v>13957</x:v>
      </x:c>
      <x:c r="D529" s="10" t="s">
        <x:v>2</x:v>
      </x:c>
      <x:c r="E529" s="10" t="s">
        <x:v>66</x:v>
      </x:c>
      <x:c r="F529" s="10">
        <x:v>14</x:v>
      </x:c>
      <x:c r="G529" s="10">
        <x:v>95</x:v>
      </x:c>
      <x:c r="H529" s="22">
        <x:f t="shared" si="8"/>
        <x:v>8794.8492147905254</x:v>
      </x:c>
      <x:c r="I529" s="22">
        <x:v>835510.67540509999</x:v>
      </x:c>
      <x:c r="J529" s="10">
        <x:v>27</x:v>
      </x:c>
      <x:c r="K529" s="10">
        <x:v>11</x:v>
      </x:c>
    </x:row>
    <x:row r="530">
      <x:c r="A530" s="10" t="s">
        <x:v>60</x:v>
      </x:c>
      <x:c r="B530" s="10">
        <x:v>7006</x:v>
      </x:c>
      <x:c r="C530" s="10">
        <x:v>13958</x:v>
      </x:c>
      <x:c r="D530" s="10" t="s">
        <x:v>2</x:v>
      </x:c>
      <x:c r="E530" s="10" t="s">
        <x:v>66</x:v>
      </x:c>
      <x:c r="F530" s="10">
        <x:v>38</x:v>
      </x:c>
      <x:c r="G530" s="10">
        <x:v>232</x:v>
      </x:c>
      <x:c r="H530" s="22">
        <x:f t="shared" si="8"/>
        <x:v>8557.6375084168103</x:v>
      </x:c>
      <x:c r="I530" s="22">
        <x:v>1985371.9019527</x:v>
      </x:c>
      <x:c r="J530" s="10">
        <x:v>27</x:v>
      </x:c>
      <x:c r="K530" s="10">
        <x:v>12</x:v>
      </x:c>
    </x:row>
    <x:row r="531">
      <x:c r="A531" s="10" t="s">
        <x:v>60</x:v>
      </x:c>
      <x:c r="B531" s="10">
        <x:v>7005</x:v>
      </x:c>
      <x:c r="C531" s="10">
        <x:v>13959</x:v>
      </x:c>
      <x:c r="D531" s="10" t="s">
        <x:v>2</x:v>
      </x:c>
      <x:c r="E531" s="10" t="s">
        <x:v>66</x:v>
      </x:c>
      <x:c r="F531" s="10">
        <x:v>36</x:v>
      </x:c>
      <x:c r="G531" s="10">
        <x:v>230</x:v>
      </x:c>
      <x:c r="H531" s="22">
        <x:f t="shared" si="8"/>
        <x:v>8632.051747620435</x:v>
      </x:c>
      <x:c r="I531" s="22">
        <x:v>1985371.9019527</x:v>
      </x:c>
      <x:c r="J531" s="10">
        <x:v>27</x:v>
      </x:c>
      <x:c r="K531" s="10">
        <x:v>13</x:v>
      </x:c>
    </x:row>
    <x:row r="532">
      <x:c r="A532" s="10" t="s">
        <x:v>60</x:v>
      </x:c>
      <x:c r="B532" s="10">
        <x:v>7004</x:v>
      </x:c>
      <x:c r="C532" s="10">
        <x:v>13960</x:v>
      </x:c>
      <x:c r="D532" s="10" t="s">
        <x:v>2</x:v>
      </x:c>
      <x:c r="E532" s="10" t="s">
        <x:v>66</x:v>
      </x:c>
      <x:c r="F532" s="10">
        <x:v>37</x:v>
      </x:c>
      <x:c r="G532" s="10">
        <x:v>218</x:v>
      </x:c>
      <x:c r="H532" s="22">
        <x:f t="shared" si="8"/>
        <x:v>9107.2105594160548</x:v>
      </x:c>
      <x:c r="I532" s="22">
        <x:v>1985371.9019527</x:v>
      </x:c>
      <x:c r="J532" s="10">
        <x:v>27</x:v>
      </x:c>
      <x:c r="K532" s="10">
        <x:v>14</x:v>
      </x:c>
    </x:row>
    <x:row r="533">
      <x:c r="A533" s="10" t="s">
        <x:v>60</x:v>
      </x:c>
      <x:c r="B533" s="10">
        <x:v>6854</x:v>
      </x:c>
      <x:c r="C533" s="10">
        <x:v>13961</x:v>
      </x:c>
      <x:c r="D533" s="10" t="s">
        <x:v>2</x:v>
      </x:c>
      <x:c r="E533" s="10" t="s">
        <x:v>66</x:v>
      </x:c>
      <x:c r="F533" s="10">
        <x:v>36</x:v>
      </x:c>
      <x:c r="G533" s="10">
        <x:v>208</x:v>
      </x:c>
      <x:c r="H533" s="22">
        <x:f t="shared" si="8"/>
        <x:v>9545.0572209264428</x:v>
      </x:c>
      <x:c r="I533" s="22">
        <x:v>1985371.9019527</x:v>
      </x:c>
      <x:c r="J533" s="10">
        <x:v>27</x:v>
      </x:c>
      <x:c r="K533" s="10">
        <x:v>15</x:v>
      </x:c>
    </x:row>
    <x:row r="534">
      <x:c r="A534" s="10" t="s">
        <x:v>60</x:v>
      </x:c>
      <x:c r="B534" s="10">
        <x:v>6834</x:v>
      </x:c>
      <x:c r="C534" s="10">
        <x:v>13962</x:v>
      </x:c>
      <x:c r="D534" s="10" t="s">
        <x:v>0</x:v>
      </x:c>
      <x:c r="E534" s="10" t="s">
        <x:v>42</x:v>
      </x:c>
      <x:c r="F534" s="10">
        <x:v>42</x:v>
      </x:c>
      <x:c r="G534" s="10">
        <x:v>192</x:v>
      </x:c>
      <x:c r="H534" s="22">
        <x:f t="shared" si="8"/>
        <x:v>10652.978656003646</x:v>
      </x:c>
      <x:c r="I534" s="22">
        <x:v>2045371.9019527</x:v>
      </x:c>
      <x:c r="J534" s="10">
        <x:v>27</x:v>
      </x:c>
      <x:c r="K534" s="10">
        <x:v>16</x:v>
      </x:c>
    </x:row>
    <x:row r="535">
      <x:c r="A535" s="10" t="s">
        <x:v>60</x:v>
      </x:c>
      <x:c r="B535" s="10">
        <x:v>6833</x:v>
      </x:c>
      <x:c r="C535" s="10">
        <x:v>13963</x:v>
      </x:c>
      <x:c r="D535" s="10" t="s">
        <x:v>0</x:v>
      </x:c>
      <x:c r="E535" s="10" t="s">
        <x:v>42</x:v>
      </x:c>
      <x:c r="F535" s="10">
        <x:v>44</x:v>
      </x:c>
      <x:c r="G535" s="10">
        <x:v>192</x:v>
      </x:c>
      <x:c r="H535" s="22">
        <x:f t="shared" si="8"/>
        <x:v>10652.978656003646</x:v>
      </x:c>
      <x:c r="I535" s="22">
        <x:v>2045371.9019527</x:v>
      </x:c>
      <x:c r="J535" s="10">
        <x:v>27</x:v>
      </x:c>
      <x:c r="K535" s="10">
        <x:v>17</x:v>
      </x:c>
    </x:row>
    <x:row r="536">
      <x:c r="A536" s="10" t="s">
        <x:v>60</x:v>
      </x:c>
      <x:c r="B536" s="10">
        <x:v>10664</x:v>
      </x:c>
      <x:c r="C536" s="10">
        <x:v>13964</x:v>
      </x:c>
      <x:c r="D536" s="10" t="s">
        <x:v>0</x:v>
      </x:c>
      <x:c r="E536" s="10" t="s">
        <x:v>22</x:v>
      </x:c>
      <x:c r="F536" s="10">
        <x:v>33</x:v>
      </x:c>
      <x:c r="G536" s="10">
        <x:v>192</x:v>
      </x:c>
      <x:c r="H536" s="22">
        <x:f t="shared" si="8"/>
        <x:v>8676.2941900312489</x:v>
      </x:c>
      <x:c r="I536" s="22">
        <x:v>1665848.4844859999</x:v>
      </x:c>
      <x:c r="J536" s="10">
        <x:v>27</x:v>
      </x:c>
      <x:c r="K536" s="10">
        <x:v>18</x:v>
      </x:c>
    </x:row>
    <x:row r="537">
      <x:c r="A537" s="10" t="s">
        <x:v>60</x:v>
      </x:c>
      <x:c r="B537" s="10">
        <x:v>10655</x:v>
      </x:c>
      <x:c r="C537" s="10">
        <x:v>13965</x:v>
      </x:c>
      <x:c r="D537" s="10" t="s">
        <x:v>0</x:v>
      </x:c>
      <x:c r="E537" s="10" t="s">
        <x:v>22</x:v>
      </x:c>
      <x:c r="F537" s="10">
        <x:v>38</x:v>
      </x:c>
      <x:c r="G537" s="10">
        <x:v>192</x:v>
      </x:c>
      <x:c r="H537" s="22">
        <x:f t="shared" si="8"/>
        <x:v>8676.2941900312489</x:v>
      </x:c>
      <x:c r="I537" s="22">
        <x:v>1665848.4844859999</x:v>
      </x:c>
      <x:c r="J537" s="10">
        <x:v>27</x:v>
      </x:c>
      <x:c r="K537" s="10">
        <x:v>19</x:v>
      </x:c>
    </x:row>
    <x:row r="538">
      <x:c r="A538" s="10" t="s">
        <x:v>60</x:v>
      </x:c>
      <x:c r="B538" s="10">
        <x:v>10653</x:v>
      </x:c>
      <x:c r="C538" s="10">
        <x:v>13966</x:v>
      </x:c>
      <x:c r="D538" s="10" t="s">
        <x:v>0</x:v>
      </x:c>
      <x:c r="E538" s="10" t="s">
        <x:v>22</x:v>
      </x:c>
      <x:c r="F538" s="10">
        <x:v>38</x:v>
      </x:c>
      <x:c r="G538" s="10">
        <x:v>192</x:v>
      </x:c>
      <x:c r="H538" s="22">
        <x:f t="shared" si="8"/>
        <x:v>8676.2941900312489</x:v>
      </x:c>
      <x:c r="I538" s="22">
        <x:v>1665848.4844859999</x:v>
      </x:c>
      <x:c r="J538" s="10">
        <x:v>27</x:v>
      </x:c>
      <x:c r="K538" s="10">
        <x:v>20</x:v>
      </x:c>
    </x:row>
    <x:row r="539">
      <x:c r="A539" s="10" t="s">
        <x:v>60</x:v>
      </x:c>
      <x:c r="B539" s="10">
        <x:v>6810</x:v>
      </x:c>
      <x:c r="C539" s="10">
        <x:v>13967</x:v>
      </x:c>
      <x:c r="D539" s="10" t="s">
        <x:v>0</x:v>
      </x:c>
      <x:c r="E539" s="10" t="s">
        <x:v>22</x:v>
      </x:c>
      <x:c r="F539" s="10">
        <x:v>34</x:v>
      </x:c>
      <x:c r="G539" s="10">
        <x:v>192</x:v>
      </x:c>
      <x:c r="H539" s="22">
        <x:f t="shared" si="8"/>
        <x:v>10652.978656003646</x:v>
      </x:c>
      <x:c r="I539" s="22">
        <x:v>2045371.9019527</x:v>
      </x:c>
      <x:c r="J539" s="10">
        <x:v>28</x:v>
      </x:c>
      <x:c r="K539" s="10">
        <x:v>1</x:v>
      </x:c>
    </x:row>
    <x:row r="540">
      <x:c r="A540" s="10" t="s">
        <x:v>60</x:v>
      </x:c>
      <x:c r="B540" s="10">
        <x:v>6869</x:v>
      </x:c>
      <x:c r="C540" s="10">
        <x:v>13968</x:v>
      </x:c>
      <x:c r="D540" s="10" t="s">
        <x:v>0</x:v>
      </x:c>
      <x:c r="E540" s="10" t="s">
        <x:v>22</x:v>
      </x:c>
      <x:c r="F540" s="10">
        <x:v>28</x:v>
      </x:c>
      <x:c r="G540" s="10">
        <x:v>192</x:v>
      </x:c>
      <x:c r="H540" s="22">
        <x:f t="shared" si="8"/>
        <x:v>10626.936989336979</x:v>
      </x:c>
      <x:c r="I540" s="22">
        <x:v>2040371.9019527</x:v>
      </x:c>
      <x:c r="J540" s="10">
        <x:v>28</x:v>
      </x:c>
      <x:c r="K540" s="10">
        <x:v>2</x:v>
      </x:c>
    </x:row>
    <x:row r="541">
      <x:c r="A541" s="10" t="s">
        <x:v>60</x:v>
      </x:c>
      <x:c r="B541" s="10">
        <x:v>6949</x:v>
      </x:c>
      <x:c r="C541" s="10">
        <x:v>13969</x:v>
      </x:c>
      <x:c r="D541" s="10" t="s">
        <x:v>0</x:v>
      </x:c>
      <x:c r="E541" s="10" t="s">
        <x:v>22</x:v>
      </x:c>
      <x:c r="F541" s="10">
        <x:v>34</x:v>
      </x:c>
      <x:c r="G541" s="10">
        <x:v>180</x:v>
      </x:c>
      <x:c r="H541" s="22">
        <x:f t="shared" si="8"/>
        <x:v>11113.177233070555</x:v>
      </x:c>
      <x:c r="I541" s="22">
        <x:v>2000371.9019527</x:v>
      </x:c>
      <x:c r="J541" s="10">
        <x:v>28</x:v>
      </x:c>
      <x:c r="K541" s="10">
        <x:v>3</x:v>
      </x:c>
    </x:row>
    <x:row r="542">
      <x:c r="A542" s="10" t="s">
        <x:v>60</x:v>
      </x:c>
      <x:c r="B542" s="10">
        <x:v>6855</x:v>
      </x:c>
      <x:c r="C542" s="10">
        <x:v>13970</x:v>
      </x:c>
      <x:c r="D542" s="10" t="s">
        <x:v>0</x:v>
      </x:c>
      <x:c r="E542" s="10" t="s">
        <x:v>22</x:v>
      </x:c>
      <x:c r="F542" s="10">
        <x:v>31</x:v>
      </x:c>
      <x:c r="G542" s="10">
        <x:v>193</x:v>
      </x:c>
      <x:c r="H542" s="22">
        <x:f t="shared" si="8"/>
        <x:v>10468.248196646115</x:v>
      </x:c>
      <x:c r="I542" s="22">
        <x:v>2020371.9019527</x:v>
      </x:c>
      <x:c r="J542" s="10">
        <x:v>28</x:v>
      </x:c>
      <x:c r="K542" s="10">
        <x:v>4</x:v>
      </x:c>
    </x:row>
    <x:row r="543">
      <x:c r="A543" s="10" t="s">
        <x:v>60</x:v>
      </x:c>
      <x:c r="B543" s="10">
        <x:v>6859</x:v>
      </x:c>
      <x:c r="C543" s="10">
        <x:v>13971</x:v>
      </x:c>
      <x:c r="D543" s="10" t="s">
        <x:v>0</x:v>
      </x:c>
      <x:c r="E543" s="10" t="s">
        <x:v>22</x:v>
      </x:c>
      <x:c r="F543" s="10">
        <x:v>36</x:v>
      </x:c>
      <x:c r="G543" s="10">
        <x:v>194</x:v>
      </x:c>
      <x:c r="H543" s="22">
        <x:f t="shared" si="8"/>
        <x:v>10543.154133776805</x:v>
      </x:c>
      <x:c r="I543" s="22">
        <x:v>2045371.9019527</x:v>
      </x:c>
      <x:c r="J543" s="10">
        <x:v>28</x:v>
      </x:c>
      <x:c r="K543" s="10">
        <x:v>5</x:v>
      </x:c>
    </x:row>
    <x:row r="544">
      <x:c r="A544" s="10" t="s">
        <x:v>60</x:v>
      </x:c>
      <x:c r="B544" s="10">
        <x:v>6864</x:v>
      </x:c>
      <x:c r="C544" s="10">
        <x:v>13972</x:v>
      </x:c>
      <x:c r="D544" s="10" t="s">
        <x:v>0</x:v>
      </x:c>
      <x:c r="E544" s="10" t="s">
        <x:v>22</x:v>
      </x:c>
      <x:c r="F544" s="10">
        <x:v>33</x:v>
      </x:c>
      <x:c r="G544" s="10">
        <x:v>192</x:v>
      </x:c>
      <x:c r="H544" s="22">
        <x:f t="shared" si="8"/>
        <x:v>10652.978656003646</x:v>
      </x:c>
      <x:c r="I544" s="22">
        <x:v>2045371.9019527</x:v>
      </x:c>
      <x:c r="J544" s="10">
        <x:v>28</x:v>
      </x:c>
      <x:c r="K544" s="10">
        <x:v>6</x:v>
      </x:c>
    </x:row>
    <x:row r="545">
      <x:c r="A545" s="10" t="s">
        <x:v>60</x:v>
      </x:c>
      <x:c r="B545" s="10">
        <x:v>6871</x:v>
      </x:c>
      <x:c r="C545" s="10">
        <x:v>13973</x:v>
      </x:c>
      <x:c r="D545" s="10" t="s">
        <x:v>0</x:v>
      </x:c>
      <x:c r="E545" s="10" t="s">
        <x:v>22</x:v>
      </x:c>
      <x:c r="F545" s="10">
        <x:v>30</x:v>
      </x:c>
      <x:c r="G545" s="10">
        <x:v>194</x:v>
      </x:c>
      <x:c r="H545" s="22">
        <x:f t="shared" si="8"/>
        <x:v>10517.380937900516</x:v>
      </x:c>
      <x:c r="I545" s="22">
        <x:v>2040371.9019527</x:v>
      </x:c>
      <x:c r="J545" s="10">
        <x:v>28</x:v>
      </x:c>
      <x:c r="K545" s="10">
        <x:v>7</x:v>
      </x:c>
    </x:row>
    <x:row r="546">
      <x:c r="A546" s="10" t="s">
        <x:v>60</x:v>
      </x:c>
      <x:c r="B546" s="10">
        <x:v>6841</x:v>
      </x:c>
      <x:c r="C546" s="10">
        <x:v>13974</x:v>
      </x:c>
      <x:c r="D546" s="10" t="s">
        <x:v>2</x:v>
      </x:c>
      <x:c r="E546" s="10" t="s">
        <x:v>2</x:v>
      </x:c>
      <x:c r="F546" s="10">
        <x:v>33</x:v>
      </x:c>
      <x:c r="G546" s="10">
        <x:v>192</x:v>
      </x:c>
      <x:c r="H546" s="22">
        <x:f t="shared" si="8"/>
        <x:v>10652.978656003646</x:v>
      </x:c>
      <x:c r="I546" s="22">
        <x:v>2045371.9019527</x:v>
      </x:c>
      <x:c r="J546" s="10">
        <x:v>28</x:v>
      </x:c>
      <x:c r="K546" s="10">
        <x:v>8</x:v>
      </x:c>
    </x:row>
    <x:row r="547">
      <x:c r="A547" s="10" t="s">
        <x:v>60</x:v>
      </x:c>
      <x:c r="B547" s="10">
        <x:v>6837</x:v>
      </x:c>
      <x:c r="C547" s="10">
        <x:v>13975</x:v>
      </x:c>
      <x:c r="D547" s="10" t="s">
        <x:v>2</x:v>
      </x:c>
      <x:c r="E547" s="10" t="s">
        <x:v>2</x:v>
      </x:c>
      <x:c r="F547" s="10">
        <x:v>34</x:v>
      </x:c>
      <x:c r="G547" s="10">
        <x:v>192</x:v>
      </x:c>
      <x:c r="H547" s="22">
        <x:f t="shared" si="8"/>
        <x:v>10652.978656003646</x:v>
      </x:c>
      <x:c r="I547" s="22">
        <x:v>2045371.9019527</x:v>
      </x:c>
      <x:c r="J547" s="10">
        <x:v>28</x:v>
      </x:c>
      <x:c r="K547" s="10">
        <x:v>9</x:v>
      </x:c>
    </x:row>
    <x:row r="548">
      <x:c r="A548" s="10" t="s">
        <x:v>60</x:v>
      </x:c>
      <x:c r="B548" s="10">
        <x:v>10656</x:v>
      </x:c>
      <x:c r="C548" s="10">
        <x:v>13976</x:v>
      </x:c>
      <x:c r="D548" s="10" t="s">
        <x:v>0</x:v>
      </x:c>
      <x:c r="E548" s="10" t="s">
        <x:v>22</x:v>
      </x:c>
      <x:c r="F548" s="10">
        <x:v>35</x:v>
      </x:c>
      <x:c r="G548" s="10">
        <x:v>192</x:v>
      </x:c>
      <x:c r="H548" s="22">
        <x:f t="shared" si="8"/>
        <x:v>8676.2941900312489</x:v>
      </x:c>
      <x:c r="I548" s="22">
        <x:v>1665848.4844859999</x:v>
      </x:c>
      <x:c r="J548" s="10">
        <x:v>28</x:v>
      </x:c>
      <x:c r="K548" s="10">
        <x:v>10</x:v>
      </x:c>
    </x:row>
    <x:row r="549">
      <x:c r="A549" s="10" t="s">
        <x:v>60</x:v>
      </x:c>
      <x:c r="B549" s="10">
        <x:v>10618</x:v>
      </x:c>
      <x:c r="C549" s="10">
        <x:v>13977</x:v>
      </x:c>
      <x:c r="D549" s="10" t="s">
        <x:v>0</x:v>
      </x:c>
      <x:c r="E549" s="10" t="s">
        <x:v>22</x:v>
      </x:c>
      <x:c r="F549" s="10">
        <x:v>38</x:v>
      </x:c>
      <x:c r="G549" s="10">
        <x:v>195</x:v>
      </x:c>
      <x:c r="H549" s="22">
        <x:f t="shared" si="8"/>
        <x:v>8542.8127409538465</x:v>
      </x:c>
      <x:c r="I549" s="22">
        <x:v>1665848.4844859999</x:v>
      </x:c>
      <x:c r="J549" s="10">
        <x:v>28</x:v>
      </x:c>
      <x:c r="K549" s="10">
        <x:v>11</x:v>
      </x:c>
    </x:row>
    <x:row r="550">
      <x:c r="A550" s="10" t="s">
        <x:v>60</x:v>
      </x:c>
      <x:c r="B550" s="10">
        <x:v>10611</x:v>
      </x:c>
      <x:c r="C550" s="10">
        <x:v>13978</x:v>
      </x:c>
      <x:c r="D550" s="10" t="s">
        <x:v>0</x:v>
      </x:c>
      <x:c r="E550" s="10" t="s">
        <x:v>22</x:v>
      </x:c>
      <x:c r="F550" s="10">
        <x:v>35</x:v>
      </x:c>
      <x:c r="G550" s="10">
        <x:v>193</x:v>
      </x:c>
      <x:c r="H550" s="22">
        <x:f t="shared" si="8"/>
        <x:v>8605.432562103626</x:v>
      </x:c>
      <x:c r="I550" s="22">
        <x:v>1660848.4844859999</x:v>
      </x:c>
      <x:c r="J550" s="10">
        <x:v>28</x:v>
      </x:c>
      <x:c r="K550" s="10">
        <x:v>12</x:v>
      </x:c>
    </x:row>
    <x:row r="551">
      <x:c r="A551" s="10" t="s">
        <x:v>60</x:v>
      </x:c>
      <x:c r="B551" s="10">
        <x:v>10616</x:v>
      </x:c>
      <x:c r="C551" s="10">
        <x:v>13979</x:v>
      </x:c>
      <x:c r="D551" s="10" t="s">
        <x:v>0</x:v>
      </x:c>
      <x:c r="E551" s="10" t="s">
        <x:v>22</x:v>
      </x:c>
      <x:c r="F551" s="10">
        <x:v>38</x:v>
      </x:c>
      <x:c r="G551" s="10">
        <x:v>192</x:v>
      </x:c>
      <x:c r="H551" s="22">
        <x:f t="shared" si="8"/>
        <x:v>8676.2941900312489</x:v>
      </x:c>
      <x:c r="I551" s="22">
        <x:v>1665848.4844859999</x:v>
      </x:c>
      <x:c r="J551" s="10">
        <x:v>28</x:v>
      </x:c>
      <x:c r="K551" s="10">
        <x:v>13</x:v>
      </x:c>
    </x:row>
    <x:row r="552">
      <x:c r="A552" s="10" t="s">
        <x:v>60</x:v>
      </x:c>
      <x:c r="B552" s="10">
        <x:v>6858</x:v>
      </x:c>
      <x:c r="C552" s="10">
        <x:v>13980</x:v>
      </x:c>
      <x:c r="D552" s="10" t="s">
        <x:v>0</x:v>
      </x:c>
      <x:c r="E552" s="10" t="s">
        <x:v>22</x:v>
      </x:c>
      <x:c r="F552" s="10">
        <x:v>34</x:v>
      </x:c>
      <x:c r="G552" s="10">
        <x:v>192</x:v>
      </x:c>
      <x:c r="H552" s="22">
        <x:f t="shared" si="8"/>
        <x:v>10652.978656003646</x:v>
      </x:c>
      <x:c r="I552" s="22">
        <x:v>2045371.9019527</x:v>
      </x:c>
      <x:c r="J552" s="10">
        <x:v>28</x:v>
      </x:c>
      <x:c r="K552" s="10">
        <x:v>14</x:v>
      </x:c>
    </x:row>
    <x:row r="553">
      <x:c r="A553" s="10" t="s">
        <x:v>60</x:v>
      </x:c>
      <x:c r="B553" s="10">
        <x:v>6870</x:v>
      </x:c>
      <x:c r="C553" s="10">
        <x:v>13981</x:v>
      </x:c>
      <x:c r="D553" s="10" t="s">
        <x:v>0</x:v>
      </x:c>
      <x:c r="E553" s="10" t="s">
        <x:v>22</x:v>
      </x:c>
      <x:c r="F553" s="10">
        <x:v>27</x:v>
      </x:c>
      <x:c r="G553" s="10">
        <x:v>192</x:v>
      </x:c>
      <x:c r="H553" s="22">
        <x:f t="shared" si="8"/>
        <x:v>10600.895322670312</x:v>
      </x:c>
      <x:c r="I553" s="22">
        <x:v>2035371.9019527</x:v>
      </x:c>
      <x:c r="J553" s="10">
        <x:v>28</x:v>
      </x:c>
      <x:c r="K553" s="10">
        <x:v>15</x:v>
      </x:c>
    </x:row>
    <x:row r="554">
      <x:c r="A554" s="10" t="s">
        <x:v>60</x:v>
      </x:c>
      <x:c r="B554" s="10">
        <x:v>6867</x:v>
      </x:c>
      <x:c r="C554" s="10">
        <x:v>13982</x:v>
      </x:c>
      <x:c r="D554" s="10" t="s">
        <x:v>0</x:v>
      </x:c>
      <x:c r="E554" s="10" t="s">
        <x:v>22</x:v>
      </x:c>
      <x:c r="F554" s="10">
        <x:v>32</x:v>
      </x:c>
      <x:c r="G554" s="10">
        <x:v>193</x:v>
      </x:c>
      <x:c r="H554" s="22">
        <x:f t="shared" si="8"/>
        <x:v>10571.875139651296</x:v>
      </x:c>
      <x:c r="I554" s="22">
        <x:v>2040371.9019527</x:v>
      </x:c>
      <x:c r="J554" s="10">
        <x:v>28</x:v>
      </x:c>
      <x:c r="K554" s="10">
        <x:v>16</x:v>
      </x:c>
    </x:row>
    <x:row r="555">
      <x:c r="A555" s="10" t="s">
        <x:v>60</x:v>
      </x:c>
      <x:c r="B555" s="10">
        <x:v>6862</x:v>
      </x:c>
      <x:c r="C555" s="10">
        <x:v>13983</x:v>
      </x:c>
      <x:c r="D555" s="10" t="s">
        <x:v>0</x:v>
      </x:c>
      <x:c r="E555" s="10" t="s">
        <x:v>22</x:v>
      </x:c>
      <x:c r="F555" s="10">
        <x:v>33</x:v>
      </x:c>
      <x:c r="G555" s="10">
        <x:v>192</x:v>
      </x:c>
      <x:c r="H555" s="22">
        <x:f t="shared" si="8"/>
        <x:v>10626.936989336979</x:v>
      </x:c>
      <x:c r="I555" s="22">
        <x:v>2040371.9019527</x:v>
      </x:c>
      <x:c r="J555" s="10">
        <x:v>28</x:v>
      </x:c>
      <x:c r="K555" s="10">
        <x:v>17</x:v>
      </x:c>
    </x:row>
    <x:row r="556">
      <x:c r="A556" s="10" t="s">
        <x:v>60</x:v>
      </x:c>
      <x:c r="B556" s="10">
        <x:v>6954</x:v>
      </x:c>
      <x:c r="C556" s="10">
        <x:v>13984</x:v>
      </x:c>
      <x:c r="D556" s="10" t="s">
        <x:v>0</x:v>
      </x:c>
      <x:c r="E556" s="10" t="s">
        <x:v>22</x:v>
      </x:c>
      <x:c r="F556" s="10">
        <x:v>34</x:v>
      </x:c>
      <x:c r="G556" s="10">
        <x:v>182</x:v>
      </x:c>
      <x:c r="H556" s="22">
        <x:f t="shared" si="8"/>
        <x:v>11032.263197542308</x:v>
      </x:c>
      <x:c r="I556" s="22">
        <x:v>2007871.9019527</x:v>
      </x:c>
      <x:c r="J556" s="10">
        <x:v>28</x:v>
      </x:c>
      <x:c r="K556" s="10">
        <x:v>18</x:v>
      </x:c>
    </x:row>
    <x:row r="557">
      <x:c r="A557" s="10" t="s">
        <x:v>60</x:v>
      </x:c>
      <x:c r="B557" s="10">
        <x:v>10614</x:v>
      </x:c>
      <x:c r="C557" s="10">
        <x:v>13985</x:v>
      </x:c>
      <x:c r="D557" s="10" t="s">
        <x:v>0</x:v>
      </x:c>
      <x:c r="E557" s="10" t="s">
        <x:v>22</x:v>
      </x:c>
      <x:c r="F557" s="10">
        <x:v>35</x:v>
      </x:c>
      <x:c r="G557" s="10">
        <x:v>192</x:v>
      </x:c>
      <x:c r="H557" s="22">
        <x:f t="shared" si="8"/>
        <x:v>8676.2941900312489</x:v>
      </x:c>
      <x:c r="I557" s="22">
        <x:v>1665848.4844859999</x:v>
      </x:c>
      <x:c r="J557" s="10">
        <x:v>28</x:v>
      </x:c>
      <x:c r="K557" s="10">
        <x:v>19</x:v>
      </x:c>
    </x:row>
    <x:row r="558">
      <x:c r="A558" s="10" t="s">
        <x:v>60</x:v>
      </x:c>
      <x:c r="B558" s="10">
        <x:v>10610</x:v>
      </x:c>
      <x:c r="C558" s="10">
        <x:v>13986</x:v>
      </x:c>
      <x:c r="D558" s="10" t="s">
        <x:v>0</x:v>
      </x:c>
      <x:c r="E558" s="10" t="s">
        <x:v>22</x:v>
      </x:c>
      <x:c r="F558" s="10">
        <x:v>35</x:v>
      </x:c>
      <x:c r="G558" s="10">
        <x:v>181</x:v>
      </x:c>
      <x:c r="H558" s="22">
        <x:f t="shared" si="8"/>
        <x:v>9203.5827872154696</x:v>
      </x:c>
      <x:c r="I558" s="22">
        <x:v>1665848.4844859999</x:v>
      </x:c>
      <x:c r="J558" s="10">
        <x:v>28</x:v>
      </x:c>
      <x:c r="K558" s="10">
        <x:v>20</x:v>
      </x:c>
    </x:row>
    <x:row r="559">
      <x:c r="A559" s="10" t="s">
        <x:v>60</x:v>
      </x:c>
      <x:c r="B559" s="10">
        <x:v>9433</x:v>
      </x:c>
      <x:c r="C559" s="10">
        <x:v>13987</x:v>
      </x:c>
      <x:c r="D559" s="10" t="s">
        <x:v>9</x:v>
      </x:c>
      <x:c r="E559" s="10" t="s">
        <x:v>9</x:v>
      </x:c>
      <x:c r="F559" s="10">
        <x:v>0</x:v>
      </x:c>
      <x:c r="G559" s="10">
        <x:v>75</x:v>
      </x:c>
      <x:c r="H559" s="22">
        <x:f t="shared" si="8"/>
        <x:v>9000</x:v>
      </x:c>
      <x:c r="I559" s="22">
        <x:v>675000</x:v>
      </x:c>
      <x:c r="J559" s="10">
        <x:v>29</x:v>
      </x:c>
      <x:c r="K559" s="10">
        <x:v>1</x:v>
      </x:c>
    </x:row>
    <x:row r="560">
      <x:c r="A560" s="10" t="s">
        <x:v>60</x:v>
      </x:c>
      <x:c r="B560" s="10">
        <x:v>9404</x:v>
      </x:c>
      <x:c r="C560" s="10">
        <x:v>13988</x:v>
      </x:c>
      <x:c r="D560" s="10" t="s">
        <x:v>9</x:v>
      </x:c>
      <x:c r="E560" s="10" t="s">
        <x:v>9</x:v>
      </x:c>
      <x:c r="F560" s="10">
        <x:v>0</x:v>
      </x:c>
      <x:c r="G560" s="10">
        <x:v>88</x:v>
      </x:c>
      <x:c r="H560" s="22">
        <x:f t="shared" si="8"/>
        <x:v>9000</x:v>
      </x:c>
      <x:c r="I560" s="22">
        <x:v>792000</x:v>
      </x:c>
      <x:c r="J560" s="10">
        <x:v>29</x:v>
      </x:c>
      <x:c r="K560" s="10">
        <x:v>2</x:v>
      </x:c>
    </x:row>
    <x:row r="561">
      <x:c r="A561" s="10" t="s">
        <x:v>60</x:v>
      </x:c>
      <x:c r="B561" s="10">
        <x:v>9438</x:v>
      </x:c>
      <x:c r="C561" s="10">
        <x:v>13989</x:v>
      </x:c>
      <x:c r="D561" s="10" t="s">
        <x:v>9</x:v>
      </x:c>
      <x:c r="E561" s="10" t="s">
        <x:v>9</x:v>
      </x:c>
      <x:c r="F561" s="10">
        <x:v>0</x:v>
      </x:c>
      <x:c r="G561" s="10">
        <x:v>97</x:v>
      </x:c>
      <x:c r="H561" s="22">
        <x:f t="shared" si="8"/>
        <x:v>9000</x:v>
      </x:c>
      <x:c r="I561" s="22">
        <x:v>873000</x:v>
      </x:c>
      <x:c r="J561" s="10">
        <x:v>29</x:v>
      </x:c>
      <x:c r="K561" s="10">
        <x:v>3</x:v>
      </x:c>
    </x:row>
    <x:row r="562">
      <x:c r="A562" s="10" t="s">
        <x:v>60</x:v>
      </x:c>
      <x:c r="B562" s="10">
        <x:v>9421</x:v>
      </x:c>
      <x:c r="C562" s="10">
        <x:v>13990</x:v>
      </x:c>
      <x:c r="D562" s="10" t="s">
        <x:v>9</x:v>
      </x:c>
      <x:c r="E562" s="10" t="s">
        <x:v>9</x:v>
      </x:c>
      <x:c r="F562" s="10">
        <x:v>0</x:v>
      </x:c>
      <x:c r="G562" s="10">
        <x:v>81</x:v>
      </x:c>
      <x:c r="H562" s="22">
        <x:f t="shared" si="8"/>
        <x:v>9000</x:v>
      </x:c>
      <x:c r="I562" s="22">
        <x:v>729000</x:v>
      </x:c>
      <x:c r="J562" s="10">
        <x:v>29</x:v>
      </x:c>
      <x:c r="K562" s="10">
        <x:v>4</x:v>
      </x:c>
    </x:row>
    <x:row r="563">
      <x:c r="A563" s="10" t="s">
        <x:v>60</x:v>
      </x:c>
      <x:c r="B563" s="10">
        <x:v>9423</x:v>
      </x:c>
      <x:c r="C563" s="10">
        <x:v>13991</x:v>
      </x:c>
      <x:c r="D563" s="10" t="s">
        <x:v>9</x:v>
      </x:c>
      <x:c r="E563" s="10" t="s">
        <x:v>9</x:v>
      </x:c>
      <x:c r="F563" s="10">
        <x:v>0</x:v>
      </x:c>
      <x:c r="G563" s="10">
        <x:v>92</x:v>
      </x:c>
      <x:c r="H563" s="22">
        <x:f t="shared" si="8"/>
        <x:v>9000</x:v>
      </x:c>
      <x:c r="I563" s="22">
        <x:v>828000</x:v>
      </x:c>
      <x:c r="J563" s="10">
        <x:v>29</x:v>
      </x:c>
      <x:c r="K563" s="10">
        <x:v>5</x:v>
      </x:c>
    </x:row>
    <x:row r="564">
      <x:c r="A564" s="10" t="s">
        <x:v>60</x:v>
      </x:c>
      <x:c r="B564" s="10">
        <x:v>9424</x:v>
      </x:c>
      <x:c r="C564" s="10">
        <x:v>13992</x:v>
      </x:c>
      <x:c r="D564" s="10" t="s">
        <x:v>9</x:v>
      </x:c>
      <x:c r="E564" s="10" t="s">
        <x:v>9</x:v>
      </x:c>
      <x:c r="F564" s="10">
        <x:v>0</x:v>
      </x:c>
      <x:c r="G564" s="10">
        <x:v>108</x:v>
      </x:c>
      <x:c r="H564" s="22">
        <x:f t="shared" si="8"/>
        <x:v>9000</x:v>
      </x:c>
      <x:c r="I564" s="22">
        <x:v>972000</x:v>
      </x:c>
      <x:c r="J564" s="10">
        <x:v>29</x:v>
      </x:c>
      <x:c r="K564" s="10">
        <x:v>6</x:v>
      </x:c>
    </x:row>
    <x:row r="565">
      <x:c r="A565" s="10" t="s">
        <x:v>60</x:v>
      </x:c>
      <x:c r="B565" s="10">
        <x:v>9272</x:v>
      </x:c>
      <x:c r="C565" s="10">
        <x:v>13993</x:v>
      </x:c>
      <x:c r="D565" s="10" t="s">
        <x:v>9</x:v>
      </x:c>
      <x:c r="E565" s="10" t="s">
        <x:v>9</x:v>
      </x:c>
      <x:c r="F565" s="10">
        <x:v>15</x:v>
      </x:c>
      <x:c r="G565" s="10">
        <x:v>94</x:v>
      </x:c>
      <x:c r="H565" s="22">
        <x:f t="shared" si="8"/>
        <x:v>9000</x:v>
      </x:c>
      <x:c r="I565" s="22">
        <x:v>846000</x:v>
      </x:c>
      <x:c r="J565" s="10">
        <x:v>29</x:v>
      </x:c>
      <x:c r="K565" s="10">
        <x:v>7</x:v>
      </x:c>
    </x:row>
    <x:row r="566">
      <x:c r="A566" s="10" t="s">
        <x:v>60</x:v>
      </x:c>
      <x:c r="B566" s="10">
        <x:v>9417</x:v>
      </x:c>
      <x:c r="C566" s="10">
        <x:v>13994</x:v>
      </x:c>
      <x:c r="D566" s="10" t="s">
        <x:v>9</x:v>
      </x:c>
      <x:c r="E566" s="10" t="s">
        <x:v>9</x:v>
      </x:c>
      <x:c r="F566" s="10">
        <x:v>25</x:v>
      </x:c>
      <x:c r="G566" s="10">
        <x:v>101</x:v>
      </x:c>
      <x:c r="H566" s="22">
        <x:f t="shared" si="8"/>
        <x:v>9000</x:v>
      </x:c>
      <x:c r="I566" s="22">
        <x:v>909000</x:v>
      </x:c>
      <x:c r="J566" s="10">
        <x:v>29</x:v>
      </x:c>
      <x:c r="K566" s="10">
        <x:v>8</x:v>
      </x:c>
    </x:row>
    <x:row r="567">
      <x:c r="A567" s="10" t="s">
        <x:v>60</x:v>
      </x:c>
      <x:c r="B567" s="10">
        <x:v>9391</x:v>
      </x:c>
      <x:c r="C567" s="10">
        <x:v>13995</x:v>
      </x:c>
      <x:c r="D567" s="10" t="s">
        <x:v>9</x:v>
      </x:c>
      <x:c r="E567" s="10" t="s">
        <x:v>9</x:v>
      </x:c>
      <x:c r="F567" s="10">
        <x:v>20</x:v>
      </x:c>
      <x:c r="G567" s="10">
        <x:v>93</x:v>
      </x:c>
      <x:c r="H567" s="22">
        <x:f t="shared" si="8"/>
        <x:v>9000</x:v>
      </x:c>
      <x:c r="I567" s="22">
        <x:v>837000</x:v>
      </x:c>
      <x:c r="J567" s="10">
        <x:v>29</x:v>
      </x:c>
      <x:c r="K567" s="10">
        <x:v>9</x:v>
      </x:c>
    </x:row>
    <x:row r="568">
      <x:c r="A568" s="10" t="s">
        <x:v>60</x:v>
      </x:c>
      <x:c r="B568" s="10">
        <x:v>9453</x:v>
      </x:c>
      <x:c r="C568" s="10">
        <x:v>13996</x:v>
      </x:c>
      <x:c r="D568" s="10" t="s">
        <x:v>9</x:v>
      </x:c>
      <x:c r="E568" s="10" t="s">
        <x:v>9</x:v>
      </x:c>
      <x:c r="F568" s="10">
        <x:v>0</x:v>
      </x:c>
      <x:c r="G568" s="10">
        <x:v>86</x:v>
      </x:c>
      <x:c r="H568" s="22">
        <x:f t="shared" si="8"/>
        <x:v>9000</x:v>
      </x:c>
      <x:c r="I568" s="22">
        <x:v>774000</x:v>
      </x:c>
      <x:c r="J568" s="10">
        <x:v>29</x:v>
      </x:c>
      <x:c r="K568" s="10">
        <x:v>10</x:v>
      </x:c>
    </x:row>
    <x:row r="569">
      <x:c r="A569" s="10" t="s">
        <x:v>60</x:v>
      </x:c>
      <x:c r="B569" s="10">
        <x:v>9377</x:v>
      </x:c>
      <x:c r="C569" s="10">
        <x:v>13997</x:v>
      </x:c>
      <x:c r="D569" s="10" t="s">
        <x:v>9</x:v>
      </x:c>
      <x:c r="E569" s="10" t="s">
        <x:v>9</x:v>
      </x:c>
      <x:c r="F569" s="10">
        <x:v>18</x:v>
      </x:c>
      <x:c r="G569" s="10">
        <x:v>96</x:v>
      </x:c>
      <x:c r="H569" s="22">
        <x:f t="shared" si="8"/>
        <x:v>9000</x:v>
      </x:c>
      <x:c r="I569" s="22">
        <x:v>864000</x:v>
      </x:c>
      <x:c r="J569" s="10">
        <x:v>29</x:v>
      </x:c>
      <x:c r="K569" s="10">
        <x:v>11</x:v>
      </x:c>
    </x:row>
    <x:row r="570">
      <x:c r="A570" s="10" t="s">
        <x:v>60</x:v>
      </x:c>
      <x:c r="B570" s="10">
        <x:v>9401</x:v>
      </x:c>
      <x:c r="C570" s="10">
        <x:v>13998</x:v>
      </x:c>
      <x:c r="D570" s="10" t="s">
        <x:v>9</x:v>
      </x:c>
      <x:c r="E570" s="10" t="s">
        <x:v>9</x:v>
      </x:c>
      <x:c r="F570" s="10">
        <x:v>23</x:v>
      </x:c>
      <x:c r="G570" s="10">
        <x:v>82</x:v>
      </x:c>
      <x:c r="H570" s="22">
        <x:f t="shared" si="8"/>
        <x:v>9000</x:v>
      </x:c>
      <x:c r="I570" s="22">
        <x:v>738000</x:v>
      </x:c>
      <x:c r="J570" s="10">
        <x:v>29</x:v>
      </x:c>
      <x:c r="K570" s="10">
        <x:v>12</x:v>
      </x:c>
    </x:row>
    <x:row r="571">
      <x:c r="A571" s="10" t="s">
        <x:v>60</x:v>
      </x:c>
      <x:c r="B571" s="10">
        <x:v>9451</x:v>
      </x:c>
      <x:c r="C571" s="10">
        <x:v>13999</x:v>
      </x:c>
      <x:c r="D571" s="10" t="s">
        <x:v>9</x:v>
      </x:c>
      <x:c r="E571" s="10" t="s">
        <x:v>9</x:v>
      </x:c>
      <x:c r="F571" s="10">
        <x:v>14</x:v>
      </x:c>
      <x:c r="G571" s="10">
        <x:v>98</x:v>
      </x:c>
      <x:c r="H571" s="22">
        <x:f t="shared" si="8"/>
        <x:v>9000</x:v>
      </x:c>
      <x:c r="I571" s="22">
        <x:v>882000</x:v>
      </x:c>
      <x:c r="J571" s="10">
        <x:v>29</x:v>
      </x:c>
      <x:c r="K571" s="10">
        <x:v>13</x:v>
      </x:c>
    </x:row>
    <x:row r="572">
      <x:c r="A572" s="10" t="s">
        <x:v>60</x:v>
      </x:c>
      <x:c r="B572" s="10">
        <x:v>8615</x:v>
      </x:c>
      <x:c r="C572" s="10">
        <x:v>14000</x:v>
      </x:c>
      <x:c r="D572" s="10" t="s">
        <x:v>9</x:v>
      </x:c>
      <x:c r="E572" s="10" t="s">
        <x:v>9</x:v>
      </x:c>
      <x:c r="F572" s="10">
        <x:v>42</x:v>
      </x:c>
      <x:c r="G572" s="10">
        <x:v>203</x:v>
      </x:c>
      <x:c r="H572" s="22">
        <x:f t="shared" si="8"/>
        <x:v>9000</x:v>
      </x:c>
      <x:c r="I572" s="22">
        <x:v>1827000</x:v>
      </x:c>
      <x:c r="J572" s="10">
        <x:v>29</x:v>
      </x:c>
      <x:c r="K572" s="10">
        <x:v>14</x:v>
      </x:c>
    </x:row>
    <x:row r="573">
      <x:c r="A573" s="10" t="s">
        <x:v>60</x:v>
      </x:c>
      <x:c r="B573" s="10">
        <x:v>8610</x:v>
      </x:c>
      <x:c r="C573" s="10">
        <x:v>14001</x:v>
      </x:c>
      <x:c r="D573" s="10" t="s">
        <x:v>9</x:v>
      </x:c>
      <x:c r="E573" s="10" t="s">
        <x:v>9</x:v>
      </x:c>
      <x:c r="F573" s="10">
        <x:v>42</x:v>
      </x:c>
      <x:c r="G573" s="10">
        <x:v>200</x:v>
      </x:c>
      <x:c r="H573" s="22">
        <x:f t="shared" si="8"/>
        <x:v>9000</x:v>
      </x:c>
      <x:c r="I573" s="22">
        <x:v>1800000</x:v>
      </x:c>
      <x:c r="J573" s="10">
        <x:v>29</x:v>
      </x:c>
      <x:c r="K573" s="10">
        <x:v>15</x:v>
      </x:c>
    </x:row>
    <x:row r="574">
      <x:c r="A574" s="10" t="s">
        <x:v>60</x:v>
      </x:c>
      <x:c r="B574" s="10">
        <x:v>8624</x:v>
      </x:c>
      <x:c r="C574" s="10">
        <x:v>14002</x:v>
      </x:c>
      <x:c r="D574" s="10" t="s">
        <x:v>9</x:v>
      </x:c>
      <x:c r="E574" s="10" t="s">
        <x:v>9</x:v>
      </x:c>
      <x:c r="F574" s="10">
        <x:v>43</x:v>
      </x:c>
      <x:c r="G574" s="10">
        <x:v>202</x:v>
      </x:c>
      <x:c r="H574" s="22">
        <x:f t="shared" si="8"/>
        <x:v>9000</x:v>
      </x:c>
      <x:c r="I574" s="22">
        <x:v>1818000</x:v>
      </x:c>
      <x:c r="J574" s="10">
        <x:v>29</x:v>
      </x:c>
      <x:c r="K574" s="10">
        <x:v>16</x:v>
      </x:c>
    </x:row>
    <x:row r="575">
      <x:c r="A575" s="10" t="s">
        <x:v>60</x:v>
      </x:c>
      <x:c r="B575" s="10">
        <x:v>9420</x:v>
      </x:c>
      <x:c r="C575" s="10">
        <x:v>14003</x:v>
      </x:c>
      <x:c r="D575" s="10" t="s">
        <x:v>9</x:v>
      </x:c>
      <x:c r="E575" s="10" t="s">
        <x:v>9</x:v>
      </x:c>
      <x:c r="F575" s="10">
        <x:v>0</x:v>
      </x:c>
      <x:c r="G575" s="10">
        <x:v>109</x:v>
      </x:c>
      <x:c r="H575" s="22">
        <x:f t="shared" si="8"/>
        <x:v>9000</x:v>
      </x:c>
      <x:c r="I575" s="22">
        <x:v>981000</x:v>
      </x:c>
      <x:c r="J575" s="10">
        <x:v>29</x:v>
      </x:c>
      <x:c r="K575" s="10">
        <x:v>17</x:v>
      </x:c>
    </x:row>
    <x:row r="576">
      <x:c r="A576" s="10" t="s">
        <x:v>60</x:v>
      </x:c>
      <x:c r="B576" s="10">
        <x:v>8645</x:v>
      </x:c>
      <x:c r="C576" s="10">
        <x:v>14004</x:v>
      </x:c>
      <x:c r="D576" s="10" t="s">
        <x:v>9</x:v>
      </x:c>
      <x:c r="E576" s="10" t="s">
        <x:v>9</x:v>
      </x:c>
      <x:c r="F576" s="10">
        <x:v>51</x:v>
      </x:c>
      <x:c r="G576" s="10">
        <x:v>198</x:v>
      </x:c>
      <x:c r="H576" s="22">
        <x:f t="shared" si="8"/>
        <x:v>9000</x:v>
      </x:c>
      <x:c r="I576" s="22">
        <x:v>1782000</x:v>
      </x:c>
      <x:c r="J576" s="10">
        <x:v>29</x:v>
      </x:c>
      <x:c r="K576" s="10">
        <x:v>18</x:v>
      </x:c>
    </x:row>
    <x:row r="577">
      <x:c r="A577" s="10" t="s">
        <x:v>60</x:v>
      </x:c>
      <x:c r="B577" s="10">
        <x:v>8867</x:v>
      </x:c>
      <x:c r="C577" s="10">
        <x:v>14005</x:v>
      </x:c>
      <x:c r="D577" s="10" t="s">
        <x:v>9</x:v>
      </x:c>
      <x:c r="E577" s="10" t="s">
        <x:v>9</x:v>
      </x:c>
      <x:c r="F577" s="10">
        <x:v>65</x:v>
      </x:c>
      <x:c r="G577" s="10">
        <x:v>213</x:v>
      </x:c>
      <x:c r="H577" s="22">
        <x:f t="shared" si="8"/>
        <x:v>9000</x:v>
      </x:c>
      <x:c r="I577" s="22">
        <x:v>1917000</x:v>
      </x:c>
      <x:c r="J577" s="10">
        <x:v>29</x:v>
      </x:c>
      <x:c r="K577" s="10">
        <x:v>19</x:v>
      </x:c>
    </x:row>
    <x:row r="578">
      <x:c r="A578" s="10" t="s">
        <x:v>60</x:v>
      </x:c>
      <x:c r="B578" s="10">
        <x:v>8618</x:v>
      </x:c>
      <x:c r="C578" s="10">
        <x:v>14006</x:v>
      </x:c>
      <x:c r="D578" s="10" t="s">
        <x:v>9</x:v>
      </x:c>
      <x:c r="E578" s="10" t="s">
        <x:v>9</x:v>
      </x:c>
      <x:c r="F578" s="10">
        <x:v>41</x:v>
      </x:c>
      <x:c r="G578" s="10">
        <x:v>201</x:v>
      </x:c>
      <x:c r="H578" s="22">
        <x:f t="shared" si="8"/>
        <x:v>9000</x:v>
      </x:c>
      <x:c r="I578" s="22">
        <x:v>1809000</x:v>
      </x:c>
      <x:c r="J578" s="10">
        <x:v>29</x:v>
      </x:c>
      <x:c r="K578" s="10">
        <x:v>20</x:v>
      </x:c>
    </x:row>
    <x:row r="579">
      <x:c r="A579" s="10" t="s">
        <x:v>60</x:v>
      </x:c>
      <x:c r="B579" s="10">
        <x:v>10458</x:v>
      </x:c>
      <x:c r="C579" s="10">
        <x:v>14007</x:v>
      </x:c>
      <x:c r="D579" s="10" t="s">
        <x:v>10</x:v>
      </x:c>
      <x:c r="E579" s="10" t="s">
        <x:v>10</x:v>
      </x:c>
      <x:c r="F579" s="10">
        <x:v>0</x:v>
      </x:c>
      <x:c r="G579" s="10">
        <x:v>116</x:v>
      </x:c>
      <x:c r="H579" s="22" t="n">
        <x:f t="shared" ref="H579:H642" si="9">I579/G579</x:f>
        <x:v>8676.294190031897</x:v>
      </x:c>
      <x:c r="I579" s="22">
        <x:v>1006450.1260437</x:v>
      </x:c>
      <x:c r="J579" s="10">
        <x:v>30</x:v>
      </x:c>
      <x:c r="K579" s="10">
        <x:v>1</x:v>
      </x:c>
    </x:row>
    <x:row r="580">
      <x:c r="A580" s="10" t="s">
        <x:v>60</x:v>
      </x:c>
      <x:c r="B580" s="10">
        <x:v>10457</x:v>
      </x:c>
      <x:c r="C580" s="10">
        <x:v>14008</x:v>
      </x:c>
      <x:c r="D580" s="10" t="s">
        <x:v>10</x:v>
      </x:c>
      <x:c r="E580" s="10" t="s">
        <x:v>10</x:v>
      </x:c>
      <x:c r="F580" s="10">
        <x:v>0</x:v>
      </x:c>
      <x:c r="G580" s="10">
        <x:v>116</x:v>
      </x:c>
      <x:c r="H580" s="22">
        <x:f t="shared" si="9"/>
        <x:v>8676.2941900318965</x:v>
      </x:c>
      <x:c r="I580" s="22">
        <x:v>1006450.1260437</x:v>
      </x:c>
      <x:c r="J580" s="10">
        <x:v>30</x:v>
      </x:c>
      <x:c r="K580" s="10">
        <x:v>2</x:v>
      </x:c>
    </x:row>
    <x:row r="581">
      <x:c r="A581" s="10" t="s">
        <x:v>60</x:v>
      </x:c>
      <x:c r="B581" s="10">
        <x:v>9386</x:v>
      </x:c>
      <x:c r="C581" s="10">
        <x:v>14009</x:v>
      </x:c>
      <x:c r="D581" s="10" t="s">
        <x:v>5</x:v>
      </x:c>
      <x:c r="E581" s="10" t="s">
        <x:v>5</x:v>
      </x:c>
      <x:c r="F581" s="10">
        <x:v>0</x:v>
      </x:c>
      <x:c r="G581" s="10">
        <x:v>39</x:v>
      </x:c>
      <x:c r="H581" s="22">
        <x:f t="shared" si="9"/>
        <x:v>4000</x:v>
      </x:c>
      <x:c r="I581" s="22">
        <x:v>156000</x:v>
      </x:c>
      <x:c r="J581" s="10">
        <x:v>30</x:v>
      </x:c>
      <x:c r="K581" s="10">
        <x:v>3</x:v>
      </x:c>
    </x:row>
    <x:row r="582">
      <x:c r="A582" s="10" t="s">
        <x:v>60</x:v>
      </x:c>
      <x:c r="B582" s="10">
        <x:v>9383</x:v>
      </x:c>
      <x:c r="C582" s="10">
        <x:v>14010</x:v>
      </x:c>
      <x:c r="D582" s="10" t="s">
        <x:v>8</x:v>
      </x:c>
      <x:c r="E582" s="10" t="s">
        <x:v>8</x:v>
      </x:c>
      <x:c r="F582" s="10">
        <x:v>0</x:v>
      </x:c>
      <x:c r="G582" s="10">
        <x:v>67</x:v>
      </x:c>
      <x:c r="H582" s="22">
        <x:f t="shared" si="9"/>
        <x:v>4000</x:v>
      </x:c>
      <x:c r="I582" s="22">
        <x:v>268000</x:v>
      </x:c>
      <x:c r="J582" s="10">
        <x:v>30</x:v>
      </x:c>
      <x:c r="K582" s="10">
        <x:v>4</x:v>
      </x:c>
    </x:row>
    <x:row r="583">
      <x:c r="A583" s="10" t="s">
        <x:v>60</x:v>
      </x:c>
      <x:c r="B583" s="10">
        <x:v>2818</x:v>
      </x:c>
      <x:c r="C583" s="10">
        <x:v>14011</x:v>
      </x:c>
      <x:c r="D583" s="10" t="s">
        <x:v>7</x:v>
      </x:c>
      <x:c r="E583" s="10" t="s">
        <x:v>7</x:v>
      </x:c>
      <x:c r="F583" s="10">
        <x:v>0</x:v>
      </x:c>
      <x:c r="G583" s="10">
        <x:v>96</x:v>
      </x:c>
      <x:c r="H583" s="22">
        <x:f t="shared" si="9"/>
        <x:v>16650.797760006248</x:v>
      </x:c>
      <x:c r="I583" s="22">
        <x:v>1598476.5849605999</x:v>
      </x:c>
      <x:c r="J583" s="10">
        <x:v>30</x:v>
      </x:c>
      <x:c r="K583" s="10">
        <x:v>5</x:v>
      </x:c>
    </x:row>
    <x:row r="584">
      <x:c r="A584" s="10" t="s">
        <x:v>60</x:v>
      </x:c>
      <x:c r="B584" s="10">
        <x:v>9387</x:v>
      </x:c>
      <x:c r="C584" s="10">
        <x:v>14012</x:v>
      </x:c>
      <x:c r="D584" s="10" t="s">
        <x:v>6</x:v>
      </x:c>
      <x:c r="E584" s="10" t="s">
        <x:v>6</x:v>
      </x:c>
      <x:c r="F584" s="10">
        <x:v>0</x:v>
      </x:c>
      <x:c r="G584" s="10">
        <x:v>90</x:v>
      </x:c>
      <x:c r="H584" s="22">
        <x:f t="shared" si="9"/>
        <x:v>7500</x:v>
      </x:c>
      <x:c r="I584" s="22">
        <x:v>675000</x:v>
      </x:c>
      <x:c r="J584" s="10">
        <x:v>30</x:v>
      </x:c>
      <x:c r="K584" s="10">
        <x:v>6</x:v>
      </x:c>
    </x:row>
    <x:row r="585">
      <x:c r="A585" s="10" t="s">
        <x:v>60</x:v>
      </x:c>
      <x:c r="B585" s="10">
        <x:v>9382</x:v>
      </x:c>
      <x:c r="C585" s="10">
        <x:v>14013</x:v>
      </x:c>
      <x:c r="D585" s="10" t="s">
        <x:v>5</x:v>
      </x:c>
      <x:c r="E585" s="10" t="s">
        <x:v>5</x:v>
      </x:c>
      <x:c r="F585" s="10">
        <x:v>0</x:v>
      </x:c>
      <x:c r="G585" s="10">
        <x:v>80</x:v>
      </x:c>
      <x:c r="H585" s="22">
        <x:f t="shared" si="9"/>
        <x:v>4000</x:v>
      </x:c>
      <x:c r="I585" s="22">
        <x:v>320000</x:v>
      </x:c>
      <x:c r="J585" s="10">
        <x:v>30</x:v>
      </x:c>
      <x:c r="K585" s="10">
        <x:v>7</x:v>
      </x:c>
    </x:row>
    <x:row r="586">
      <x:c r="A586" s="10" t="s">
        <x:v>60</x:v>
      </x:c>
      <x:c r="B586" s="10">
        <x:v>9385</x:v>
      </x:c>
      <x:c r="C586" s="10">
        <x:v>14014</x:v>
      </x:c>
      <x:c r="D586" s="10" t="s">
        <x:v>5</x:v>
      </x:c>
      <x:c r="E586" s="10" t="s">
        <x:v>5</x:v>
      </x:c>
      <x:c r="F586" s="10">
        <x:v>0</x:v>
      </x:c>
      <x:c r="G586" s="10">
        <x:v>64</x:v>
      </x:c>
      <x:c r="H586" s="22">
        <x:f t="shared" si="9"/>
        <x:v>4000</x:v>
      </x:c>
      <x:c r="I586" s="22">
        <x:v>256000</x:v>
      </x:c>
      <x:c r="J586" s="10">
        <x:v>30</x:v>
      </x:c>
      <x:c r="K586" s="10">
        <x:v>8</x:v>
      </x:c>
    </x:row>
    <x:row r="587">
      <x:c r="A587" s="10" t="s">
        <x:v>60</x:v>
      </x:c>
      <x:c r="B587" s="10">
        <x:v>9594</x:v>
      </x:c>
      <x:c r="C587" s="10">
        <x:v>14015</x:v>
      </x:c>
      <x:c r="D587" s="10" t="s">
        <x:v>5</x:v>
      </x:c>
      <x:c r="E587" s="10" t="s">
        <x:v>5</x:v>
      </x:c>
      <x:c r="F587" s="10">
        <x:v>0</x:v>
      </x:c>
      <x:c r="G587" s="10">
        <x:v>250</x:v>
      </x:c>
      <x:c r="H587" s="22">
        <x:f t="shared" si="9"/>
        <x:v>4000</x:v>
      </x:c>
      <x:c r="I587" s="22">
        <x:v>1000000</x:v>
      </x:c>
      <x:c r="J587" s="10">
        <x:v>30</x:v>
      </x:c>
      <x:c r="K587" s="10">
        <x:v>9</x:v>
      </x:c>
    </x:row>
    <x:row r="588">
      <x:c r="A588" s="10" t="s">
        <x:v>60</x:v>
      </x:c>
      <x:c r="B588" s="10">
        <x:v>9562</x:v>
      </x:c>
      <x:c r="C588" s="10">
        <x:v>14016</x:v>
      </x:c>
      <x:c r="D588" s="10" t="s">
        <x:v>5</x:v>
      </x:c>
      <x:c r="E588" s="10" t="s">
        <x:v>5</x:v>
      </x:c>
      <x:c r="F588" s="10">
        <x:v>0</x:v>
      </x:c>
      <x:c r="G588" s="10">
        <x:v>24</x:v>
      </x:c>
      <x:c r="H588" s="22">
        <x:f t="shared" si="9"/>
        <x:v>4000</x:v>
      </x:c>
      <x:c r="I588" s="22">
        <x:v>96000</x:v>
      </x:c>
      <x:c r="J588" s="10">
        <x:v>30</x:v>
      </x:c>
      <x:c r="K588" s="10">
        <x:v>10</x:v>
      </x:c>
    </x:row>
    <x:row r="589">
      <x:c r="A589" s="10" t="s">
        <x:v>60</x:v>
      </x:c>
      <x:c r="B589" s="10">
        <x:v>9595</x:v>
      </x:c>
      <x:c r="C589" s="10">
        <x:v>14017</x:v>
      </x:c>
      <x:c r="D589" s="10" t="s">
        <x:v>5</x:v>
      </x:c>
      <x:c r="E589" s="10" t="s">
        <x:v>5</x:v>
      </x:c>
      <x:c r="F589" s="10">
        <x:v>0</x:v>
      </x:c>
      <x:c r="G589" s="10">
        <x:v>253</x:v>
      </x:c>
      <x:c r="H589" s="22">
        <x:f t="shared" si="9"/>
        <x:v>4000</x:v>
      </x:c>
      <x:c r="I589" s="22">
        <x:v>1012000</x:v>
      </x:c>
      <x:c r="J589" s="10">
        <x:v>30</x:v>
      </x:c>
      <x:c r="K589" s="10">
        <x:v>11</x:v>
      </x:c>
    </x:row>
    <x:row r="590">
      <x:c r="A590" s="10" t="s">
        <x:v>60</x:v>
      </x:c>
      <x:c r="B590" s="10">
        <x:v>9592</x:v>
      </x:c>
      <x:c r="C590" s="10">
        <x:v>14018</x:v>
      </x:c>
      <x:c r="D590" s="10" t="s">
        <x:v>5</x:v>
      </x:c>
      <x:c r="E590" s="10" t="s">
        <x:v>5</x:v>
      </x:c>
      <x:c r="F590" s="10">
        <x:v>0</x:v>
      </x:c>
      <x:c r="G590" s="10">
        <x:v>350</x:v>
      </x:c>
      <x:c r="H590" s="22">
        <x:f t="shared" si="9"/>
        <x:v>4000</x:v>
      </x:c>
      <x:c r="I590" s="22">
        <x:v>1400000</x:v>
      </x:c>
      <x:c r="J590" s="10">
        <x:v>30</x:v>
      </x:c>
      <x:c r="K590" s="10">
        <x:v>12</x:v>
      </x:c>
    </x:row>
    <x:row r="591">
      <x:c r="A591" s="10" t="s">
        <x:v>60</x:v>
      </x:c>
      <x:c r="B591" s="10">
        <x:v>2275</x:v>
      </x:c>
      <x:c r="C591" s="10">
        <x:v>14019</x:v>
      </x:c>
      <x:c r="D591" s="10" t="s">
        <x:v>7</x:v>
      </x:c>
      <x:c r="E591" s="10" t="s">
        <x:v>7</x:v>
      </x:c>
      <x:c r="F591" s="10">
        <x:v>0</x:v>
      </x:c>
      <x:c r="G591" s="10">
        <x:v>95</x:v>
      </x:c>
      <x:c r="H591" s="22">
        <x:f t="shared" si="9"/>
        <x:v>6131.5789473684208</x:v>
      </x:c>
      <x:c r="I591" s="22">
        <x:v>582500</x:v>
      </x:c>
      <x:c r="J591" s="10">
        <x:v>30</x:v>
      </x:c>
      <x:c r="K591" s="10">
        <x:v>13</x:v>
      </x:c>
    </x:row>
    <x:row r="592">
      <x:c r="A592" s="10" t="s">
        <x:v>60</x:v>
      </x:c>
      <x:c r="B592" s="10">
        <x:v>2414</x:v>
      </x:c>
      <x:c r="C592" s="10">
        <x:v>14020</x:v>
      </x:c>
      <x:c r="D592" s="10" t="s">
        <x:v>7</x:v>
      </x:c>
      <x:c r="E592" s="10" t="s">
        <x:v>7</x:v>
      </x:c>
      <x:c r="F592" s="10">
        <x:v>0</x:v>
      </x:c>
      <x:c r="G592" s="10">
        <x:v>94</x:v>
      </x:c>
      <x:c r="H592" s="22">
        <x:f t="shared" si="9"/>
        <x:v>5755.3191489361698</x:v>
      </x:c>
      <x:c r="I592" s="22">
        <x:v>541000</x:v>
      </x:c>
      <x:c r="J592" s="10">
        <x:v>30</x:v>
      </x:c>
      <x:c r="K592" s="10">
        <x:v>14</x:v>
      </x:c>
    </x:row>
    <x:row r="593">
      <x:c r="A593" s="10" t="s">
        <x:v>60</x:v>
      </x:c>
      <x:c r="B593" s="10">
        <x:v>9596</x:v>
      </x:c>
      <x:c r="C593" s="10">
        <x:v>14021</x:v>
      </x:c>
      <x:c r="D593" s="10" t="s">
        <x:v>5</x:v>
      </x:c>
      <x:c r="E593" s="10" t="s">
        <x:v>5</x:v>
      </x:c>
      <x:c r="F593" s="10">
        <x:v>0</x:v>
      </x:c>
      <x:c r="G593" s="10">
        <x:v>94</x:v>
      </x:c>
      <x:c r="H593" s="22">
        <x:f t="shared" si="9"/>
        <x:v>4000</x:v>
      </x:c>
      <x:c r="I593" s="22">
        <x:v>376000</x:v>
      </x:c>
      <x:c r="J593" s="10">
        <x:v>30</x:v>
      </x:c>
      <x:c r="K593" s="10">
        <x:v>15</x:v>
      </x:c>
    </x:row>
    <x:row r="594">
      <x:c r="A594" s="10" t="s">
        <x:v>60</x:v>
      </x:c>
      <x:c r="B594" s="10">
        <x:v>2816</x:v>
      </x:c>
      <x:c r="C594" s="10">
        <x:v>14022</x:v>
      </x:c>
      <x:c r="D594" s="10" t="s">
        <x:v>7</x:v>
      </x:c>
      <x:c r="E594" s="10" t="s">
        <x:v>7</x:v>
      </x:c>
      <x:c r="F594" s="10">
        <x:v>0</x:v>
      </x:c>
      <x:c r="G594" s="10">
        <x:v>83</x:v>
      </x:c>
      <x:c r="H594" s="22">
        <x:f t="shared" si="9"/>
        <x:v>19023.814276633733</x:v>
      </x:c>
      <x:c r="I594" s="22">
        <x:v>1578976.5849605999</x:v>
      </x:c>
      <x:c r="J594" s="10">
        <x:v>30</x:v>
      </x:c>
      <x:c r="K594" s="10">
        <x:v>16</x:v>
      </x:c>
    </x:row>
    <x:row r="595">
      <x:c r="A595" s="10" t="s">
        <x:v>60</x:v>
      </x:c>
      <x:c r="B595" s="10">
        <x:v>9598</x:v>
      </x:c>
      <x:c r="C595" s="10">
        <x:v>14023</x:v>
      </x:c>
      <x:c r="D595" s="10" t="s">
        <x:v>5</x:v>
      </x:c>
      <x:c r="E595" s="10" t="s">
        <x:v>5</x:v>
      </x:c>
      <x:c r="F595" s="10">
        <x:v>0</x:v>
      </x:c>
      <x:c r="G595" s="10">
        <x:v>241</x:v>
      </x:c>
      <x:c r="H595" s="22">
        <x:f t="shared" si="9"/>
        <x:v>4000</x:v>
      </x:c>
      <x:c r="I595" s="22">
        <x:v>964000</x:v>
      </x:c>
      <x:c r="J595" s="10">
        <x:v>30</x:v>
      </x:c>
      <x:c r="K595" s="10">
        <x:v>17</x:v>
      </x:c>
    </x:row>
    <x:row r="596">
      <x:c r="A596" s="10" t="s">
        <x:v>60</x:v>
      </x:c>
      <x:c r="B596" s="10">
        <x:v>9593</x:v>
      </x:c>
      <x:c r="C596" s="10">
        <x:v>14024</x:v>
      </x:c>
      <x:c r="D596" s="10" t="s">
        <x:v>5</x:v>
      </x:c>
      <x:c r="E596" s="10" t="s">
        <x:v>5</x:v>
      </x:c>
      <x:c r="F596" s="10">
        <x:v>0</x:v>
      </x:c>
      <x:c r="G596" s="10">
        <x:v>251</x:v>
      </x:c>
      <x:c r="H596" s="22">
        <x:f t="shared" si="9"/>
        <x:v>4000</x:v>
      </x:c>
      <x:c r="I596" s="22">
        <x:v>1004000</x:v>
      </x:c>
      <x:c r="J596" s="10">
        <x:v>30</x:v>
      </x:c>
      <x:c r="K596" s="10">
        <x:v>18</x:v>
      </x:c>
    </x:row>
    <x:row r="597">
      <x:c r="A597" s="10" t="s">
        <x:v>60</x:v>
      </x:c>
      <x:c r="B597" s="10">
        <x:v>9524</x:v>
      </x:c>
      <x:c r="C597" s="10">
        <x:v>14025</x:v>
      </x:c>
      <x:c r="D597" s="10" t="s">
        <x:v>8</x:v>
      </x:c>
      <x:c r="E597" s="10" t="s">
        <x:v>8</x:v>
      </x:c>
      <x:c r="F597" s="10">
        <x:v>0</x:v>
      </x:c>
      <x:c r="G597" s="10">
        <x:v>286</x:v>
      </x:c>
      <x:c r="H597" s="22">
        <x:f t="shared" si="9"/>
        <x:v>4000</x:v>
      </x:c>
      <x:c r="I597" s="22">
        <x:v>1144000</x:v>
      </x:c>
      <x:c r="J597" s="10">
        <x:v>30</x:v>
      </x:c>
      <x:c r="K597" s="10">
        <x:v>19</x:v>
      </x:c>
    </x:row>
    <x:row r="598">
      <x:c r="A598" s="10" t="s">
        <x:v>60</x:v>
      </x:c>
      <x:c r="B598" s="10">
        <x:v>9523</x:v>
      </x:c>
      <x:c r="C598" s="10">
        <x:v>14026</x:v>
      </x:c>
      <x:c r="D598" s="10" t="s">
        <x:v>8</x:v>
      </x:c>
      <x:c r="E598" s="10" t="s">
        <x:v>8</x:v>
      </x:c>
      <x:c r="F598" s="10">
        <x:v>0</x:v>
      </x:c>
      <x:c r="G598" s="10">
        <x:v>54</x:v>
      </x:c>
      <x:c r="H598" s="22">
        <x:f t="shared" si="9"/>
        <x:v>4000</x:v>
      </x:c>
      <x:c r="I598" s="22">
        <x:v>216000</x:v>
      </x:c>
      <x:c r="J598" s="10">
        <x:v>30</x:v>
      </x:c>
      <x:c r="K598" s="10">
        <x:v>20</x:v>
      </x:c>
    </x:row>
    <x:row r="599">
      <x:c r="A599" s="10" t="s">
        <x:v>60</x:v>
      </x:c>
      <x:c r="B599" s="10">
        <x:v>5944</x:v>
      </x:c>
      <x:c r="C599" s="10">
        <x:v>14027</x:v>
      </x:c>
      <x:c r="D599" s="10" t="s">
        <x:v>0</x:v>
      </x:c>
      <x:c r="E599" s="10" t="s">
        <x:v>63</x:v>
      </x:c>
      <x:c r="F599" s="10">
        <x:v>33</x:v>
      </x:c>
      <x:c r="G599" s="10">
        <x:v>192</x:v>
      </x:c>
      <x:c r="H599" s="22">
        <x:f t="shared" si="9"/>
        <x:v>10652.978656003646</x:v>
      </x:c>
      <x:c r="I599" s="22">
        <x:v>2045371.9019527</x:v>
      </x:c>
      <x:c r="J599" s="10">
        <x:v>31</x:v>
      </x:c>
      <x:c r="K599" s="10">
        <x:v>1</x:v>
      </x:c>
    </x:row>
    <x:row r="600">
      <x:c r="A600" s="10" t="s">
        <x:v>60</x:v>
      </x:c>
      <x:c r="B600" s="10">
        <x:v>6844</x:v>
      </x:c>
      <x:c r="C600" s="10">
        <x:v>14028</x:v>
      </x:c>
      <x:c r="D600" s="10" t="s">
        <x:v>0</x:v>
      </x:c>
      <x:c r="E600" s="10" t="s">
        <x:v>65</x:v>
      </x:c>
      <x:c r="F600" s="10">
        <x:v>35</x:v>
      </x:c>
      <x:c r="G600" s="10">
        <x:v>207</x:v>
      </x:c>
      <x:c r="H600" s="22">
        <x:f t="shared" si="9"/>
        <x:v>9591.1686084671492</x:v>
      </x:c>
      <x:c r="I600" s="22">
        <x:v>1985371.9019527</x:v>
      </x:c>
      <x:c r="J600" s="10">
        <x:v>31</x:v>
      </x:c>
      <x:c r="K600" s="10">
        <x:v>2</x:v>
      </x:c>
    </x:row>
    <x:row r="601">
      <x:c r="A601" s="10" t="s">
        <x:v>60</x:v>
      </x:c>
      <x:c r="B601" s="10">
        <x:v>6876</x:v>
      </x:c>
      <x:c r="C601" s="10">
        <x:v>14029</x:v>
      </x:c>
      <x:c r="D601" s="10" t="s">
        <x:v>0</x:v>
      </x:c>
      <x:c r="E601" s="10" t="s">
        <x:v>24</x:v>
      </x:c>
      <x:c r="F601" s="10">
        <x:v>26</x:v>
      </x:c>
      <x:c r="G601" s="10">
        <x:v>192</x:v>
      </x:c>
      <x:c r="H601" s="22">
        <x:f t="shared" si="9"/>
        <x:v>10652.978656003646</x:v>
      </x:c>
      <x:c r="I601" s="22">
        <x:v>2045371.9019527</x:v>
      </x:c>
      <x:c r="J601" s="10">
        <x:v>31</x:v>
      </x:c>
      <x:c r="K601" s="10">
        <x:v>3</x:v>
      </x:c>
    </x:row>
    <x:row r="602">
      <x:c r="A602" s="10" t="s">
        <x:v>60</x:v>
      </x:c>
      <x:c r="B602" s="10">
        <x:v>10535</x:v>
      </x:c>
      <x:c r="C602" s="10">
        <x:v>14030</x:v>
      </x:c>
      <x:c r="D602" s="10" t="s">
        <x:v>0</x:v>
      </x:c>
      <x:c r="E602" s="10" t="s">
        <x:v>32</x:v>
      </x:c>
      <x:c r="F602" s="10">
        <x:v>33</x:v>
      </x:c>
      <x:c r="G602" s="10">
        <x:v>185</x:v>
      </x:c>
      <x:c r="H602" s="22">
        <x:f t="shared" si="9"/>
        <x:v>9004.5864026270265</x:v>
      </x:c>
      <x:c r="I602" s="22">
        <x:v>1665848.4844859999</x:v>
      </x:c>
      <x:c r="J602" s="10">
        <x:v>31</x:v>
      </x:c>
      <x:c r="K602" s="10">
        <x:v>4</x:v>
      </x:c>
    </x:row>
    <x:row r="603">
      <x:c r="A603" s="10" t="s">
        <x:v>60</x:v>
      </x:c>
      <x:c r="B603" s="10">
        <x:v>10537</x:v>
      </x:c>
      <x:c r="C603" s="10">
        <x:v>14031</x:v>
      </x:c>
      <x:c r="D603" s="10" t="s">
        <x:v>0</x:v>
      </x:c>
      <x:c r="E603" s="10" t="s">
        <x:v>32</x:v>
      </x:c>
      <x:c r="F603" s="10">
        <x:v>27</x:v>
      </x:c>
      <x:c r="G603" s="10">
        <x:v>187</x:v>
      </x:c>
      <x:c r="H603" s="22">
        <x:f t="shared" si="9"/>
        <x:v>8881.5426977860952</x:v>
      </x:c>
      <x:c r="I603" s="22">
        <x:v>1660848.4844859999</x:v>
      </x:c>
      <x:c r="J603" s="10">
        <x:v>31</x:v>
      </x:c>
      <x:c r="K603" s="10">
        <x:v>5</x:v>
      </x:c>
    </x:row>
    <x:row r="604">
      <x:c r="A604" s="10" t="s">
        <x:v>60</x:v>
      </x:c>
      <x:c r="B604" s="10">
        <x:v>10534</x:v>
      </x:c>
      <x:c r="C604" s="10">
        <x:v>14032</x:v>
      </x:c>
      <x:c r="D604" s="10" t="s">
        <x:v>0</x:v>
      </x:c>
      <x:c r="E604" s="10" t="s">
        <x:v>32</x:v>
      </x:c>
      <x:c r="F604" s="10">
        <x:v>31</x:v>
      </x:c>
      <x:c r="G604" s="10">
        <x:v>193</x:v>
      </x:c>
      <x:c r="H604" s="22">
        <x:f t="shared" si="9"/>
        <x:v>8631.3392978549218</x:v>
      </x:c>
      <x:c r="I604" s="22">
        <x:v>1665848.4844859999</x:v>
      </x:c>
      <x:c r="J604" s="10">
        <x:v>31</x:v>
      </x:c>
      <x:c r="K604" s="10">
        <x:v>6</x:v>
      </x:c>
    </x:row>
    <x:row r="605">
      <x:c r="A605" s="10" t="s">
        <x:v>60</x:v>
      </x:c>
      <x:c r="B605" s="10">
        <x:v>10531</x:v>
      </x:c>
      <x:c r="C605" s="10">
        <x:v>14033</x:v>
      </x:c>
      <x:c r="D605" s="10" t="s">
        <x:v>0</x:v>
      </x:c>
      <x:c r="E605" s="10" t="s">
        <x:v>32</x:v>
      </x:c>
      <x:c r="F605" s="10">
        <x:v>31</x:v>
      </x:c>
      <x:c r="G605" s="10">
        <x:v>192</x:v>
      </x:c>
      <x:c r="H605" s="22">
        <x:f t="shared" si="9"/>
        <x:v>8676.2941900312489</x:v>
      </x:c>
      <x:c r="I605" s="22">
        <x:v>1665848.4844859999</x:v>
      </x:c>
      <x:c r="J605" s="10">
        <x:v>31</x:v>
      </x:c>
      <x:c r="K605" s="10">
        <x:v>7</x:v>
      </x:c>
    </x:row>
    <x:row r="606">
      <x:c r="A606" s="10" t="s">
        <x:v>60</x:v>
      </x:c>
      <x:c r="B606" s="10">
        <x:v>10541</x:v>
      </x:c>
      <x:c r="C606" s="10">
        <x:v>14034</x:v>
      </x:c>
      <x:c r="D606" s="10" t="s">
        <x:v>0</x:v>
      </x:c>
      <x:c r="E606" s="10" t="s">
        <x:v>67</x:v>
      </x:c>
      <x:c r="F606" s="10">
        <x:v>31</x:v>
      </x:c>
      <x:c r="G606" s="10">
        <x:v>192</x:v>
      </x:c>
      <x:c r="H606" s="22">
        <x:f t="shared" si="9"/>
        <x:v>8676.2941900312489</x:v>
      </x:c>
      <x:c r="I606" s="22">
        <x:v>1665848.4844859999</x:v>
      </x:c>
      <x:c r="J606" s="10">
        <x:v>31</x:v>
      </x:c>
      <x:c r="K606" s="10">
        <x:v>8</x:v>
      </x:c>
    </x:row>
    <x:row r="607">
      <x:c r="A607" s="10" t="s">
        <x:v>60</x:v>
      </x:c>
      <x:c r="B607" s="10">
        <x:v>10536</x:v>
      </x:c>
      <x:c r="C607" s="10">
        <x:v>14035</x:v>
      </x:c>
      <x:c r="D607" s="10" t="s">
        <x:v>0</x:v>
      </x:c>
      <x:c r="E607" s="10" t="s">
        <x:v>32</x:v>
      </x:c>
      <x:c r="F607" s="10">
        <x:v>25</x:v>
      </x:c>
      <x:c r="G607" s="10">
        <x:v>192</x:v>
      </x:c>
      <x:c r="H607" s="22">
        <x:f t="shared" si="9"/>
        <x:v>8676.2941900312489</x:v>
      </x:c>
      <x:c r="I607" s="22">
        <x:v>1665848.4844859999</x:v>
      </x:c>
      <x:c r="J607" s="10">
        <x:v>31</x:v>
      </x:c>
      <x:c r="K607" s="10">
        <x:v>9</x:v>
      </x:c>
    </x:row>
    <x:row r="608">
      <x:c r="A608" s="10" t="s">
        <x:v>60</x:v>
      </x:c>
      <x:c r="B608" s="10">
        <x:v>10533</x:v>
      </x:c>
      <x:c r="C608" s="10">
        <x:v>14036</x:v>
      </x:c>
      <x:c r="D608" s="10" t="s">
        <x:v>0</x:v>
      </x:c>
      <x:c r="E608" s="10" t="s">
        <x:v>32</x:v>
      </x:c>
      <x:c r="F608" s="10">
        <x:v>32</x:v>
      </x:c>
      <x:c r="G608" s="10">
        <x:v>192</x:v>
      </x:c>
      <x:c r="H608" s="22">
        <x:f t="shared" si="9"/>
        <x:v>8676.2941900312489</x:v>
      </x:c>
      <x:c r="I608" s="22">
        <x:v>1665848.4844859999</x:v>
      </x:c>
      <x:c r="J608" s="10">
        <x:v>31</x:v>
      </x:c>
      <x:c r="K608" s="10">
        <x:v>10</x:v>
      </x:c>
    </x:row>
    <x:row r="609">
      <x:c r="A609" s="10" t="s">
        <x:v>60</x:v>
      </x:c>
      <x:c r="B609" s="10">
        <x:v>5937</x:v>
      </x:c>
      <x:c r="C609" s="10">
        <x:v>14037</x:v>
      </x:c>
      <x:c r="D609" s="10" t="s">
        <x:v>0</x:v>
      </x:c>
      <x:c r="E609" s="10" t="s">
        <x:v>63</x:v>
      </x:c>
      <x:c r="F609" s="10">
        <x:v>32</x:v>
      </x:c>
      <x:c r="G609" s="10">
        <x:v>201</x:v>
      </x:c>
      <x:c r="H609" s="22">
        <x:f t="shared" si="9"/>
        <x:v>10175.979611704975</x:v>
      </x:c>
      <x:c r="I609" s="22">
        <x:v>2045371.9019527</x:v>
      </x:c>
      <x:c r="J609" s="10">
        <x:v>31</x:v>
      </x:c>
      <x:c r="K609" s="10">
        <x:v>11</x:v>
      </x:c>
    </x:row>
    <x:row r="610">
      <x:c r="A610" s="10" t="s">
        <x:v>60</x:v>
      </x:c>
      <x:c r="B610" s="10">
        <x:v>5928</x:v>
      </x:c>
      <x:c r="C610" s="10">
        <x:v>14038</x:v>
      </x:c>
      <x:c r="D610" s="10" t="s">
        <x:v>0</x:v>
      </x:c>
      <x:c r="E610" s="10" t="s">
        <x:v>63</x:v>
      </x:c>
      <x:c r="F610" s="10">
        <x:v>32</x:v>
      </x:c>
      <x:c r="G610" s="10">
        <x:v>198</x:v>
      </x:c>
      <x:c r="H610" s="22">
        <x:f t="shared" si="9"/>
        <x:v>10330.161120973233</x:v>
      </x:c>
      <x:c r="I610" s="22">
        <x:v>2045371.9019527</x:v>
      </x:c>
      <x:c r="J610" s="10">
        <x:v>31</x:v>
      </x:c>
      <x:c r="K610" s="10">
        <x:v>12</x:v>
      </x:c>
    </x:row>
    <x:row r="611">
      <x:c r="A611" s="10" t="s">
        <x:v>60</x:v>
      </x:c>
      <x:c r="B611" s="10">
        <x:v>5934</x:v>
      </x:c>
      <x:c r="C611" s="10">
        <x:v>14039</x:v>
      </x:c>
      <x:c r="D611" s="10" t="s">
        <x:v>0</x:v>
      </x:c>
      <x:c r="E611" s="10" t="s">
        <x:v>63</x:v>
      </x:c>
      <x:c r="F611" s="10">
        <x:v>32</x:v>
      </x:c>
      <x:c r="G611" s="10">
        <x:v>192</x:v>
      </x:c>
      <x:c r="H611" s="22">
        <x:f t="shared" si="9"/>
        <x:v>10652.978656003646</x:v>
      </x:c>
      <x:c r="I611" s="22">
        <x:v>2045371.9019527</x:v>
      </x:c>
      <x:c r="J611" s="10">
        <x:v>31</x:v>
      </x:c>
      <x:c r="K611" s="10">
        <x:v>13</x:v>
      </x:c>
    </x:row>
    <x:row r="612">
      <x:c r="A612" s="10" t="s">
        <x:v>60</x:v>
      </x:c>
      <x:c r="B612" s="10">
        <x:v>10528</x:v>
      </x:c>
      <x:c r="C612" s="10">
        <x:v>14040</x:v>
      </x:c>
      <x:c r="D612" s="10" t="s">
        <x:v>0</x:v>
      </x:c>
      <x:c r="E612" s="10" t="s">
        <x:v>32</x:v>
      </x:c>
      <x:c r="F612" s="10">
        <x:v>24</x:v>
      </x:c>
      <x:c r="G612" s="10">
        <x:v>168</x:v>
      </x:c>
      <x:c r="H612" s="22">
        <x:f t="shared" si="9"/>
        <x:v>8669.990829031547</x:v>
      </x:c>
      <x:c r="I612" s="22">
        <x:v>1456558.4592772999</x:v>
      </x:c>
      <x:c r="J612" s="10">
        <x:v>31</x:v>
      </x:c>
      <x:c r="K612" s="10">
        <x:v>14</x:v>
      </x:c>
    </x:row>
    <x:row r="613">
      <x:c r="A613" s="10" t="s">
        <x:v>60</x:v>
      </x:c>
      <x:c r="B613" s="10">
        <x:v>10548</x:v>
      </x:c>
      <x:c r="C613" s="10">
        <x:v>14041</x:v>
      </x:c>
      <x:c r="D613" s="10" t="s">
        <x:v>0</x:v>
      </x:c>
      <x:c r="E613" s="10" t="s">
        <x:v>68</x:v>
      </x:c>
      <x:c r="F613" s="10">
        <x:v>42</x:v>
      </x:c>
      <x:c r="G613" s="10">
        <x:v>192</x:v>
      </x:c>
      <x:c r="H613" s="22">
        <x:f t="shared" si="9"/>
        <x:v>8676.2941900312489</x:v>
      </x:c>
      <x:c r="I613" s="22">
        <x:v>1665848.4844859999</x:v>
      </x:c>
      <x:c r="J613" s="10">
        <x:v>31</x:v>
      </x:c>
      <x:c r="K613" s="10">
        <x:v>15</x:v>
      </x:c>
    </x:row>
    <x:row r="614">
      <x:c r="A614" s="10" t="s">
        <x:v>60</x:v>
      </x:c>
      <x:c r="B614" s="10">
        <x:v>10538</x:v>
      </x:c>
      <x:c r="C614" s="10">
        <x:v>14042</x:v>
      </x:c>
      <x:c r="D614" s="10" t="s">
        <x:v>0</x:v>
      </x:c>
      <x:c r="E614" s="10" t="s">
        <x:v>32</x:v>
      </x:c>
      <x:c r="F614" s="10">
        <x:v>27</x:v>
      </x:c>
      <x:c r="G614" s="10">
        <x:v>192</x:v>
      </x:c>
      <x:c r="H614" s="22">
        <x:f t="shared" si="9"/>
        <x:v>8676.2941900312489</x:v>
      </x:c>
      <x:c r="I614" s="22">
        <x:v>1665848.4844859999</x:v>
      </x:c>
      <x:c r="J614" s="10">
        <x:v>31</x:v>
      </x:c>
      <x:c r="K614" s="10">
        <x:v>16</x:v>
      </x:c>
    </x:row>
    <x:row r="615">
      <x:c r="A615" s="10" t="s">
        <x:v>60</x:v>
      </x:c>
      <x:c r="B615" s="10">
        <x:v>10532</x:v>
      </x:c>
      <x:c r="C615" s="10">
        <x:v>14043</x:v>
      </x:c>
      <x:c r="D615" s="10" t="s">
        <x:v>0</x:v>
      </x:c>
      <x:c r="E615" s="10" t="s">
        <x:v>32</x:v>
      </x:c>
      <x:c r="F615" s="10">
        <x:v>32</x:v>
      </x:c>
      <x:c r="G615" s="10">
        <x:v>193</x:v>
      </x:c>
      <x:c r="H615" s="22">
        <x:f t="shared" si="9"/>
        <x:v>8631.3392978549218</x:v>
      </x:c>
      <x:c r="I615" s="22">
        <x:v>1665848.4844859999</x:v>
      </x:c>
      <x:c r="J615" s="10">
        <x:v>31</x:v>
      </x:c>
      <x:c r="K615" s="10">
        <x:v>17</x:v>
      </x:c>
    </x:row>
    <x:row r="616">
      <x:c r="A616" s="10" t="s">
        <x:v>60</x:v>
      </x:c>
      <x:c r="B616" s="10">
        <x:v>10543</x:v>
      </x:c>
      <x:c r="C616" s="10">
        <x:v>14044</x:v>
      </x:c>
      <x:c r="D616" s="10" t="s">
        <x:v>0</x:v>
      </x:c>
      <x:c r="E616" s="10" t="s">
        <x:v>68</x:v>
      </x:c>
      <x:c r="F616" s="10">
        <x:v>48</x:v>
      </x:c>
      <x:c r="G616" s="10">
        <x:v>192</x:v>
      </x:c>
      <x:c r="H616" s="22">
        <x:f t="shared" si="9"/>
        <x:v>8676.2941900312489</x:v>
      </x:c>
      <x:c r="I616" s="22">
        <x:v>1665848.4844859999</x:v>
      </x:c>
      <x:c r="J616" s="10">
        <x:v>31</x:v>
      </x:c>
      <x:c r="K616" s="10">
        <x:v>18</x:v>
      </x:c>
    </x:row>
    <x:row r="617">
      <x:c r="A617" s="10" t="s">
        <x:v>60</x:v>
      </x:c>
      <x:c r="B617" s="10">
        <x:v>10546</x:v>
      </x:c>
      <x:c r="C617" s="10">
        <x:v>14045</x:v>
      </x:c>
      <x:c r="D617" s="10" t="s">
        <x:v>0</x:v>
      </x:c>
      <x:c r="E617" s="10" t="s">
        <x:v>68</x:v>
      </x:c>
      <x:c r="F617" s="10">
        <x:v>43</x:v>
      </x:c>
      <x:c r="G617" s="10">
        <x:v>192</x:v>
      </x:c>
      <x:c r="H617" s="22">
        <x:f t="shared" si="9"/>
        <x:v>8676.2941900312489</x:v>
      </x:c>
      <x:c r="I617" s="22">
        <x:v>1665848.4844859999</x:v>
      </x:c>
      <x:c r="J617" s="10">
        <x:v>31</x:v>
      </x:c>
      <x:c r="K617" s="10">
        <x:v>19</x:v>
      </x:c>
    </x:row>
    <x:row r="618">
      <x:c r="A618" s="10" t="s">
        <x:v>60</x:v>
      </x:c>
      <x:c r="B618" s="10">
        <x:v>10544</x:v>
      </x:c>
      <x:c r="C618" s="10">
        <x:v>14046</x:v>
      </x:c>
      <x:c r="D618" s="10" t="s">
        <x:v>0</x:v>
      </x:c>
      <x:c r="E618" s="10" t="s">
        <x:v>68</x:v>
      </x:c>
      <x:c r="F618" s="10">
        <x:v>46</x:v>
      </x:c>
      <x:c r="G618" s="10">
        <x:v>192</x:v>
      </x:c>
      <x:c r="H618" s="22">
        <x:f t="shared" si="9"/>
        <x:v>8676.2941900312489</x:v>
      </x:c>
      <x:c r="I618" s="22">
        <x:v>1665848.4844859999</x:v>
      </x:c>
      <x:c r="J618" s="10">
        <x:v>31</x:v>
      </x:c>
      <x:c r="K618" s="10">
        <x:v>20</x:v>
      </x:c>
    </x:row>
    <x:row r="619">
      <x:c r="A619" s="10" t="s">
        <x:v>60</x:v>
      </x:c>
      <x:c r="B619" s="10">
        <x:v>9487</x:v>
      </x:c>
      <x:c r="C619" s="10">
        <x:v>14047</x:v>
      </x:c>
      <x:c r="D619" s="10" t="s">
        <x:v>9</x:v>
      </x:c>
      <x:c r="E619" s="10" t="s">
        <x:v>9</x:v>
      </x:c>
      <x:c r="F619" s="10">
        <x:v>0</x:v>
      </x:c>
      <x:c r="G619" s="10">
        <x:v>97</x:v>
      </x:c>
      <x:c r="H619" s="22">
        <x:f t="shared" si="9"/>
        <x:v>9000</x:v>
      </x:c>
      <x:c r="I619" s="22">
        <x:v>873000</x:v>
      </x:c>
      <x:c r="J619" s="10">
        <x:v>32</x:v>
      </x:c>
      <x:c r="K619" s="10">
        <x:v>1</x:v>
      </x:c>
    </x:row>
    <x:row r="620">
      <x:c r="A620" s="10" t="s">
        <x:v>60</x:v>
      </x:c>
      <x:c r="B620" s="10">
        <x:v>10839</x:v>
      </x:c>
      <x:c r="C620" s="10">
        <x:v>14048</x:v>
      </x:c>
      <x:c r="D620" s="10" t="s">
        <x:v>9</x:v>
      </x:c>
      <x:c r="E620" s="10" t="s">
        <x:v>34</x:v>
      </x:c>
      <x:c r="F620" s="10">
        <x:v>35</x:v>
      </x:c>
      <x:c r="G620" s="10">
        <x:v>182</x:v>
      </x:c>
      <x:c r="H620" s="22">
        <x:f t="shared" si="9"/>
        <x:v>9153.0136510219781</x:v>
      </x:c>
      <x:c r="I620" s="22">
        <x:v>1665848.4844859999</x:v>
      </x:c>
      <x:c r="J620" s="10">
        <x:v>32</x:v>
      </x:c>
      <x:c r="K620" s="10">
        <x:v>2</x:v>
      </x:c>
    </x:row>
    <x:row r="621">
      <x:c r="A621" s="10" t="s">
        <x:v>60</x:v>
      </x:c>
      <x:c r="B621" s="10">
        <x:v>10841</x:v>
      </x:c>
      <x:c r="C621" s="10">
        <x:v>14049</x:v>
      </x:c>
      <x:c r="D621" s="10" t="s">
        <x:v>9</x:v>
      </x:c>
      <x:c r="E621" s="10" t="s">
        <x:v>34</x:v>
      </x:c>
      <x:c r="F621" s="10">
        <x:v>41</x:v>
      </x:c>
      <x:c r="G621" s="10">
        <x:v>223</x:v>
      </x:c>
      <x:c r="H621" s="22">
        <x:f t="shared" si="9"/>
        <x:v>9182.0871248762323</x:v>
      </x:c>
      <x:c r="I621" s="22">
        <x:v>2047605.4288474</x:v>
      </x:c>
      <x:c r="J621" s="10">
        <x:v>32</x:v>
      </x:c>
      <x:c r="K621" s="10">
        <x:v>3</x:v>
      </x:c>
    </x:row>
    <x:row r="622">
      <x:c r="A622" s="10" t="s">
        <x:v>60</x:v>
      </x:c>
      <x:c r="B622" s="10">
        <x:v>9443</x:v>
      </x:c>
      <x:c r="C622" s="10">
        <x:v>14050</x:v>
      </x:c>
      <x:c r="D622" s="10" t="s">
        <x:v>9</x:v>
      </x:c>
      <x:c r="E622" s="10" t="s">
        <x:v>9</x:v>
      </x:c>
      <x:c r="F622" s="10">
        <x:v>0</x:v>
      </x:c>
      <x:c r="G622" s="10">
        <x:v>82</x:v>
      </x:c>
      <x:c r="H622" s="22">
        <x:f t="shared" si="9"/>
        <x:v>9000</x:v>
      </x:c>
      <x:c r="I622" s="22">
        <x:v>738000</x:v>
      </x:c>
      <x:c r="J622" s="10">
        <x:v>32</x:v>
      </x:c>
      <x:c r="K622" s="10">
        <x:v>4</x:v>
      </x:c>
    </x:row>
    <x:row r="623">
      <x:c r="A623" s="10" t="s">
        <x:v>60</x:v>
      </x:c>
      <x:c r="B623" s="10">
        <x:v>9537</x:v>
      </x:c>
      <x:c r="C623" s="10">
        <x:v>14051</x:v>
      </x:c>
      <x:c r="D623" s="10" t="s">
        <x:v>9</x:v>
      </x:c>
      <x:c r="E623" s="10" t="s">
        <x:v>9</x:v>
      </x:c>
      <x:c r="F623" s="10">
        <x:v>0</x:v>
      </x:c>
      <x:c r="G623" s="10">
        <x:v>79</x:v>
      </x:c>
      <x:c r="H623" s="22">
        <x:f t="shared" si="9"/>
        <x:v>9000</x:v>
      </x:c>
      <x:c r="I623" s="22">
        <x:v>711000</x:v>
      </x:c>
      <x:c r="J623" s="10">
        <x:v>32</x:v>
      </x:c>
      <x:c r="K623" s="10">
        <x:v>5</x:v>
      </x:c>
    </x:row>
    <x:row r="624">
      <x:c r="A624" s="10" t="s">
        <x:v>60</x:v>
      </x:c>
      <x:c r="B624" s="10">
        <x:v>9522</x:v>
      </x:c>
      <x:c r="C624" s="10">
        <x:v>14052</x:v>
      </x:c>
      <x:c r="D624" s="10" t="s">
        <x:v>9</x:v>
      </x:c>
      <x:c r="E624" s="10" t="s">
        <x:v>9</x:v>
      </x:c>
      <x:c r="F624" s="10">
        <x:v>0</x:v>
      </x:c>
      <x:c r="G624" s="10">
        <x:v>90</x:v>
      </x:c>
      <x:c r="H624" s="22">
        <x:f t="shared" si="9"/>
        <x:v>9000</x:v>
      </x:c>
      <x:c r="I624" s="22">
        <x:v>810000</x:v>
      </x:c>
      <x:c r="J624" s="10">
        <x:v>32</x:v>
      </x:c>
      <x:c r="K624" s="10">
        <x:v>6</x:v>
      </x:c>
    </x:row>
    <x:row r="625">
      <x:c r="A625" s="10" t="s">
        <x:v>60</x:v>
      </x:c>
      <x:c r="B625" s="10">
        <x:v>9497</x:v>
      </x:c>
      <x:c r="C625" s="10">
        <x:v>14053</x:v>
      </x:c>
      <x:c r="D625" s="10" t="s">
        <x:v>6</x:v>
      </x:c>
      <x:c r="E625" s="10" t="s">
        <x:v>6</x:v>
      </x:c>
      <x:c r="F625" s="10">
        <x:v>0</x:v>
      </x:c>
      <x:c r="G625" s="10">
        <x:v>250</x:v>
      </x:c>
      <x:c r="H625" s="22">
        <x:f t="shared" si="9"/>
        <x:v>7500</x:v>
      </x:c>
      <x:c r="I625" s="22">
        <x:v>1875000</x:v>
      </x:c>
      <x:c r="J625" s="10">
        <x:v>32</x:v>
      </x:c>
      <x:c r="K625" s="10">
        <x:v>7</x:v>
      </x:c>
    </x:row>
    <x:row r="626">
      <x:c r="A626" s="10" t="s">
        <x:v>60</x:v>
      </x:c>
      <x:c r="B626" s="10">
        <x:v>9504</x:v>
      </x:c>
      <x:c r="C626" s="10">
        <x:v>14054</x:v>
      </x:c>
      <x:c r="D626" s="10" t="s">
        <x:v>9</x:v>
      </x:c>
      <x:c r="E626" s="10" t="s">
        <x:v>9</x:v>
      </x:c>
      <x:c r="F626" s="10">
        <x:v>0</x:v>
      </x:c>
      <x:c r="G626" s="10">
        <x:v>87</x:v>
      </x:c>
      <x:c r="H626" s="22">
        <x:f t="shared" si="9"/>
        <x:v>9000</x:v>
      </x:c>
      <x:c r="I626" s="22">
        <x:v>783000</x:v>
      </x:c>
      <x:c r="J626" s="10">
        <x:v>32</x:v>
      </x:c>
      <x:c r="K626" s="10">
        <x:v>8</x:v>
      </x:c>
    </x:row>
    <x:row r="627">
      <x:c r="A627" s="10" t="s">
        <x:v>60</x:v>
      </x:c>
      <x:c r="B627" s="10">
        <x:v>9340</x:v>
      </x:c>
      <x:c r="C627" s="10">
        <x:v>14055</x:v>
      </x:c>
      <x:c r="D627" s="10" t="s">
        <x:v>9</x:v>
      </x:c>
      <x:c r="E627" s="10" t="s">
        <x:v>9</x:v>
      </x:c>
      <x:c r="F627" s="10">
        <x:v>32</x:v>
      </x:c>
      <x:c r="G627" s="10">
        <x:v>183</x:v>
      </x:c>
      <x:c r="H627" s="22">
        <x:f t="shared" si="9"/>
        <x:v>9000</x:v>
      </x:c>
      <x:c r="I627" s="22">
        <x:v>1647000</x:v>
      </x:c>
      <x:c r="J627" s="10">
        <x:v>32</x:v>
      </x:c>
      <x:c r="K627" s="10">
        <x:v>9</x:v>
      </x:c>
    </x:row>
    <x:row r="628">
      <x:c r="A628" s="10" t="s">
        <x:v>60</x:v>
      </x:c>
      <x:c r="B628" s="10">
        <x:v>9376</x:v>
      </x:c>
      <x:c r="C628" s="10">
        <x:v>14056</x:v>
      </x:c>
      <x:c r="D628" s="10" t="s">
        <x:v>9</x:v>
      </x:c>
      <x:c r="E628" s="10" t="s">
        <x:v>9</x:v>
      </x:c>
      <x:c r="F628" s="10">
        <x:v>16</x:v>
      </x:c>
      <x:c r="G628" s="10">
        <x:v>89</x:v>
      </x:c>
      <x:c r="H628" s="22">
        <x:f t="shared" si="9"/>
        <x:v>9000</x:v>
      </x:c>
      <x:c r="I628" s="22">
        <x:v>801000</x:v>
      </x:c>
      <x:c r="J628" s="10">
        <x:v>32</x:v>
      </x:c>
      <x:c r="K628" s="10">
        <x:v>10</x:v>
      </x:c>
    </x:row>
    <x:row r="629">
      <x:c r="A629" s="10" t="s">
        <x:v>60</x:v>
      </x:c>
      <x:c r="B629" s="10">
        <x:v>3483</x:v>
      </x:c>
      <x:c r="C629" s="10">
        <x:v>14057</x:v>
      </x:c>
      <x:c r="D629" s="10" t="s">
        <x:v>2</x:v>
      </x:c>
      <x:c r="E629" s="10" t="s">
        <x:v>43</x:v>
      </x:c>
      <x:c r="F629" s="10">
        <x:v>20</x:v>
      </x:c>
      <x:c r="G629" s="10">
        <x:v>94</x:v>
      </x:c>
      <x:c r="H629" s="22">
        <x:f t="shared" si="9"/>
        <x:v>10720.063308259576</x:v>
      </x:c>
      <x:c r="I629" s="22">
        <x:v>1007685.9509764001</x:v>
      </x:c>
      <x:c r="J629" s="10">
        <x:v>32</x:v>
      </x:c>
      <x:c r="K629" s="10">
        <x:v>11</x:v>
      </x:c>
    </x:row>
    <x:row r="630">
      <x:c r="A630" s="10" t="s">
        <x:v>60</x:v>
      </x:c>
      <x:c r="B630" s="10">
        <x:v>6839</x:v>
      </x:c>
      <x:c r="C630" s="10">
        <x:v>14058</x:v>
      </x:c>
      <x:c r="D630" s="10" t="s">
        <x:v>2</x:v>
      </x:c>
      <x:c r="E630" s="10" t="s">
        <x:v>2</x:v>
      </x:c>
      <x:c r="F630" s="10">
        <x:v>34</x:v>
      </x:c>
      <x:c r="G630" s="10">
        <x:v>192</x:v>
      </x:c>
      <x:c r="H630" s="22">
        <x:f t="shared" si="9"/>
        <x:v>10652.978656003646</x:v>
      </x:c>
      <x:c r="I630" s="22">
        <x:v>2045371.9019527</x:v>
      </x:c>
      <x:c r="J630" s="10">
        <x:v>33</x:v>
      </x:c>
      <x:c r="K630" s="10">
        <x:v>1</x:v>
      </x:c>
    </x:row>
    <x:row r="631">
      <x:c r="A631" s="10" t="s">
        <x:v>60</x:v>
      </x:c>
      <x:c r="B631" s="10">
        <x:v>6942</x:v>
      </x:c>
      <x:c r="C631" s="10">
        <x:v>14059</x:v>
      </x:c>
      <x:c r="D631" s="10" t="s">
        <x:v>0</x:v>
      </x:c>
      <x:c r="E631" s="10" t="s">
        <x:v>22</x:v>
      </x:c>
      <x:c r="F631" s="10">
        <x:v>32</x:v>
      </x:c>
      <x:c r="G631" s="10">
        <x:v>206</x:v>
      </x:c>
      <x:c r="H631" s="22">
        <x:f t="shared" si="9"/>
        <x:v>9928.9898153043687</x:v>
      </x:c>
      <x:c r="I631" s="22">
        <x:v>2045371.9019527</x:v>
      </x:c>
      <x:c r="J631" s="10">
        <x:v>33</x:v>
      </x:c>
      <x:c r="K631" s="10">
        <x:v>2</x:v>
      </x:c>
    </x:row>
    <x:row r="632">
      <x:c r="A632" s="10" t="s">
        <x:v>60</x:v>
      </x:c>
      <x:c r="B632" s="10">
        <x:v>6956</x:v>
      </x:c>
      <x:c r="C632" s="10">
        <x:v>14060</x:v>
      </x:c>
      <x:c r="D632" s="10" t="s">
        <x:v>0</x:v>
      </x:c>
      <x:c r="E632" s="10" t="s">
        <x:v>22</x:v>
      </x:c>
      <x:c r="F632" s="10">
        <x:v>33</x:v>
      </x:c>
      <x:c r="G632" s="10">
        <x:v>192</x:v>
      </x:c>
      <x:c r="H632" s="22">
        <x:f t="shared" si="9"/>
        <x:v>10652.978656003646</x:v>
      </x:c>
      <x:c r="I632" s="22">
        <x:v>2045371.9019527</x:v>
      </x:c>
      <x:c r="J632" s="10">
        <x:v>33</x:v>
      </x:c>
      <x:c r="K632" s="10">
        <x:v>3</x:v>
      </x:c>
    </x:row>
    <x:row r="633">
      <x:c r="A633" s="10" t="s">
        <x:v>60</x:v>
      </x:c>
      <x:c r="B633" s="10">
        <x:v>6887</x:v>
      </x:c>
      <x:c r="C633" s="10">
        <x:v>14061</x:v>
      </x:c>
      <x:c r="D633" s="10" t="s">
        <x:v>0</x:v>
      </x:c>
      <x:c r="E633" s="10" t="s">
        <x:v>42</x:v>
      </x:c>
      <x:c r="F633" s="10">
        <x:v>34</x:v>
      </x:c>
      <x:c r="G633" s="10">
        <x:v>192</x:v>
      </x:c>
      <x:c r="H633" s="22">
        <x:f t="shared" si="9"/>
        <x:v>10626.936989336979</x:v>
      </x:c>
      <x:c r="I633" s="22">
        <x:v>2040371.9019527</x:v>
      </x:c>
      <x:c r="J633" s="10">
        <x:v>33</x:v>
      </x:c>
      <x:c r="K633" s="10">
        <x:v>4</x:v>
      </x:c>
    </x:row>
    <x:row r="634">
      <x:c r="A634" s="10" t="s">
        <x:v>60</x:v>
      </x:c>
      <x:c r="B634" s="10">
        <x:v>6801</x:v>
      </x:c>
      <x:c r="C634" s="10">
        <x:v>14062</x:v>
      </x:c>
      <x:c r="D634" s="10" t="s">
        <x:v>0</x:v>
      </x:c>
      <x:c r="E634" s="10" t="s">
        <x:v>22</x:v>
      </x:c>
      <x:c r="F634" s="10">
        <x:v>33</x:v>
      </x:c>
      <x:c r="G634" s="10">
        <x:v>192</x:v>
      </x:c>
      <x:c r="H634" s="22">
        <x:f t="shared" si="9"/>
        <x:v>10652.978656003646</x:v>
      </x:c>
      <x:c r="I634" s="22">
        <x:v>2045371.9019527</x:v>
      </x:c>
      <x:c r="J634" s="10">
        <x:v>33</x:v>
      </x:c>
      <x:c r="K634" s="10">
        <x:v>5</x:v>
      </x:c>
    </x:row>
    <x:row r="635">
      <x:c r="A635" s="10" t="s">
        <x:v>60</x:v>
      </x:c>
      <x:c r="B635" s="10">
        <x:v>6992</x:v>
      </x:c>
      <x:c r="C635" s="10">
        <x:v>14063</x:v>
      </x:c>
      <x:c r="D635" s="10" t="s">
        <x:v>2</x:v>
      </x:c>
      <x:c r="E635" s="10" t="s">
        <x:v>2</x:v>
      </x:c>
      <x:c r="F635" s="10">
        <x:v>35</x:v>
      </x:c>
      <x:c r="G635" s="10">
        <x:v>200</x:v>
      </x:c>
      <x:c r="H635" s="22">
        <x:f t="shared" si="9"/>
        <x:v>10226.859509763501</x:v>
      </x:c>
      <x:c r="I635" s="22">
        <x:v>2045371.9019527</x:v>
      </x:c>
      <x:c r="J635" s="10">
        <x:v>33</x:v>
      </x:c>
      <x:c r="K635" s="10">
        <x:v>6</x:v>
      </x:c>
    </x:row>
    <x:row r="636">
      <x:c r="A636" s="10" t="s">
        <x:v>60</x:v>
      </x:c>
      <x:c r="B636" s="10">
        <x:v>6853</x:v>
      </x:c>
      <x:c r="C636" s="10">
        <x:v>14064</x:v>
      </x:c>
      <x:c r="D636" s="10" t="s">
        <x:v>2</x:v>
      </x:c>
      <x:c r="E636" s="10" t="s">
        <x:v>66</x:v>
      </x:c>
      <x:c r="F636" s="10">
        <x:v>34</x:v>
      </x:c>
      <x:c r="G636" s="10">
        <x:v>213</x:v>
      </x:c>
      <x:c r="H636" s="22">
        <x:f t="shared" si="9"/>
        <x:v>9320.9948448483574</x:v>
      </x:c>
      <x:c r="I636" s="22">
        <x:v>1985371.9019527</x:v>
      </x:c>
      <x:c r="J636" s="10">
        <x:v>33</x:v>
      </x:c>
      <x:c r="K636" s="10">
        <x:v>7</x:v>
      </x:c>
    </x:row>
    <x:row r="637">
      <x:c r="A637" s="10" t="s">
        <x:v>60</x:v>
      </x:c>
      <x:c r="B637" s="10">
        <x:v>10649</x:v>
      </x:c>
      <x:c r="C637" s="10">
        <x:v>14065</x:v>
      </x:c>
      <x:c r="D637" s="10" t="s">
        <x:v>0</x:v>
      </x:c>
      <x:c r="E637" s="10" t="s">
        <x:v>22</x:v>
      </x:c>
      <x:c r="F637" s="10">
        <x:v>34</x:v>
      </x:c>
      <x:c r="G637" s="10">
        <x:v>192</x:v>
      </x:c>
      <x:c r="H637" s="22">
        <x:f t="shared" si="9"/>
        <x:v>8676.2941900312489</x:v>
      </x:c>
      <x:c r="I637" s="22">
        <x:v>1665848.4844859999</x:v>
      </x:c>
      <x:c r="J637" s="10">
        <x:v>33</x:v>
      </x:c>
      <x:c r="K637" s="10">
        <x:v>8</x:v>
      </x:c>
    </x:row>
    <x:row r="638">
      <x:c r="A638" s="10" t="s">
        <x:v>60</x:v>
      </x:c>
      <x:c r="B638" s="10">
        <x:v>10645</x:v>
      </x:c>
      <x:c r="C638" s="10">
        <x:v>14066</x:v>
      </x:c>
      <x:c r="D638" s="10" t="s">
        <x:v>0</x:v>
      </x:c>
      <x:c r="E638" s="10" t="s">
        <x:v>22</x:v>
      </x:c>
      <x:c r="F638" s="10">
        <x:v>34</x:v>
      </x:c>
      <x:c r="G638" s="10">
        <x:v>192</x:v>
      </x:c>
      <x:c r="H638" s="22">
        <x:f t="shared" si="9"/>
        <x:v>8676.2941900312489</x:v>
      </x:c>
      <x:c r="I638" s="22">
        <x:v>1665848.4844859999</x:v>
      </x:c>
      <x:c r="J638" s="10">
        <x:v>33</x:v>
      </x:c>
      <x:c r="K638" s="10">
        <x:v>9</x:v>
      </x:c>
    </x:row>
    <x:row r="639">
      <x:c r="A639" s="10" t="s">
        <x:v>60</x:v>
      </x:c>
      <x:c r="B639" s="10">
        <x:v>10647</x:v>
      </x:c>
      <x:c r="C639" s="10">
        <x:v>14067</x:v>
      </x:c>
      <x:c r="D639" s="10" t="s">
        <x:v>0</x:v>
      </x:c>
      <x:c r="E639" s="10" t="s">
        <x:v>22</x:v>
      </x:c>
      <x:c r="F639" s="10">
        <x:v>36</x:v>
      </x:c>
      <x:c r="G639" s="10">
        <x:v>192</x:v>
      </x:c>
      <x:c r="H639" s="22">
        <x:f t="shared" si="9"/>
        <x:v>8676.2941900312489</x:v>
      </x:c>
      <x:c r="I639" s="22">
        <x:v>1665848.4844859999</x:v>
      </x:c>
      <x:c r="J639" s="10">
        <x:v>33</x:v>
      </x:c>
      <x:c r="K639" s="10">
        <x:v>10</x:v>
      </x:c>
    </x:row>
    <x:row r="640">
      <x:c r="A640" s="10" t="s">
        <x:v>60</x:v>
      </x:c>
      <x:c r="B640" s="10">
        <x:v>6838</x:v>
      </x:c>
      <x:c r="C640" s="10">
        <x:v>14068</x:v>
      </x:c>
      <x:c r="D640" s="10" t="s">
        <x:v>2</x:v>
      </x:c>
      <x:c r="E640" s="10" t="s">
        <x:v>2</x:v>
      </x:c>
      <x:c r="F640" s="10">
        <x:v>34</x:v>
      </x:c>
      <x:c r="G640" s="10">
        <x:v>192</x:v>
      </x:c>
      <x:c r="H640" s="22">
        <x:f t="shared" si="9"/>
        <x:v>10652.978656003646</x:v>
      </x:c>
      <x:c r="I640" s="22">
        <x:v>2045371.9019527</x:v>
      </x:c>
      <x:c r="J640" s="10">
        <x:v>33</x:v>
      </x:c>
      <x:c r="K640" s="10">
        <x:v>11</x:v>
      </x:c>
    </x:row>
    <x:row r="641">
      <x:c r="A641" s="10" t="s">
        <x:v>60</x:v>
      </x:c>
      <x:c r="B641" s="10">
        <x:v>10607</x:v>
      </x:c>
      <x:c r="C641" s="10">
        <x:v>14069</x:v>
      </x:c>
      <x:c r="D641" s="10" t="s">
        <x:v>0</x:v>
      </x:c>
      <x:c r="E641" s="10" t="s">
        <x:v>22</x:v>
      </x:c>
      <x:c r="F641" s="10">
        <x:v>38</x:v>
      </x:c>
      <x:c r="G641" s="10">
        <x:v>192</x:v>
      </x:c>
      <x:c r="H641" s="22">
        <x:f t="shared" si="9"/>
        <x:v>8650.2525233645829</x:v>
      </x:c>
      <x:c r="I641" s="22">
        <x:v>1660848.4844859999</x:v>
      </x:c>
      <x:c r="J641" s="10">
        <x:v>33</x:v>
      </x:c>
      <x:c r="K641" s="10">
        <x:v>12</x:v>
      </x:c>
    </x:row>
    <x:row r="642">
      <x:c r="A642" s="10" t="s">
        <x:v>60</x:v>
      </x:c>
      <x:c r="B642" s="10">
        <x:v>10651</x:v>
      </x:c>
      <x:c r="C642" s="10">
        <x:v>14070</x:v>
      </x:c>
      <x:c r="D642" s="10" t="s">
        <x:v>0</x:v>
      </x:c>
      <x:c r="E642" s="10" t="s">
        <x:v>22</x:v>
      </x:c>
      <x:c r="F642" s="10">
        <x:v>33</x:v>
      </x:c>
      <x:c r="G642" s="10">
        <x:v>192</x:v>
      </x:c>
      <x:c r="H642" s="22">
        <x:f t="shared" si="9"/>
        <x:v>8676.2941900312489</x:v>
      </x:c>
      <x:c r="I642" s="22">
        <x:v>1665848.4844859999</x:v>
      </x:c>
      <x:c r="J642" s="10">
        <x:v>33</x:v>
      </x:c>
      <x:c r="K642" s="10">
        <x:v>13</x:v>
      </x:c>
    </x:row>
    <x:row r="643">
      <x:c r="A643" s="10" t="s">
        <x:v>60</x:v>
      </x:c>
      <x:c r="B643" s="10">
        <x:v>8870</x:v>
      </x:c>
      <x:c r="C643" s="10">
        <x:v>14071</x:v>
      </x:c>
      <x:c r="D643" s="10" t="s">
        <x:v>2</x:v>
      </x:c>
      <x:c r="E643" s="10" t="s">
        <x:v>2</x:v>
      </x:c>
      <x:c r="F643" s="10">
        <x:v>28</x:v>
      </x:c>
      <x:c r="G643" s="10">
        <x:v>178</x:v>
      </x:c>
      <x:c r="H643" s="22" t="n">
        <x:f t="shared" ref="H643:H706" si="10">I643/G643</x:f>
        <x:v>11500</x:v>
      </x:c>
      <x:c r="I643" s="22">
        <x:v>2047000</x:v>
      </x:c>
      <x:c r="J643" s="10">
        <x:v>33</x:v>
      </x:c>
      <x:c r="K643" s="10">
        <x:v>14</x:v>
      </x:c>
    </x:row>
    <x:row r="644">
      <x:c r="A644" s="10" t="s">
        <x:v>60</x:v>
      </x:c>
      <x:c r="B644" s="10">
        <x:v>8880</x:v>
      </x:c>
      <x:c r="C644" s="10">
        <x:v>14072</x:v>
      </x:c>
      <x:c r="D644" s="10" t="s">
        <x:v>2</x:v>
      </x:c>
      <x:c r="E644" s="10" t="s">
        <x:v>2</x:v>
      </x:c>
      <x:c r="F644" s="10">
        <x:v>31</x:v>
      </x:c>
      <x:c r="G644" s="10">
        <x:v>173</x:v>
      </x:c>
      <x:c r="H644" s="22">
        <x:f t="shared" si="10"/>
        <x:v>11500</x:v>
      </x:c>
      <x:c r="I644" s="22">
        <x:v>1989500</x:v>
      </x:c>
      <x:c r="J644" s="10">
        <x:v>33</x:v>
      </x:c>
      <x:c r="K644" s="10">
        <x:v>15</x:v>
      </x:c>
    </x:row>
    <x:row r="645">
      <x:c r="A645" s="10" t="s">
        <x:v>60</x:v>
      </x:c>
      <x:c r="B645" s="10">
        <x:v>6802</x:v>
      </x:c>
      <x:c r="C645" s="10">
        <x:v>14073</x:v>
      </x:c>
      <x:c r="D645" s="10" t="s">
        <x:v>0</x:v>
      </x:c>
      <x:c r="E645" s="10" t="s">
        <x:v>22</x:v>
      </x:c>
      <x:c r="F645" s="10">
        <x:v>34</x:v>
      </x:c>
      <x:c r="G645" s="10">
        <x:v>192</x:v>
      </x:c>
      <x:c r="H645" s="22">
        <x:f t="shared" si="10"/>
        <x:v>10652.978656003646</x:v>
      </x:c>
      <x:c r="I645" s="22">
        <x:v>2045371.9019527</x:v>
      </x:c>
      <x:c r="J645" s="10">
        <x:v>33</x:v>
      </x:c>
      <x:c r="K645" s="10">
        <x:v>16</x:v>
      </x:c>
    </x:row>
    <x:row r="646">
      <x:c r="A646" s="10" t="s">
        <x:v>60</x:v>
      </x:c>
      <x:c r="B646" s="10">
        <x:v>6811</x:v>
      </x:c>
      <x:c r="C646" s="10">
        <x:v>14074</x:v>
      </x:c>
      <x:c r="D646" s="10" t="s">
        <x:v>0</x:v>
      </x:c>
      <x:c r="E646" s="10" t="s">
        <x:v>22</x:v>
      </x:c>
      <x:c r="F646" s="10">
        <x:v>32</x:v>
      </x:c>
      <x:c r="G646" s="10">
        <x:v>192</x:v>
      </x:c>
      <x:c r="H646" s="22">
        <x:f t="shared" si="10"/>
        <x:v>10652.978656003646</x:v>
      </x:c>
      <x:c r="I646" s="22">
        <x:v>2045371.9019527</x:v>
      </x:c>
      <x:c r="J646" s="10">
        <x:v>33</x:v>
      </x:c>
      <x:c r="K646" s="10">
        <x:v>17</x:v>
      </x:c>
    </x:row>
    <x:row r="647">
      <x:c r="A647" s="10" t="s">
        <x:v>60</x:v>
      </x:c>
      <x:c r="B647" s="10">
        <x:v>6804</x:v>
      </x:c>
      <x:c r="C647" s="10">
        <x:v>14075</x:v>
      </x:c>
      <x:c r="D647" s="10" t="s">
        <x:v>0</x:v>
      </x:c>
      <x:c r="E647" s="10" t="s">
        <x:v>22</x:v>
      </x:c>
      <x:c r="F647" s="10">
        <x:v>32</x:v>
      </x:c>
      <x:c r="G647" s="10">
        <x:v>192</x:v>
      </x:c>
      <x:c r="H647" s="22">
        <x:f t="shared" si="10"/>
        <x:v>10652.978656003646</x:v>
      </x:c>
      <x:c r="I647" s="22">
        <x:v>2045371.9019527</x:v>
      </x:c>
      <x:c r="J647" s="10">
        <x:v>33</x:v>
      </x:c>
      <x:c r="K647" s="10">
        <x:v>18</x:v>
      </x:c>
    </x:row>
    <x:row r="648">
      <x:c r="A648" s="10" t="s">
        <x:v>60</x:v>
      </x:c>
      <x:c r="B648" s="10">
        <x:v>8713</x:v>
      </x:c>
      <x:c r="C648" s="10">
        <x:v>14076</x:v>
      </x:c>
      <x:c r="D648" s="10" t="s">
        <x:v>2</x:v>
      </x:c>
      <x:c r="E648" s="10" t="s">
        <x:v>2</x:v>
      </x:c>
      <x:c r="F648" s="10">
        <x:v>38</x:v>
      </x:c>
      <x:c r="G648" s="10">
        <x:v>198</x:v>
      </x:c>
      <x:c r="H648" s="22">
        <x:f t="shared" si="10"/>
        <x:v>11500</x:v>
      </x:c>
      <x:c r="I648" s="22">
        <x:v>2277000</x:v>
      </x:c>
      <x:c r="J648" s="10">
        <x:v>33</x:v>
      </x:c>
      <x:c r="K648" s="10">
        <x:v>19</x:v>
      </x:c>
    </x:row>
    <x:row r="649">
      <x:c r="A649" s="10" t="s">
        <x:v>60</x:v>
      </x:c>
      <x:c r="B649" s="10">
        <x:v>8776</x:v>
      </x:c>
      <x:c r="C649" s="10">
        <x:v>14077</x:v>
      </x:c>
      <x:c r="D649" s="10" t="s">
        <x:v>2</x:v>
      </x:c>
      <x:c r="E649" s="10" t="s">
        <x:v>2</x:v>
      </x:c>
      <x:c r="F649" s="10">
        <x:v>39</x:v>
      </x:c>
      <x:c r="G649" s="10">
        <x:v>180</x:v>
      </x:c>
      <x:c r="H649" s="22">
        <x:f t="shared" si="10"/>
        <x:v>11500</x:v>
      </x:c>
      <x:c r="I649" s="22">
        <x:v>2070000</x:v>
      </x:c>
      <x:c r="J649" s="10">
        <x:v>33</x:v>
      </x:c>
      <x:c r="K649" s="10">
        <x:v>20</x:v>
      </x:c>
    </x:row>
    <x:row r="650">
      <x:c r="A650" s="10" t="s">
        <x:v>60</x:v>
      </x:c>
      <x:c r="B650" s="10">
        <x:v>10606</x:v>
      </x:c>
      <x:c r="C650" s="10">
        <x:v>13429</x:v>
      </x:c>
      <x:c r="D650" s="10" t="s">
        <x:v>0</x:v>
      </x:c>
      <x:c r="E650" s="10" t="s">
        <x:v>22</x:v>
      </x:c>
      <x:c r="F650" s="10">
        <x:v>38</x:v>
      </x:c>
      <x:c r="G650" s="10">
        <x:v>192</x:v>
      </x:c>
      <x:c r="H650" s="22">
        <x:f t="shared" si="10"/>
        <x:v>8676.2941900312489</x:v>
      </x:c>
      <x:c r="I650" s="22">
        <x:v>1665848.4844859999</x:v>
      </x:c>
      <x:c r="J650" s="10">
        <x:v>34</x:v>
      </x:c>
      <x:c r="K650" s="10">
        <x:v>1</x:v>
      </x:c>
    </x:row>
    <x:row r="651">
      <x:c r="A651" s="10" t="s">
        <x:v>60</x:v>
      </x:c>
      <x:c r="B651" s="10">
        <x:v>10835</x:v>
      </x:c>
      <x:c r="C651" s="10">
        <x:v>13430</x:v>
      </x:c>
      <x:c r="D651" s="10" t="s">
        <x:v>0</x:v>
      </x:c>
      <x:c r="E651" s="10" t="s">
        <x:v>37</x:v>
      </x:c>
      <x:c r="F651" s="10">
        <x:v>46</x:v>
      </x:c>
      <x:c r="G651" s="10">
        <x:v>195</x:v>
      </x:c>
      <x:c r="H651" s="22">
        <x:f t="shared" si="10"/>
        <x:v>8542.8127409538465</x:v>
      </x:c>
      <x:c r="I651" s="22">
        <x:v>1665848.4844859999</x:v>
      </x:c>
      <x:c r="J651" s="10">
        <x:v>34</x:v>
      </x:c>
      <x:c r="K651" s="10">
        <x:v>2</x:v>
      </x:c>
    </x:row>
    <x:row r="652">
      <x:c r="A652" s="10" t="s">
        <x:v>60</x:v>
      </x:c>
      <x:c r="B652" s="10">
        <x:v>10798</x:v>
      </x:c>
      <x:c r="C652" s="10">
        <x:v>13431</x:v>
      </x:c>
      <x:c r="D652" s="10" t="s">
        <x:v>0</x:v>
      </x:c>
      <x:c r="E652" s="10" t="s">
        <x:v>22</x:v>
      </x:c>
      <x:c r="F652" s="10">
        <x:v>43</x:v>
      </x:c>
      <x:c r="G652" s="10">
        <x:v>192</x:v>
      </x:c>
      <x:c r="H652" s="22">
        <x:f t="shared" si="10"/>
        <x:v>8676.2941900312489</x:v>
      </x:c>
      <x:c r="I652" s="22">
        <x:v>1665848.4844859999</x:v>
      </x:c>
      <x:c r="J652" s="10">
        <x:v>34</x:v>
      </x:c>
      <x:c r="K652" s="10">
        <x:v>3</x:v>
      </x:c>
    </x:row>
    <x:row r="653">
      <x:c r="A653" s="10" t="s">
        <x:v>60</x:v>
      </x:c>
      <x:c r="B653" s="10">
        <x:v>10799</x:v>
      </x:c>
      <x:c r="C653" s="10">
        <x:v>13432</x:v>
      </x:c>
      <x:c r="D653" s="10" t="s">
        <x:v>0</x:v>
      </x:c>
      <x:c r="E653" s="10" t="s">
        <x:v>22</x:v>
      </x:c>
      <x:c r="F653" s="10">
        <x:v>35</x:v>
      </x:c>
      <x:c r="G653" s="10">
        <x:v>194</x:v>
      </x:c>
      <x:c r="H653" s="22">
        <x:f t="shared" si="10"/>
        <x:v>8586.847858175257</x:v>
      </x:c>
      <x:c r="I653" s="22">
        <x:v>1665848.4844859999</x:v>
      </x:c>
      <x:c r="J653" s="10">
        <x:v>34</x:v>
      </x:c>
      <x:c r="K653" s="10">
        <x:v>4</x:v>
      </x:c>
    </x:row>
    <x:row r="654">
      <x:c r="A654" s="10" t="s">
        <x:v>60</x:v>
      </x:c>
      <x:c r="B654" s="10">
        <x:v>10801</x:v>
      </x:c>
      <x:c r="C654" s="10">
        <x:v>13433</x:v>
      </x:c>
      <x:c r="D654" s="10" t="s">
        <x:v>0</x:v>
      </x:c>
      <x:c r="E654" s="10" t="s">
        <x:v>22</x:v>
      </x:c>
      <x:c r="F654" s="10">
        <x:v>42</x:v>
      </x:c>
      <x:c r="G654" s="10">
        <x:v>195</x:v>
      </x:c>
      <x:c r="H654" s="22">
        <x:f t="shared" si="10"/>
        <x:v>8542.8127409538465</x:v>
      </x:c>
      <x:c r="I654" s="22">
        <x:v>1665848.4844859999</x:v>
      </x:c>
      <x:c r="J654" s="10">
        <x:v>34</x:v>
      </x:c>
      <x:c r="K654" s="10">
        <x:v>5</x:v>
      </x:c>
    </x:row>
    <x:row r="655">
      <x:c r="A655" s="10" t="s">
        <x:v>60</x:v>
      </x:c>
      <x:c r="B655" s="10">
        <x:v>9206</x:v>
      </x:c>
      <x:c r="C655" s="10">
        <x:v>13434</x:v>
      </x:c>
      <x:c r="D655" s="10" t="s">
        <x:v>1</x:v>
      </x:c>
      <x:c r="E655" s="10" t="s">
        <x:v>1</x:v>
      </x:c>
      <x:c r="F655" s="10">
        <x:v>17</x:v>
      </x:c>
      <x:c r="G655" s="10">
        <x:v>83</x:v>
      </x:c>
      <x:c r="H655" s="22">
        <x:f t="shared" si="10"/>
        <x:v>10000</x:v>
      </x:c>
      <x:c r="I655" s="22">
        <x:v>830000</x:v>
      </x:c>
      <x:c r="J655" s="10">
        <x:v>34</x:v>
      </x:c>
      <x:c r="K655" s="10">
        <x:v>6</x:v>
      </x:c>
    </x:row>
    <x:row r="656">
      <x:c r="A656" s="10" t="s">
        <x:v>60</x:v>
      </x:c>
      <x:c r="B656" s="10">
        <x:v>6889</x:v>
      </x:c>
      <x:c r="C656" s="10">
        <x:v>13435</x:v>
      </x:c>
      <x:c r="D656" s="10" t="s">
        <x:v>0</x:v>
      </x:c>
      <x:c r="E656" s="10" t="s">
        <x:v>42</x:v>
      </x:c>
      <x:c r="F656" s="10">
        <x:v>18</x:v>
      </x:c>
      <x:c r="G656" s="10">
        <x:v>96</x:v>
      </x:c>
      <x:c r="H656" s="22">
        <x:f t="shared" si="10"/>
        <x:v>10652.978656004167</x:v>
      </x:c>
      <x:c r="I656" s="22">
        <x:v>1022685.9509764001</x:v>
      </x:c>
      <x:c r="J656" s="10">
        <x:v>34</x:v>
      </x:c>
      <x:c r="K656" s="10">
        <x:v>7</x:v>
      </x:c>
    </x:row>
    <x:row r="657">
      <x:c r="A657" s="10" t="s">
        <x:v>60</x:v>
      </x:c>
      <x:c r="B657" s="10">
        <x:v>10612</x:v>
      </x:c>
      <x:c r="C657" s="10">
        <x:v>13436</x:v>
      </x:c>
      <x:c r="D657" s="10" t="s">
        <x:v>0</x:v>
      </x:c>
      <x:c r="E657" s="10" t="s">
        <x:v>22</x:v>
      </x:c>
      <x:c r="F657" s="10">
        <x:v>35</x:v>
      </x:c>
      <x:c r="G657" s="10">
        <x:v>187</x:v>
      </x:c>
      <x:c r="H657" s="22">
        <x:f t="shared" si="10"/>
        <x:v>8908.2806657005349</x:v>
      </x:c>
      <x:c r="I657" s="22">
        <x:v>1665848.4844859999</x:v>
      </x:c>
      <x:c r="J657" s="10">
        <x:v>34</x:v>
      </x:c>
      <x:c r="K657" s="10">
        <x:v>8</x:v>
      </x:c>
    </x:row>
    <x:row r="658">
      <x:c r="A658" s="10" t="s">
        <x:v>60</x:v>
      </x:c>
      <x:c r="B658" s="10">
        <x:v>10619</x:v>
      </x:c>
      <x:c r="C658" s="10">
        <x:v>13437</x:v>
      </x:c>
      <x:c r="D658" s="10" t="s">
        <x:v>0</x:v>
      </x:c>
      <x:c r="E658" s="10" t="s">
        <x:v>22</x:v>
      </x:c>
      <x:c r="F658" s="10">
        <x:v>38</x:v>
      </x:c>
      <x:c r="G658" s="10">
        <x:v>194</x:v>
      </x:c>
      <x:c r="H658" s="22">
        <x:f t="shared" si="10"/>
        <x:v>8586.847858175257</x:v>
      </x:c>
      <x:c r="I658" s="22">
        <x:v>1665848.4844859999</x:v>
      </x:c>
      <x:c r="J658" s="10">
        <x:v>34</x:v>
      </x:c>
      <x:c r="K658" s="10">
        <x:v>9</x:v>
      </x:c>
    </x:row>
    <x:row r="659">
      <x:c r="A659" s="10" t="s">
        <x:v>60</x:v>
      </x:c>
      <x:c r="B659" s="10">
        <x:v>10837</x:v>
      </x:c>
      <x:c r="C659" s="10">
        <x:v>13438</x:v>
      </x:c>
      <x:c r="D659" s="10" t="s">
        <x:v>0</x:v>
      </x:c>
      <x:c r="E659" s="10" t="s">
        <x:v>37</x:v>
      </x:c>
      <x:c r="F659" s="10">
        <x:v>21</x:v>
      </x:c>
      <x:c r="G659" s="10">
        <x:v>97</x:v>
      </x:c>
      <x:c r="H659" s="22">
        <x:f t="shared" si="10"/>
        <x:v>8586.8478581754644</x:v>
      </x:c>
      <x:c r="I659" s="22">
        <x:v>832924.24224301998</x:v>
      </x:c>
      <x:c r="J659" s="10">
        <x:v>34</x:v>
      </x:c>
      <x:c r="K659" s="10">
        <x:v>10</x:v>
      </x:c>
    </x:row>
    <x:row r="660">
      <x:c r="A660" s="10" t="s">
        <x:v>60</x:v>
      </x:c>
      <x:c r="B660" s="10">
        <x:v>10828</x:v>
      </x:c>
      <x:c r="C660" s="10">
        <x:v>13439</x:v>
      </x:c>
      <x:c r="D660" s="10" t="s">
        <x:v>0</x:v>
      </x:c>
      <x:c r="E660" s="10" t="s">
        <x:v>37</x:v>
      </x:c>
      <x:c r="F660" s="10">
        <x:v>41</x:v>
      </x:c>
      <x:c r="G660" s="10">
        <x:v>182</x:v>
      </x:c>
      <x:c r="H660" s="22">
        <x:f t="shared" si="10"/>
        <x:v>9153.0136510219781</x:v>
      </x:c>
      <x:c r="I660" s="22">
        <x:v>1665848.4844859999</x:v>
      </x:c>
      <x:c r="J660" s="10">
        <x:v>34</x:v>
      </x:c>
      <x:c r="K660" s="10">
        <x:v>11</x:v>
      </x:c>
    </x:row>
    <x:row r="661">
      <x:c r="A661" s="10" t="s">
        <x:v>60</x:v>
      </x:c>
      <x:c r="B661" s="10">
        <x:v>10826</x:v>
      </x:c>
      <x:c r="C661" s="10">
        <x:v>13440</x:v>
      </x:c>
      <x:c r="D661" s="10" t="s">
        <x:v>0</x:v>
      </x:c>
      <x:c r="E661" s="10" t="s">
        <x:v>37</x:v>
      </x:c>
      <x:c r="F661" s="10">
        <x:v>43</x:v>
      </x:c>
      <x:c r="G661" s="10">
        <x:v>192</x:v>
      </x:c>
      <x:c r="H661" s="22">
        <x:f t="shared" si="10"/>
        <x:v>8676.2941900312489</x:v>
      </x:c>
      <x:c r="I661" s="22">
        <x:v>1665848.4844859999</x:v>
      </x:c>
      <x:c r="J661" s="10">
        <x:v>34</x:v>
      </x:c>
      <x:c r="K661" s="10">
        <x:v>12</x:v>
      </x:c>
    </x:row>
    <x:row r="662">
      <x:c r="A662" s="10" t="s">
        <x:v>60</x:v>
      </x:c>
      <x:c r="B662" s="10">
        <x:v>9602</x:v>
      </x:c>
      <x:c r="C662" s="10">
        <x:v>13441</x:v>
      </x:c>
      <x:c r="D662" s="10" t="s">
        <x:v>1</x:v>
      </x:c>
      <x:c r="E662" s="10" t="s">
        <x:v>1</x:v>
      </x:c>
      <x:c r="F662" s="10">
        <x:v>114</x:v>
      </x:c>
      <x:c r="G662" s="10">
        <x:v>411</x:v>
      </x:c>
      <x:c r="H662" s="22">
        <x:f t="shared" si="10"/>
        <x:v>10000</x:v>
      </x:c>
      <x:c r="I662" s="22">
        <x:v>4110000</x:v>
      </x:c>
      <x:c r="J662" s="10">
        <x:v>34</x:v>
      </x:c>
      <x:c r="K662" s="10">
        <x:v>13</x:v>
      </x:c>
    </x:row>
    <x:row r="663">
      <x:c r="A663" s="10" t="s">
        <x:v>60</x:v>
      </x:c>
      <x:c r="B663" s="10">
        <x:v>9494</x:v>
      </x:c>
      <x:c r="C663" s="10">
        <x:v>13442</x:v>
      </x:c>
      <x:c r="D663" s="10" t="s">
        <x:v>1</x:v>
      </x:c>
      <x:c r="E663" s="10" t="s">
        <x:v>1</x:v>
      </x:c>
      <x:c r="F663" s="10">
        <x:v>23</x:v>
      </x:c>
      <x:c r="G663" s="10">
        <x:v>102</x:v>
      </x:c>
      <x:c r="H663" s="22">
        <x:f t="shared" si="10"/>
        <x:v>10000</x:v>
      </x:c>
      <x:c r="I663" s="22">
        <x:v>1020000</x:v>
      </x:c>
      <x:c r="J663" s="10">
        <x:v>34</x:v>
      </x:c>
      <x:c r="K663" s="10">
        <x:v>14</x:v>
      </x:c>
    </x:row>
    <x:row r="664">
      <x:c r="A664" s="10" t="s">
        <x:v>60</x:v>
      </x:c>
      <x:c r="B664" s="10">
        <x:v>9032</x:v>
      </x:c>
      <x:c r="C664" s="10">
        <x:v>13443</x:v>
      </x:c>
      <x:c r="D664" s="10" t="s">
        <x:v>1</x:v>
      </x:c>
      <x:c r="E664" s="10" t="s">
        <x:v>1</x:v>
      </x:c>
      <x:c r="F664" s="10">
        <x:v>45</x:v>
      </x:c>
      <x:c r="G664" s="10">
        <x:v>193</x:v>
      </x:c>
      <x:c r="H664" s="22">
        <x:f t="shared" si="10"/>
        <x:v>10000</x:v>
      </x:c>
      <x:c r="I664" s="22">
        <x:v>1930000</x:v>
      </x:c>
      <x:c r="J664" s="10">
        <x:v>34</x:v>
      </x:c>
      <x:c r="K664" s="10">
        <x:v>15</x:v>
      </x:c>
    </x:row>
    <x:row r="665">
      <x:c r="A665" s="10" t="s">
        <x:v>60</x:v>
      </x:c>
      <x:c r="B665" s="10">
        <x:v>9031</x:v>
      </x:c>
      <x:c r="C665" s="10">
        <x:v>13444</x:v>
      </x:c>
      <x:c r="D665" s="10" t="s">
        <x:v>2</x:v>
      </x:c>
      <x:c r="E665" s="10" t="s">
        <x:v>2</x:v>
      </x:c>
      <x:c r="F665" s="10">
        <x:v>56</x:v>
      </x:c>
      <x:c r="G665" s="10">
        <x:v>267</x:v>
      </x:c>
      <x:c r="H665" s="22">
        <x:f t="shared" si="10"/>
        <x:v>11500</x:v>
      </x:c>
      <x:c r="I665" s="22">
        <x:v>3070500</x:v>
      </x:c>
      <x:c r="J665" s="10">
        <x:v>34</x:v>
      </x:c>
      <x:c r="K665" s="10">
        <x:v>16</x:v>
      </x:c>
    </x:row>
    <x:row r="666">
      <x:c r="A666" s="10" t="s">
        <x:v>60</x:v>
      </x:c>
      <x:c r="B666" s="10">
        <x:v>9558</x:v>
      </x:c>
      <x:c r="C666" s="10">
        <x:v>13445</x:v>
      </x:c>
      <x:c r="D666" s="10" t="s">
        <x:v>2</x:v>
      </x:c>
      <x:c r="E666" s="10" t="s">
        <x:v>2</x:v>
      </x:c>
      <x:c r="F666" s="10">
        <x:v>19</x:v>
      </x:c>
      <x:c r="G666" s="10">
        <x:v>111</x:v>
      </x:c>
      <x:c r="H666" s="22">
        <x:f t="shared" si="10"/>
        <x:v>11500</x:v>
      </x:c>
      <x:c r="I666" s="22">
        <x:v>1276500</x:v>
      </x:c>
      <x:c r="J666" s="10">
        <x:v>34</x:v>
      </x:c>
      <x:c r="K666" s="10">
        <x:v>17</x:v>
      </x:c>
    </x:row>
    <x:row r="667">
      <x:c r="A667" s="10" t="s">
        <x:v>60</x:v>
      </x:c>
      <x:c r="B667" s="10">
        <x:v>9590</x:v>
      </x:c>
      <x:c r="C667" s="10">
        <x:v>13446</x:v>
      </x:c>
      <x:c r="D667" s="10" t="s">
        <x:v>1</x:v>
      </x:c>
      <x:c r="E667" s="10" t="s">
        <x:v>1</x:v>
      </x:c>
      <x:c r="F667" s="10">
        <x:v>100</x:v>
      </x:c>
      <x:c r="G667" s="10">
        <x:v>386</x:v>
      </x:c>
      <x:c r="H667" s="22">
        <x:f t="shared" si="10"/>
        <x:v>10000</x:v>
      </x:c>
      <x:c r="I667" s="22">
        <x:v>3860000</x:v>
      </x:c>
      <x:c r="J667" s="10">
        <x:v>34</x:v>
      </x:c>
      <x:c r="K667" s="10">
        <x:v>18</x:v>
      </x:c>
    </x:row>
    <x:row r="668">
      <x:c r="A668" s="10" t="s">
        <x:v>60</x:v>
      </x:c>
      <x:c r="B668" s="10">
        <x:v>9028</x:v>
      </x:c>
      <x:c r="C668" s="10">
        <x:v>13447</x:v>
      </x:c>
      <x:c r="D668" s="10" t="s">
        <x:v>2</x:v>
      </x:c>
      <x:c r="E668" s="10" t="s">
        <x:v>2</x:v>
      </x:c>
      <x:c r="F668" s="10">
        <x:v>48</x:v>
      </x:c>
      <x:c r="G668" s="10">
        <x:v>211</x:v>
      </x:c>
      <x:c r="H668" s="22">
        <x:f t="shared" si="10"/>
        <x:v>11500</x:v>
      </x:c>
      <x:c r="I668" s="22">
        <x:v>2426500</x:v>
      </x:c>
      <x:c r="J668" s="10">
        <x:v>34</x:v>
      </x:c>
      <x:c r="K668" s="10">
        <x:v>19</x:v>
      </x:c>
    </x:row>
    <x:row r="669">
      <x:c r="A669" s="10" t="s">
        <x:v>60</x:v>
      </x:c>
      <x:c r="B669" s="10">
        <x:v>9500</x:v>
      </x:c>
      <x:c r="C669" s="10">
        <x:v>13448</x:v>
      </x:c>
      <x:c r="D669" s="10" t="s">
        <x:v>2</x:v>
      </x:c>
      <x:c r="E669" s="10" t="s">
        <x:v>2</x:v>
      </x:c>
      <x:c r="F669" s="10">
        <x:v>18</x:v>
      </x:c>
      <x:c r="G669" s="10">
        <x:v>91</x:v>
      </x:c>
      <x:c r="H669" s="22">
        <x:f t="shared" si="10"/>
        <x:v>11500</x:v>
      </x:c>
      <x:c r="I669" s="22">
        <x:v>1046500</x:v>
      </x:c>
      <x:c r="J669" s="10">
        <x:v>34</x:v>
      </x:c>
      <x:c r="K669" s="10">
        <x:v>20</x:v>
      </x:c>
    </x:row>
    <x:row r="670">
      <x:c r="A670" s="10" t="s">
        <x:v>60</x:v>
      </x:c>
      <x:c r="B670" s="10">
        <x:v>7001</x:v>
      </x:c>
      <x:c r="C670" s="10">
        <x:v>13449</x:v>
      </x:c>
      <x:c r="D670" s="10" t="s">
        <x:v>0</x:v>
      </x:c>
      <x:c r="E670" s="10" t="s">
        <x:v>23</x:v>
      </x:c>
      <x:c r="F670" s="10">
        <x:v>35</x:v>
      </x:c>
      <x:c r="G670" s="10">
        <x:v>210</x:v>
      </x:c>
      <x:c r="H670" s="22">
        <x:f t="shared" si="10"/>
        <x:v>9454.151914060476</x:v>
      </x:c>
      <x:c r="I670" s="22">
        <x:v>1985371.9019527</x:v>
      </x:c>
      <x:c r="J670" s="10">
        <x:v>35</x:v>
      </x:c>
      <x:c r="K670" s="10">
        <x:v>1</x:v>
      </x:c>
    </x:row>
    <x:row r="671">
      <x:c r="A671" s="10" t="s">
        <x:v>60</x:v>
      </x:c>
      <x:c r="B671" s="10">
        <x:v>7002</x:v>
      </x:c>
      <x:c r="C671" s="10">
        <x:v>13450</x:v>
      </x:c>
      <x:c r="D671" s="10" t="s">
        <x:v>0</x:v>
      </x:c>
      <x:c r="E671" s="10" t="s">
        <x:v>23</x:v>
      </x:c>
      <x:c r="F671" s="10">
        <x:v>34</x:v>
      </x:c>
      <x:c r="G671" s="10">
        <x:v>217</x:v>
      </x:c>
      <x:c r="H671" s="22">
        <x:f t="shared" si="10"/>
        <x:v>9149.1792716714281</x:v>
      </x:c>
      <x:c r="I671" s="22">
        <x:v>1985371.9019527</x:v>
      </x:c>
      <x:c r="J671" s="10">
        <x:v>35</x:v>
      </x:c>
      <x:c r="K671" s="10">
        <x:v>2</x:v>
      </x:c>
    </x:row>
    <x:row r="672">
      <x:c r="A672" s="10" t="s">
        <x:v>60</x:v>
      </x:c>
      <x:c r="B672" s="10">
        <x:v>7000</x:v>
      </x:c>
      <x:c r="C672" s="10">
        <x:v>13451</x:v>
      </x:c>
      <x:c r="D672" s="10" t="s">
        <x:v>0</x:v>
      </x:c>
      <x:c r="E672" s="10" t="s">
        <x:v>23</x:v>
      </x:c>
      <x:c r="F672" s="10">
        <x:v>35</x:v>
      </x:c>
      <x:c r="G672" s="10">
        <x:v>208</x:v>
      </x:c>
      <x:c r="H672" s="22">
        <x:f t="shared" si="10"/>
        <x:v>9545.0572209264428</x:v>
      </x:c>
      <x:c r="I672" s="22">
        <x:v>1985371.9019527</x:v>
      </x:c>
      <x:c r="J672" s="10">
        <x:v>35</x:v>
      </x:c>
      <x:c r="K672" s="10">
        <x:v>3</x:v>
      </x:c>
    </x:row>
    <x:row r="673">
      <x:c r="A673" s="10" t="s">
        <x:v>60</x:v>
      </x:c>
      <x:c r="B673" s="10">
        <x:v>10663</x:v>
      </x:c>
      <x:c r="C673" s="10">
        <x:v>13452</x:v>
      </x:c>
      <x:c r="D673" s="10" t="s">
        <x:v>0</x:v>
      </x:c>
      <x:c r="E673" s="10" t="s">
        <x:v>22</x:v>
      </x:c>
      <x:c r="F673" s="10">
        <x:v>33</x:v>
      </x:c>
      <x:c r="G673" s="10">
        <x:v>192</x:v>
      </x:c>
      <x:c r="H673" s="22">
        <x:f t="shared" si="10"/>
        <x:v>8676.2941900312489</x:v>
      </x:c>
      <x:c r="I673" s="22">
        <x:v>1665848.4844859999</x:v>
      </x:c>
      <x:c r="J673" s="10">
        <x:v>35</x:v>
      </x:c>
      <x:c r="K673" s="10">
        <x:v>4</x:v>
      </x:c>
    </x:row>
    <x:row r="674">
      <x:c r="A674" s="10" t="s">
        <x:v>60</x:v>
      </x:c>
      <x:c r="B674" s="10">
        <x:v>10659</x:v>
      </x:c>
      <x:c r="C674" s="10">
        <x:v>13453</x:v>
      </x:c>
      <x:c r="D674" s="10" t="s">
        <x:v>0</x:v>
      </x:c>
      <x:c r="E674" s="10" t="s">
        <x:v>22</x:v>
      </x:c>
      <x:c r="F674" s="10">
        <x:v>33</x:v>
      </x:c>
      <x:c r="G674" s="10">
        <x:v>192</x:v>
      </x:c>
      <x:c r="H674" s="22">
        <x:f t="shared" si="10"/>
        <x:v>8676.2941900312489</x:v>
      </x:c>
      <x:c r="I674" s="22">
        <x:v>1665848.4844859999</x:v>
      </x:c>
      <x:c r="J674" s="10">
        <x:v>35</x:v>
      </x:c>
      <x:c r="K674" s="10">
        <x:v>5</x:v>
      </x:c>
    </x:row>
    <x:row r="675">
      <x:c r="A675" s="10" t="s">
        <x:v>60</x:v>
      </x:c>
      <x:c r="B675" s="10">
        <x:v>9360</x:v>
      </x:c>
      <x:c r="C675" s="10">
        <x:v>13454</x:v>
      </x:c>
      <x:c r="D675" s="10" t="s">
        <x:v>0</x:v>
      </x:c>
      <x:c r="E675" s="10" t="s">
        <x:v>0</x:v>
      </x:c>
      <x:c r="F675" s="10">
        <x:v>17</x:v>
      </x:c>
      <x:c r="G675" s="10">
        <x:v>94</x:v>
      </x:c>
      <x:c r="H675" s="22">
        <x:f t="shared" si="10"/>
        <x:v>13000</x:v>
      </x:c>
      <x:c r="I675" s="22">
        <x:v>1222000</x:v>
      </x:c>
      <x:c r="J675" s="10">
        <x:v>35</x:v>
      </x:c>
      <x:c r="K675" s="10">
        <x:v>6</x:v>
      </x:c>
    </x:row>
    <x:row r="676">
      <x:c r="A676" s="10" t="s">
        <x:v>60</x:v>
      </x:c>
      <x:c r="B676" s="10">
        <x:v>9056</x:v>
      </x:c>
      <x:c r="C676" s="10">
        <x:v>13455</x:v>
      </x:c>
      <x:c r="D676" s="10" t="s">
        <x:v>0</x:v>
      </x:c>
      <x:c r="E676" s="10" t="s">
        <x:v>0</x:v>
      </x:c>
      <x:c r="F676" s="10">
        <x:v>38</x:v>
      </x:c>
      <x:c r="G676" s="10">
        <x:v>173</x:v>
      </x:c>
      <x:c r="H676" s="22">
        <x:f t="shared" si="10"/>
        <x:v>13000</x:v>
      </x:c>
      <x:c r="I676" s="22">
        <x:v>2249000</x:v>
      </x:c>
      <x:c r="J676" s="10">
        <x:v>35</x:v>
      </x:c>
      <x:c r="K676" s="10">
        <x:v>7</x:v>
      </x:c>
    </x:row>
    <x:row r="677">
      <x:c r="A677" s="10" t="s">
        <x:v>60</x:v>
      </x:c>
      <x:c r="B677" s="10">
        <x:v>9006</x:v>
      </x:c>
      <x:c r="C677" s="10">
        <x:v>13456</x:v>
      </x:c>
      <x:c r="D677" s="10" t="s">
        <x:v>0</x:v>
      </x:c>
      <x:c r="E677" s="10" t="s">
        <x:v>0</x:v>
      </x:c>
      <x:c r="F677" s="10">
        <x:v>34</x:v>
      </x:c>
      <x:c r="G677" s="10">
        <x:v>175</x:v>
      </x:c>
      <x:c r="H677" s="22">
        <x:f t="shared" si="10"/>
        <x:v>13000</x:v>
      </x:c>
      <x:c r="I677" s="22">
        <x:v>2275000</x:v>
      </x:c>
      <x:c r="J677" s="10">
        <x:v>35</x:v>
      </x:c>
      <x:c r="K677" s="10">
        <x:v>8</x:v>
      </x:c>
    </x:row>
    <x:row r="678">
      <x:c r="A678" s="10" t="s">
        <x:v>60</x:v>
      </x:c>
      <x:c r="B678" s="10">
        <x:v>9016</x:v>
      </x:c>
      <x:c r="C678" s="10">
        <x:v>13457</x:v>
      </x:c>
      <x:c r="D678" s="10" t="s">
        <x:v>0</x:v>
      </x:c>
      <x:c r="E678" s="10" t="s">
        <x:v>0</x:v>
      </x:c>
      <x:c r="F678" s="10">
        <x:v>29</x:v>
      </x:c>
      <x:c r="G678" s="10">
        <x:v>158</x:v>
      </x:c>
      <x:c r="H678" s="22">
        <x:f t="shared" si="10"/>
        <x:v>13000</x:v>
      </x:c>
      <x:c r="I678" s="22">
        <x:v>2054000</x:v>
      </x:c>
      <x:c r="J678" s="10">
        <x:v>35</x:v>
      </x:c>
      <x:c r="K678" s="10">
        <x:v>9</x:v>
      </x:c>
    </x:row>
    <x:row r="679">
      <x:c r="A679" s="10" t="s">
        <x:v>60</x:v>
      </x:c>
      <x:c r="B679" s="10">
        <x:v>9026</x:v>
      </x:c>
      <x:c r="C679" s="10">
        <x:v>13458</x:v>
      </x:c>
      <x:c r="D679" s="10" t="s">
        <x:v>0</x:v>
      </x:c>
      <x:c r="E679" s="10" t="s">
        <x:v>0</x:v>
      </x:c>
      <x:c r="F679" s="10">
        <x:v>36</x:v>
      </x:c>
      <x:c r="G679" s="10">
        <x:v>183</x:v>
      </x:c>
      <x:c r="H679" s="22">
        <x:f t="shared" si="10"/>
        <x:v>13000</x:v>
      </x:c>
      <x:c r="I679" s="22">
        <x:v>2379000</x:v>
      </x:c>
      <x:c r="J679" s="10">
        <x:v>35</x:v>
      </x:c>
      <x:c r="K679" s="10">
        <x:v>10</x:v>
      </x:c>
    </x:row>
    <x:row r="680">
      <x:c r="A680" s="10" t="s">
        <x:v>60</x:v>
      </x:c>
      <x:c r="B680" s="10">
        <x:v>9019</x:v>
      </x:c>
      <x:c r="C680" s="10">
        <x:v>13459</x:v>
      </x:c>
      <x:c r="D680" s="10" t="s">
        <x:v>0</x:v>
      </x:c>
      <x:c r="E680" s="10" t="s">
        <x:v>0</x:v>
      </x:c>
      <x:c r="F680" s="10">
        <x:v>29</x:v>
      </x:c>
      <x:c r="G680" s="10">
        <x:v>177</x:v>
      </x:c>
      <x:c r="H680" s="22">
        <x:f t="shared" si="10"/>
        <x:v>13000</x:v>
      </x:c>
      <x:c r="I680" s="22">
        <x:v>2301000</x:v>
      </x:c>
      <x:c r="J680" s="10">
        <x:v>35</x:v>
      </x:c>
      <x:c r="K680" s="10">
        <x:v>11</x:v>
      </x:c>
    </x:row>
    <x:row r="681">
      <x:c r="A681" s="10" t="s">
        <x:v>60</x:v>
      </x:c>
      <x:c r="B681" s="10">
        <x:v>9030</x:v>
      </x:c>
      <x:c r="C681" s="10">
        <x:v>13460</x:v>
      </x:c>
      <x:c r="D681" s="10" t="s">
        <x:v>0</x:v>
      </x:c>
      <x:c r="E681" s="10" t="s">
        <x:v>0</x:v>
      </x:c>
      <x:c r="F681" s="10">
        <x:v>49</x:v>
      </x:c>
      <x:c r="G681" s="10">
        <x:v>237</x:v>
      </x:c>
      <x:c r="H681" s="22">
        <x:f t="shared" si="10"/>
        <x:v>13000</x:v>
      </x:c>
      <x:c r="I681" s="22">
        <x:v>3081000</x:v>
      </x:c>
      <x:c r="J681" s="10">
        <x:v>35</x:v>
      </x:c>
      <x:c r="K681" s="10">
        <x:v>12</x:v>
      </x:c>
    </x:row>
    <x:row r="682">
      <x:c r="A682" s="10" t="s">
        <x:v>60</x:v>
      </x:c>
      <x:c r="B682" s="10">
        <x:v>8998</x:v>
      </x:c>
      <x:c r="C682" s="10">
        <x:v>13461</x:v>
      </x:c>
      <x:c r="D682" s="10" t="s">
        <x:v>0</x:v>
      </x:c>
      <x:c r="E682" s="10" t="s">
        <x:v>0</x:v>
      </x:c>
      <x:c r="F682" s="10">
        <x:v>65</x:v>
      </x:c>
      <x:c r="G682" s="10">
        <x:v>366</x:v>
      </x:c>
      <x:c r="H682" s="22">
        <x:f t="shared" si="10"/>
        <x:v>13000</x:v>
      </x:c>
      <x:c r="I682" s="22">
        <x:v>4758000</x:v>
      </x:c>
      <x:c r="J682" s="10">
        <x:v>35</x:v>
      </x:c>
      <x:c r="K682" s="10">
        <x:v>13</x:v>
      </x:c>
    </x:row>
    <x:row r="683">
      <x:c r="A683" s="10" t="s">
        <x:v>60</x:v>
      </x:c>
      <x:c r="B683" s="10">
        <x:v>8999</x:v>
      </x:c>
      <x:c r="C683" s="10">
        <x:v>13462</x:v>
      </x:c>
      <x:c r="D683" s="10" t="s">
        <x:v>0</x:v>
      </x:c>
      <x:c r="E683" s="10" t="s">
        <x:v>0</x:v>
      </x:c>
      <x:c r="F683" s="10">
        <x:v>37</x:v>
      </x:c>
      <x:c r="G683" s="10">
        <x:v>170</x:v>
      </x:c>
      <x:c r="H683" s="22">
        <x:f t="shared" si="10"/>
        <x:v>13000</x:v>
      </x:c>
      <x:c r="I683" s="22">
        <x:v>2210000</x:v>
      </x:c>
      <x:c r="J683" s="10">
        <x:v>35</x:v>
      </x:c>
      <x:c r="K683" s="10">
        <x:v>14</x:v>
      </x:c>
    </x:row>
    <x:row r="684">
      <x:c r="A684" s="10" t="s">
        <x:v>60</x:v>
      </x:c>
      <x:c r="B684" s="10">
        <x:v>8993</x:v>
      </x:c>
      <x:c r="C684" s="10">
        <x:v>13463</x:v>
      </x:c>
      <x:c r="D684" s="10" t="s">
        <x:v>0</x:v>
      </x:c>
      <x:c r="E684" s="10" t="s">
        <x:v>0</x:v>
      </x:c>
      <x:c r="F684" s="10">
        <x:v>39</x:v>
      </x:c>
      <x:c r="G684" s="10">
        <x:v>181</x:v>
      </x:c>
      <x:c r="H684" s="22">
        <x:f t="shared" si="10"/>
        <x:v>13000</x:v>
      </x:c>
      <x:c r="I684" s="22">
        <x:v>2353000</x:v>
      </x:c>
      <x:c r="J684" s="10">
        <x:v>35</x:v>
      </x:c>
      <x:c r="K684" s="10">
        <x:v>15</x:v>
      </x:c>
    </x:row>
    <x:row r="685">
      <x:c r="A685" s="10" t="s">
        <x:v>60</x:v>
      </x:c>
      <x:c r="B685" s="10">
        <x:v>9010</x:v>
      </x:c>
      <x:c r="C685" s="10">
        <x:v>13464</x:v>
      </x:c>
      <x:c r="D685" s="10" t="s">
        <x:v>0</x:v>
      </x:c>
      <x:c r="E685" s="10" t="s">
        <x:v>0</x:v>
      </x:c>
      <x:c r="F685" s="10">
        <x:v>37</x:v>
      </x:c>
      <x:c r="G685" s="10">
        <x:v>166</x:v>
      </x:c>
      <x:c r="H685" s="22">
        <x:f t="shared" si="10"/>
        <x:v>13000</x:v>
      </x:c>
      <x:c r="I685" s="22">
        <x:v>2158000</x:v>
      </x:c>
      <x:c r="J685" s="10">
        <x:v>35</x:v>
      </x:c>
      <x:c r="K685" s="10">
        <x:v>16</x:v>
      </x:c>
    </x:row>
    <x:row r="686">
      <x:c r="A686" s="10" t="s">
        <x:v>60</x:v>
      </x:c>
      <x:c r="B686" s="10">
        <x:v>9005</x:v>
      </x:c>
      <x:c r="C686" s="10">
        <x:v>13465</x:v>
      </x:c>
      <x:c r="D686" s="10" t="s">
        <x:v>0</x:v>
      </x:c>
      <x:c r="E686" s="10" t="s">
        <x:v>0</x:v>
      </x:c>
      <x:c r="F686" s="10">
        <x:v>34</x:v>
      </x:c>
      <x:c r="G686" s="10">
        <x:v>185</x:v>
      </x:c>
      <x:c r="H686" s="22">
        <x:f t="shared" si="10"/>
        <x:v>13000</x:v>
      </x:c>
      <x:c r="I686" s="22">
        <x:v>2405000</x:v>
      </x:c>
      <x:c r="J686" s="10">
        <x:v>35</x:v>
      </x:c>
      <x:c r="K686" s="10">
        <x:v>17</x:v>
      </x:c>
    </x:row>
    <x:row r="687">
      <x:c r="A687" s="10" t="s">
        <x:v>60</x:v>
      </x:c>
      <x:c r="B687" s="10">
        <x:v>9014</x:v>
      </x:c>
      <x:c r="C687" s="10">
        <x:v>13466</x:v>
      </x:c>
      <x:c r="D687" s="10" t="s">
        <x:v>0</x:v>
      </x:c>
      <x:c r="E687" s="10" t="s">
        <x:v>0</x:v>
      </x:c>
      <x:c r="F687" s="10">
        <x:v>25</x:v>
      </x:c>
      <x:c r="G687" s="10">
        <x:v>171</x:v>
      </x:c>
      <x:c r="H687" s="22">
        <x:f t="shared" si="10"/>
        <x:v>13000</x:v>
      </x:c>
      <x:c r="I687" s="22">
        <x:v>2223000</x:v>
      </x:c>
      <x:c r="J687" s="10">
        <x:v>35</x:v>
      </x:c>
      <x:c r="K687" s="10">
        <x:v>18</x:v>
      </x:c>
    </x:row>
    <x:row r="688">
      <x:c r="A688" s="10" t="s">
        <x:v>60</x:v>
      </x:c>
      <x:c r="B688" s="10">
        <x:v>9008</x:v>
      </x:c>
      <x:c r="C688" s="10">
        <x:v>13467</x:v>
      </x:c>
      <x:c r="D688" s="10" t="s">
        <x:v>0</x:v>
      </x:c>
      <x:c r="E688" s="10" t="s">
        <x:v>0</x:v>
      </x:c>
      <x:c r="F688" s="10">
        <x:v>29</x:v>
      </x:c>
      <x:c r="G688" s="10">
        <x:v>169</x:v>
      </x:c>
      <x:c r="H688" s="22">
        <x:f t="shared" si="10"/>
        <x:v>13000</x:v>
      </x:c>
      <x:c r="I688" s="22">
        <x:v>2197000</x:v>
      </x:c>
      <x:c r="J688" s="10">
        <x:v>35</x:v>
      </x:c>
      <x:c r="K688" s="10">
        <x:v>19</x:v>
      </x:c>
    </x:row>
    <x:row r="689">
      <x:c r="A689" s="10" t="s">
        <x:v>60</x:v>
      </x:c>
      <x:c r="B689" s="10">
        <x:v>9011</x:v>
      </x:c>
      <x:c r="C689" s="10">
        <x:v>13468</x:v>
      </x:c>
      <x:c r="D689" s="10" t="s">
        <x:v>0</x:v>
      </x:c>
      <x:c r="E689" s="10" t="s">
        <x:v>0</x:v>
      </x:c>
      <x:c r="F689" s="10">
        <x:v>24</x:v>
      </x:c>
      <x:c r="G689" s="10">
        <x:v>167</x:v>
      </x:c>
      <x:c r="H689" s="22">
        <x:f t="shared" si="10"/>
        <x:v>13000</x:v>
      </x:c>
      <x:c r="I689" s="22">
        <x:v>2171000</x:v>
      </x:c>
      <x:c r="J689" s="10">
        <x:v>35</x:v>
      </x:c>
      <x:c r="K689" s="10">
        <x:v>20</x:v>
      </x:c>
    </x:row>
    <x:row r="690">
      <x:c r="A690" s="10" t="s">
        <x:v>60</x:v>
      </x:c>
      <x:c r="B690" s="10">
        <x:v>5933</x:v>
      </x:c>
      <x:c r="C690" s="10">
        <x:v>13469</x:v>
      </x:c>
      <x:c r="D690" s="10" t="s">
        <x:v>0</x:v>
      </x:c>
      <x:c r="E690" s="10" t="s">
        <x:v>63</x:v>
      </x:c>
      <x:c r="F690" s="10">
        <x:v>33</x:v>
      </x:c>
      <x:c r="G690" s="10">
        <x:v>196</x:v>
      </x:c>
      <x:c r="H690" s="22">
        <x:f t="shared" si="10"/>
        <x:v>10435.570928330102</x:v>
      </x:c>
      <x:c r="I690" s="22">
        <x:v>2045371.9019527</x:v>
      </x:c>
      <x:c r="J690" s="10">
        <x:v>36</x:v>
      </x:c>
      <x:c r="K690" s="10">
        <x:v>1</x:v>
      </x:c>
    </x:row>
    <x:row r="691">
      <x:c r="A691" s="10" t="s">
        <x:v>60</x:v>
      </x:c>
      <x:c r="B691" s="10">
        <x:v>8932</x:v>
      </x:c>
      <x:c r="C691" s="10">
        <x:v>13470</x:v>
      </x:c>
      <x:c r="D691" s="10" t="s">
        <x:v>0</x:v>
      </x:c>
      <x:c r="E691" s="10" t="s">
        <x:v>0</x:v>
      </x:c>
      <x:c r="F691" s="10">
        <x:v>63</x:v>
      </x:c>
      <x:c r="G691" s="10">
        <x:v>343</x:v>
      </x:c>
      <x:c r="H691" s="22">
        <x:f t="shared" si="10"/>
        <x:v>13000</x:v>
      </x:c>
      <x:c r="I691" s="22">
        <x:v>4459000</x:v>
      </x:c>
      <x:c r="J691" s="10">
        <x:v>36</x:v>
      </x:c>
      <x:c r="K691" s="10">
        <x:v>2</x:v>
      </x:c>
    </x:row>
    <x:row r="692">
      <x:c r="A692" s="10" t="s">
        <x:v>60</x:v>
      </x:c>
      <x:c r="B692" s="10">
        <x:v>8952</x:v>
      </x:c>
      <x:c r="C692" s="10">
        <x:v>13471</x:v>
      </x:c>
      <x:c r="D692" s="10" t="s">
        <x:v>0</x:v>
      </x:c>
      <x:c r="E692" s="10" t="s">
        <x:v>0</x:v>
      </x:c>
      <x:c r="F692" s="10">
        <x:v>78</x:v>
      </x:c>
      <x:c r="G692" s="10">
        <x:v>424</x:v>
      </x:c>
      <x:c r="H692" s="22">
        <x:f t="shared" si="10"/>
        <x:v>13000</x:v>
      </x:c>
      <x:c r="I692" s="22">
        <x:v>5512000</x:v>
      </x:c>
      <x:c r="J692" s="10">
        <x:v>36</x:v>
      </x:c>
      <x:c r="K692" s="10">
        <x:v>3</x:v>
      </x:c>
    </x:row>
    <x:row r="693">
      <x:c r="A693" s="10" t="s">
        <x:v>60</x:v>
      </x:c>
      <x:c r="B693" s="10">
        <x:v>8931</x:v>
      </x:c>
      <x:c r="C693" s="10">
        <x:v>13472</x:v>
      </x:c>
      <x:c r="D693" s="10" t="s">
        <x:v>0</x:v>
      </x:c>
      <x:c r="E693" s="10" t="s">
        <x:v>0</x:v>
      </x:c>
      <x:c r="F693" s="10">
        <x:v>64</x:v>
      </x:c>
      <x:c r="G693" s="10">
        <x:v>353</x:v>
      </x:c>
      <x:c r="H693" s="22">
        <x:f t="shared" si="10"/>
        <x:v>13000</x:v>
      </x:c>
      <x:c r="I693" s="22">
        <x:v>4589000</x:v>
      </x:c>
      <x:c r="J693" s="10">
        <x:v>36</x:v>
      </x:c>
      <x:c r="K693" s="10">
        <x:v>4</x:v>
      </x:c>
    </x:row>
    <x:row r="694">
      <x:c r="A694" s="10" t="s">
        <x:v>60</x:v>
      </x:c>
      <x:c r="B694" s="10">
        <x:v>9415</x:v>
      </x:c>
      <x:c r="C694" s="10">
        <x:v>13473</x:v>
      </x:c>
      <x:c r="D694" s="10" t="s">
        <x:v>0</x:v>
      </x:c>
      <x:c r="E694" s="10" t="s">
        <x:v>0</x:v>
      </x:c>
      <x:c r="F694" s="10">
        <x:v>17</x:v>
      </x:c>
      <x:c r="G694" s="10">
        <x:v>99</x:v>
      </x:c>
      <x:c r="H694" s="22">
        <x:f t="shared" si="10"/>
        <x:v>13000</x:v>
      </x:c>
      <x:c r="I694" s="22">
        <x:v>1287000</x:v>
      </x:c>
      <x:c r="J694" s="10">
        <x:v>36</x:v>
      </x:c>
      <x:c r="K694" s="10">
        <x:v>5</x:v>
      </x:c>
    </x:row>
    <x:row r="695">
      <x:c r="A695" s="10" t="s">
        <x:v>60</x:v>
      </x:c>
      <x:c r="B695" s="10">
        <x:v>9375</x:v>
      </x:c>
      <x:c r="C695" s="10">
        <x:v>13474</x:v>
      </x:c>
      <x:c r="D695" s="10" t="s">
        <x:v>9</x:v>
      </x:c>
      <x:c r="E695" s="10" t="s">
        <x:v>9</x:v>
      </x:c>
      <x:c r="F695" s="10">
        <x:v>17</x:v>
      </x:c>
      <x:c r="G695" s="10">
        <x:v>96</x:v>
      </x:c>
      <x:c r="H695" s="22">
        <x:f t="shared" si="10"/>
        <x:v>9000</x:v>
      </x:c>
      <x:c r="I695" s="22">
        <x:v>864000</x:v>
      </x:c>
      <x:c r="J695" s="10">
        <x:v>36</x:v>
      </x:c>
      <x:c r="K695" s="10">
        <x:v>6</x:v>
      </x:c>
    </x:row>
    <x:row r="696">
      <x:c r="A696" s="10" t="s">
        <x:v>60</x:v>
      </x:c>
      <x:c r="B696" s="10">
        <x:v>8858</x:v>
      </x:c>
      <x:c r="C696" s="10">
        <x:v>13475</x:v>
      </x:c>
      <x:c r="D696" s="10" t="s">
        <x:v>0</x:v>
      </x:c>
      <x:c r="E696" s="10" t="s">
        <x:v>0</x:v>
      </x:c>
      <x:c r="F696" s="10">
        <x:v>30</x:v>
      </x:c>
      <x:c r="G696" s="10">
        <x:v>188</x:v>
      </x:c>
      <x:c r="H696" s="22">
        <x:f t="shared" si="10"/>
        <x:v>13000</x:v>
      </x:c>
      <x:c r="I696" s="22">
        <x:v>2444000</x:v>
      </x:c>
      <x:c r="J696" s="10">
        <x:v>36</x:v>
      </x:c>
      <x:c r="K696" s="10">
        <x:v>7</x:v>
      </x:c>
    </x:row>
    <x:row r="697">
      <x:c r="A697" s="10" t="s">
        <x:v>60</x:v>
      </x:c>
      <x:c r="B697" s="10">
        <x:v>9022</x:v>
      </x:c>
      <x:c r="C697" s="10">
        <x:v>13476</x:v>
      </x:c>
      <x:c r="D697" s="10" t="s">
        <x:v>0</x:v>
      </x:c>
      <x:c r="E697" s="10" t="s">
        <x:v>0</x:v>
      </x:c>
      <x:c r="F697" s="10">
        <x:v>27</x:v>
      </x:c>
      <x:c r="G697" s="10">
        <x:v>174</x:v>
      </x:c>
      <x:c r="H697" s="22">
        <x:f t="shared" si="10"/>
        <x:v>13000</x:v>
      </x:c>
      <x:c r="I697" s="22">
        <x:v>2262000</x:v>
      </x:c>
      <x:c r="J697" s="10">
        <x:v>36</x:v>
      </x:c>
      <x:c r="K697" s="10">
        <x:v>8</x:v>
      </x:c>
    </x:row>
    <x:row r="698">
      <x:c r="A698" s="10" t="s">
        <x:v>60</x:v>
      </x:c>
      <x:c r="B698" s="10">
        <x:v>8918</x:v>
      </x:c>
      <x:c r="C698" s="10">
        <x:v>13477</x:v>
      </x:c>
      <x:c r="D698" s="10" t="s">
        <x:v>0</x:v>
      </x:c>
      <x:c r="E698" s="10" t="s">
        <x:v>0</x:v>
      </x:c>
      <x:c r="F698" s="10">
        <x:v>72</x:v>
      </x:c>
      <x:c r="G698" s="10">
        <x:v>393</x:v>
      </x:c>
      <x:c r="H698" s="22">
        <x:f t="shared" si="10"/>
        <x:v>13000</x:v>
      </x:c>
      <x:c r="I698" s="22">
        <x:v>5109000</x:v>
      </x:c>
      <x:c r="J698" s="10">
        <x:v>36</x:v>
      </x:c>
      <x:c r="K698" s="10">
        <x:v>9</x:v>
      </x:c>
    </x:row>
    <x:row r="699">
      <x:c r="A699" s="10" t="s">
        <x:v>60</x:v>
      </x:c>
      <x:c r="B699" s="10">
        <x:v>8915</x:v>
      </x:c>
      <x:c r="C699" s="10">
        <x:v>13478</x:v>
      </x:c>
      <x:c r="D699" s="10" t="s">
        <x:v>0</x:v>
      </x:c>
      <x:c r="E699" s="10" t="s">
        <x:v>0</x:v>
      </x:c>
      <x:c r="F699" s="10">
        <x:v>68</x:v>
      </x:c>
      <x:c r="G699" s="10">
        <x:v>380</x:v>
      </x:c>
      <x:c r="H699" s="22">
        <x:f t="shared" si="10"/>
        <x:v>13000</x:v>
      </x:c>
      <x:c r="I699" s="22">
        <x:v>4940000</x:v>
      </x:c>
      <x:c r="J699" s="10">
        <x:v>36</x:v>
      </x:c>
      <x:c r="K699" s="10">
        <x:v>10</x:v>
      </x:c>
    </x:row>
    <x:row r="700">
      <x:c r="A700" s="10" t="s">
        <x:v>60</x:v>
      </x:c>
      <x:c r="B700" s="10">
        <x:v>8914</x:v>
      </x:c>
      <x:c r="C700" s="10">
        <x:v>13479</x:v>
      </x:c>
      <x:c r="D700" s="10" t="s">
        <x:v>0</x:v>
      </x:c>
      <x:c r="E700" s="10" t="s">
        <x:v>0</x:v>
      </x:c>
      <x:c r="F700" s="10">
        <x:v>75</x:v>
      </x:c>
      <x:c r="G700" s="10">
        <x:v>375</x:v>
      </x:c>
      <x:c r="H700" s="22">
        <x:f t="shared" si="10"/>
        <x:v>13000</x:v>
      </x:c>
      <x:c r="I700" s="22">
        <x:v>4875000</x:v>
      </x:c>
      <x:c r="J700" s="10">
        <x:v>36</x:v>
      </x:c>
      <x:c r="K700" s="10">
        <x:v>11</x:v>
      </x:c>
    </x:row>
    <x:row r="701">
      <x:c r="A701" s="10" t="s">
        <x:v>60</x:v>
      </x:c>
      <x:c r="B701" s="10">
        <x:v>8921</x:v>
      </x:c>
      <x:c r="C701" s="10">
        <x:v>13480</x:v>
      </x:c>
      <x:c r="D701" s="10" t="s">
        <x:v>0</x:v>
      </x:c>
      <x:c r="E701" s="10" t="s">
        <x:v>0</x:v>
      </x:c>
      <x:c r="F701" s="10">
        <x:v>27</x:v>
      </x:c>
      <x:c r="G701" s="10">
        <x:v>176</x:v>
      </x:c>
      <x:c r="H701" s="22">
        <x:f t="shared" si="10"/>
        <x:v>13000</x:v>
      </x:c>
      <x:c r="I701" s="22">
        <x:v>2288000</x:v>
      </x:c>
      <x:c r="J701" s="10">
        <x:v>36</x:v>
      </x:c>
      <x:c r="K701" s="10">
        <x:v>12</x:v>
      </x:c>
    </x:row>
    <x:row r="702">
      <x:c r="A702" s="10" t="s">
        <x:v>60</x:v>
      </x:c>
      <x:c r="B702" s="10">
        <x:v>8878</x:v>
      </x:c>
      <x:c r="C702" s="10">
        <x:v>13481</x:v>
      </x:c>
      <x:c r="D702" s="10" t="s">
        <x:v>0</x:v>
      </x:c>
      <x:c r="E702" s="10" t="s">
        <x:v>0</x:v>
      </x:c>
      <x:c r="F702" s="10">
        <x:v>90</x:v>
      </x:c>
      <x:c r="G702" s="10">
        <x:v>403</x:v>
      </x:c>
      <x:c r="H702" s="22">
        <x:f t="shared" si="10"/>
        <x:v>13000</x:v>
      </x:c>
      <x:c r="I702" s="22">
        <x:v>5239000</x:v>
      </x:c>
      <x:c r="J702" s="10">
        <x:v>36</x:v>
      </x:c>
      <x:c r="K702" s="10">
        <x:v>13</x:v>
      </x:c>
    </x:row>
    <x:row r="703">
      <x:c r="A703" s="10" t="s">
        <x:v>60</x:v>
      </x:c>
      <x:c r="B703" s="10">
        <x:v>9398</x:v>
      </x:c>
      <x:c r="C703" s="10">
        <x:v>13482</x:v>
      </x:c>
      <x:c r="D703" s="10" t="s">
        <x:v>0</x:v>
      </x:c>
      <x:c r="E703" s="10" t="s">
        <x:v>0</x:v>
      </x:c>
      <x:c r="F703" s="10">
        <x:v>16</x:v>
      </x:c>
      <x:c r="G703" s="10">
        <x:v>95</x:v>
      </x:c>
      <x:c r="H703" s="22">
        <x:f t="shared" si="10"/>
        <x:v>13000</x:v>
      </x:c>
      <x:c r="I703" s="22">
        <x:v>1235000</x:v>
      </x:c>
      <x:c r="J703" s="10">
        <x:v>36</x:v>
      </x:c>
      <x:c r="K703" s="10">
        <x:v>14</x:v>
      </x:c>
    </x:row>
    <x:row r="704">
      <x:c r="A704" s="10" t="s">
        <x:v>60</x:v>
      </x:c>
      <x:c r="B704" s="10">
        <x:v>8869</x:v>
      </x:c>
      <x:c r="C704" s="10">
        <x:v>13483</x:v>
      </x:c>
      <x:c r="D704" s="10" t="s">
        <x:v>0</x:v>
      </x:c>
      <x:c r="E704" s="10" t="s">
        <x:v>0</x:v>
      </x:c>
      <x:c r="F704" s="10">
        <x:v>89</x:v>
      </x:c>
      <x:c r="G704" s="10">
        <x:v>357</x:v>
      </x:c>
      <x:c r="H704" s="22">
        <x:f t="shared" si="10"/>
        <x:v>13000</x:v>
      </x:c>
      <x:c r="I704" s="22">
        <x:v>4641000</x:v>
      </x:c>
      <x:c r="J704" s="10">
        <x:v>36</x:v>
      </x:c>
      <x:c r="K704" s="10">
        <x:v>15</x:v>
      </x:c>
    </x:row>
    <x:row r="705">
      <x:c r="A705" s="10" t="s">
        <x:v>60</x:v>
      </x:c>
      <x:c r="B705" s="10">
        <x:v>8865</x:v>
      </x:c>
      <x:c r="C705" s="10">
        <x:v>13484</x:v>
      </x:c>
      <x:c r="D705" s="10" t="s">
        <x:v>0</x:v>
      </x:c>
      <x:c r="E705" s="10" t="s">
        <x:v>0</x:v>
      </x:c>
      <x:c r="F705" s="10">
        <x:v>28</x:v>
      </x:c>
      <x:c r="G705" s="10">
        <x:v>180</x:v>
      </x:c>
      <x:c r="H705" s="22">
        <x:f t="shared" si="10"/>
        <x:v>13000</x:v>
      </x:c>
      <x:c r="I705" s="22">
        <x:v>2340000</x:v>
      </x:c>
      <x:c r="J705" s="10">
        <x:v>36</x:v>
      </x:c>
      <x:c r="K705" s="10">
        <x:v>16</x:v>
      </x:c>
    </x:row>
    <x:row r="706">
      <x:c r="A706" s="10" t="s">
        <x:v>60</x:v>
      </x:c>
      <x:c r="B706" s="10">
        <x:v>9380</x:v>
      </x:c>
      <x:c r="C706" s="10">
        <x:v>13485</x:v>
      </x:c>
      <x:c r="D706" s="10" t="s">
        <x:v>0</x:v>
      </x:c>
      <x:c r="E706" s="10" t="s">
        <x:v>0</x:v>
      </x:c>
      <x:c r="F706" s="10">
        <x:v>16</x:v>
      </x:c>
      <x:c r="G706" s="10">
        <x:v>95</x:v>
      </x:c>
      <x:c r="H706" s="22">
        <x:f t="shared" si="10"/>
        <x:v>13000</x:v>
      </x:c>
      <x:c r="I706" s="22">
        <x:v>1235000</x:v>
      </x:c>
      <x:c r="J706" s="10">
        <x:v>36</x:v>
      </x:c>
      <x:c r="K706" s="10">
        <x:v>17</x:v>
      </x:c>
    </x:row>
    <x:row r="707">
      <x:c r="A707" s="10" t="s">
        <x:v>60</x:v>
      </x:c>
      <x:c r="B707" s="10">
        <x:v>9369</x:v>
      </x:c>
      <x:c r="C707" s="10">
        <x:v>13486</x:v>
      </x:c>
      <x:c r="D707" s="10" t="s">
        <x:v>0</x:v>
      </x:c>
      <x:c r="E707" s="10" t="s">
        <x:v>0</x:v>
      </x:c>
      <x:c r="F707" s="10">
        <x:v>17</x:v>
      </x:c>
      <x:c r="G707" s="10">
        <x:v>100</x:v>
      </x:c>
      <x:c r="H707" s="22" t="n">
        <x:f t="shared" ref="H707:H770" si="11">I707/G707</x:f>
        <x:v>13000</x:v>
      </x:c>
      <x:c r="I707" s="22">
        <x:v>1300000</x:v>
      </x:c>
      <x:c r="J707" s="10">
        <x:v>36</x:v>
      </x:c>
      <x:c r="K707" s="10">
        <x:v>18</x:v>
      </x:c>
    </x:row>
    <x:row r="708">
      <x:c r="A708" s="10" t="s">
        <x:v>60</x:v>
      </x:c>
      <x:c r="B708" s="10">
        <x:v>8879</x:v>
      </x:c>
      <x:c r="C708" s="10">
        <x:v>13487</x:v>
      </x:c>
      <x:c r="D708" s="10" t="s">
        <x:v>0</x:v>
      </x:c>
      <x:c r="E708" s="10" t="s">
        <x:v>0</x:v>
      </x:c>
      <x:c r="F708" s="10">
        <x:v>28</x:v>
      </x:c>
      <x:c r="G708" s="10">
        <x:v>181</x:v>
      </x:c>
      <x:c r="H708" s="22">
        <x:f t="shared" si="11"/>
        <x:v>13000</x:v>
      </x:c>
      <x:c r="I708" s="22">
        <x:v>2353000</x:v>
      </x:c>
      <x:c r="J708" s="10">
        <x:v>36</x:v>
      </x:c>
      <x:c r="K708" s="10">
        <x:v>19</x:v>
      </x:c>
    </x:row>
    <x:row r="709">
      <x:c r="A709" s="10" t="s">
        <x:v>60</x:v>
      </x:c>
      <x:c r="B709" s="10">
        <x:v>8843</x:v>
      </x:c>
      <x:c r="C709" s="10">
        <x:v>13488</x:v>
      </x:c>
      <x:c r="D709" s="10" t="s">
        <x:v>0</x:v>
      </x:c>
      <x:c r="E709" s="10" t="s">
        <x:v>0</x:v>
      </x:c>
      <x:c r="F709" s="10">
        <x:v>81</x:v>
      </x:c>
      <x:c r="G709" s="10">
        <x:v>385</x:v>
      </x:c>
      <x:c r="H709" s="22">
        <x:f t="shared" si="11"/>
        <x:v>13000</x:v>
      </x:c>
      <x:c r="I709" s="22">
        <x:v>5005000</x:v>
      </x:c>
      <x:c r="J709" s="10">
        <x:v>36</x:v>
      </x:c>
      <x:c r="K709" s="10">
        <x:v>20</x:v>
      </x:c>
    </x:row>
    <x:row r="710">
      <x:c r="A710" s="10" t="s">
        <x:v>60</x:v>
      </x:c>
      <x:c r="B710" s="10">
        <x:v>6803</x:v>
      </x:c>
      <x:c r="C710" s="10">
        <x:v>14078</x:v>
      </x:c>
      <x:c r="D710" s="10" t="s">
        <x:v>0</x:v>
      </x:c>
      <x:c r="E710" s="10" t="s">
        <x:v>22</x:v>
      </x:c>
      <x:c r="F710" s="10">
        <x:v>31</x:v>
      </x:c>
      <x:c r="G710" s="10">
        <x:v>192</x:v>
      </x:c>
      <x:c r="H710" s="22">
        <x:f t="shared" si="11"/>
        <x:v>10626.936989336979</x:v>
      </x:c>
      <x:c r="I710" s="22">
        <x:v>2040371.9019527</x:v>
      </x:c>
      <x:c r="J710" s="10">
        <x:v>37</x:v>
      </x:c>
      <x:c r="K710" s="10">
        <x:v>1</x:v>
      </x:c>
    </x:row>
    <x:row r="711">
      <x:c r="A711" s="10" t="s">
        <x:v>60</x:v>
      </x:c>
      <x:c r="B711" s="10">
        <x:v>10552</x:v>
      </x:c>
      <x:c r="C711" s="10">
        <x:v>14079</x:v>
      </x:c>
      <x:c r="D711" s="10" t="s">
        <x:v>0</x:v>
      </x:c>
      <x:c r="E711" s="10" t="s">
        <x:v>68</x:v>
      </x:c>
      <x:c r="F711" s="10">
        <x:v>47</x:v>
      </x:c>
      <x:c r="G711" s="10">
        <x:v>192</x:v>
      </x:c>
      <x:c r="H711" s="22">
        <x:f t="shared" si="11"/>
        <x:v>8676.2941900312489</x:v>
      </x:c>
      <x:c r="I711" s="22">
        <x:v>1665848.4844859999</x:v>
      </x:c>
      <x:c r="J711" s="10">
        <x:v>37</x:v>
      </x:c>
      <x:c r="K711" s="10">
        <x:v>2</x:v>
      </x:c>
    </x:row>
    <x:row r="712">
      <x:c r="A712" s="10" t="s">
        <x:v>60</x:v>
      </x:c>
      <x:c r="B712" s="10">
        <x:v>10833</x:v>
      </x:c>
      <x:c r="C712" s="10">
        <x:v>14080</x:v>
      </x:c>
      <x:c r="D712" s="10" t="s">
        <x:v>0</x:v>
      </x:c>
      <x:c r="E712" s="10" t="s">
        <x:v>37</x:v>
      </x:c>
      <x:c r="F712" s="10">
        <x:v>47</x:v>
      </x:c>
      <x:c r="G712" s="10">
        <x:v>194</x:v>
      </x:c>
      <x:c r="H712" s="22">
        <x:f t="shared" si="11"/>
        <x:v>8586.847858175257</x:v>
      </x:c>
      <x:c r="I712" s="22">
        <x:v>1665848.4844859999</x:v>
      </x:c>
      <x:c r="J712" s="10">
        <x:v>37</x:v>
      </x:c>
      <x:c r="K712" s="10">
        <x:v>2</x:v>
      </x:c>
    </x:row>
    <x:row r="713">
      <x:c r="A713" s="10" t="s">
        <x:v>60</x:v>
      </x:c>
      <x:c r="B713" s="10">
        <x:v>10646</x:v>
      </x:c>
      <x:c r="C713" s="10">
        <x:v>14081</x:v>
      </x:c>
      <x:c r="D713" s="10" t="s">
        <x:v>0</x:v>
      </x:c>
      <x:c r="E713" s="10" t="s">
        <x:v>22</x:v>
      </x:c>
      <x:c r="F713" s="10">
        <x:v>33</x:v>
      </x:c>
      <x:c r="G713" s="10">
        <x:v>192</x:v>
      </x:c>
      <x:c r="H713" s="22">
        <x:f t="shared" si="11"/>
        <x:v>8676.2941900312489</x:v>
      </x:c>
      <x:c r="I713" s="22">
        <x:v>1665848.4844859999</x:v>
      </x:c>
      <x:c r="J713" s="10">
        <x:v>37</x:v>
      </x:c>
      <x:c r="K713" s="10">
        <x:v>4</x:v>
      </x:c>
    </x:row>
    <x:row r="714">
      <x:c r="A714" s="10" t="s">
        <x:v>60</x:v>
      </x:c>
      <x:c r="B714" s="10">
        <x:v>10825</x:v>
      </x:c>
      <x:c r="C714" s="10">
        <x:v>14082</x:v>
      </x:c>
      <x:c r="D714" s="10" t="s">
        <x:v>0</x:v>
      </x:c>
      <x:c r="E714" s="10" t="s">
        <x:v>37</x:v>
      </x:c>
      <x:c r="F714" s="10">
        <x:v>44</x:v>
      </x:c>
      <x:c r="G714" s="10">
        <x:v>192</x:v>
      </x:c>
      <x:c r="H714" s="22">
        <x:f t="shared" si="11"/>
        <x:v>8676.2941900312489</x:v>
      </x:c>
      <x:c r="I714" s="22">
        <x:v>1665848.4844859999</x:v>
      </x:c>
      <x:c r="J714" s="10">
        <x:v>37</x:v>
      </x:c>
      <x:c r="K714" s="10">
        <x:v>5</x:v>
      </x:c>
    </x:row>
    <x:row r="715">
      <x:c r="A715" s="10" t="s">
        <x:v>60</x:v>
      </x:c>
      <x:c r="B715" s="10">
        <x:v>10648</x:v>
      </x:c>
      <x:c r="C715" s="10">
        <x:v>14083</x:v>
      </x:c>
      <x:c r="D715" s="10" t="s">
        <x:v>0</x:v>
      </x:c>
      <x:c r="E715" s="10" t="s">
        <x:v>22</x:v>
      </x:c>
      <x:c r="F715" s="10">
        <x:v>33</x:v>
      </x:c>
      <x:c r="G715" s="10">
        <x:v>192</x:v>
      </x:c>
      <x:c r="H715" s="22">
        <x:f t="shared" si="11"/>
        <x:v>8676.2941900312489</x:v>
      </x:c>
      <x:c r="I715" s="22">
        <x:v>1665848.4844859999</x:v>
      </x:c>
      <x:c r="J715" s="10">
        <x:v>37</x:v>
      </x:c>
      <x:c r="K715" s="10">
        <x:v>6</x:v>
      </x:c>
    </x:row>
    <x:row r="716">
      <x:c r="A716" s="10" t="s">
        <x:v>60</x:v>
      </x:c>
      <x:c r="B716" s="10">
        <x:v>10621</x:v>
      </x:c>
      <x:c r="C716" s="10">
        <x:v>14084</x:v>
      </x:c>
      <x:c r="D716" s="10" t="s">
        <x:v>0</x:v>
      </x:c>
      <x:c r="E716" s="10" t="s">
        <x:v>22</x:v>
      </x:c>
      <x:c r="F716" s="10">
        <x:v>37</x:v>
      </x:c>
      <x:c r="G716" s="10">
        <x:v>193</x:v>
      </x:c>
      <x:c r="H716" s="22">
        <x:f t="shared" si="11"/>
        <x:v>8631.3392978549218</x:v>
      </x:c>
      <x:c r="I716" s="22">
        <x:v>1665848.4844859999</x:v>
      </x:c>
      <x:c r="J716" s="10">
        <x:v>37</x:v>
      </x:c>
      <x:c r="K716" s="10">
        <x:v>7</x:v>
      </x:c>
    </x:row>
    <x:row r="717">
      <x:c r="A717" s="10" t="s">
        <x:v>60</x:v>
      </x:c>
      <x:c r="B717" s="10">
        <x:v>10817</x:v>
      </x:c>
      <x:c r="C717" s="10">
        <x:v>14085</x:v>
      </x:c>
      <x:c r="D717" s="10" t="s">
        <x:v>0</x:v>
      </x:c>
      <x:c r="E717" s="10" t="s">
        <x:v>22</x:v>
      </x:c>
      <x:c r="F717" s="10">
        <x:v>28</x:v>
      </x:c>
      <x:c r="G717" s="10">
        <x:v>192</x:v>
      </x:c>
      <x:c r="H717" s="22">
        <x:f t="shared" si="11"/>
        <x:v>8676.2941900312489</x:v>
      </x:c>
      <x:c r="I717" s="22">
        <x:v>1665848.4844859999</x:v>
      </x:c>
      <x:c r="J717" s="10">
        <x:v>37</x:v>
      </x:c>
      <x:c r="K717" s="10">
        <x:v>8</x:v>
      </x:c>
    </x:row>
    <x:row r="718">
      <x:c r="A718" s="10" t="s">
        <x:v>60</x:v>
      </x:c>
      <x:c r="B718" s="10">
        <x:v>8797</x:v>
      </x:c>
      <x:c r="C718" s="10">
        <x:v>14086</x:v>
      </x:c>
      <x:c r="D718" s="10" t="s">
        <x:v>1</x:v>
      </x:c>
      <x:c r="E718" s="10" t="s">
        <x:v>1</x:v>
      </x:c>
      <x:c r="F718" s="10">
        <x:v>60</x:v>
      </x:c>
      <x:c r="G718" s="10">
        <x:v>250</x:v>
      </x:c>
      <x:c r="H718" s="22">
        <x:f t="shared" si="11"/>
        <x:v>10000</x:v>
      </x:c>
      <x:c r="I718" s="22">
        <x:v>2500000</x:v>
      </x:c>
      <x:c r="J718" s="10">
        <x:v>37</x:v>
      </x:c>
      <x:c r="K718" s="10">
        <x:v>9</x:v>
      </x:c>
    </x:row>
    <x:row r="719">
      <x:c r="A719" s="10" t="s">
        <x:v>60</x:v>
      </x:c>
      <x:c r="B719" s="10">
        <x:v>9439</x:v>
      </x:c>
      <x:c r="C719" s="10">
        <x:v>14087</x:v>
      </x:c>
      <x:c r="D719" s="10" t="s">
        <x:v>1</x:v>
      </x:c>
      <x:c r="E719" s="10" t="s">
        <x:v>1</x:v>
      </x:c>
      <x:c r="F719" s="10">
        <x:v>23</x:v>
      </x:c>
      <x:c r="G719" s="10">
        <x:v>112</x:v>
      </x:c>
      <x:c r="H719" s="22">
        <x:f t="shared" si="11"/>
        <x:v>10000</x:v>
      </x:c>
      <x:c r="I719" s="22">
        <x:v>1120000</x:v>
      </x:c>
      <x:c r="J719" s="10">
        <x:v>37</x:v>
      </x:c>
      <x:c r="K719" s="10">
        <x:v>10</x:v>
      </x:c>
    </x:row>
    <x:row r="720">
      <x:c r="A720" s="10" t="s">
        <x:v>60</x:v>
      </x:c>
      <x:c r="B720" s="10">
        <x:v>8796</x:v>
      </x:c>
      <x:c r="C720" s="10">
        <x:v>14088</x:v>
      </x:c>
      <x:c r="D720" s="10" t="s">
        <x:v>1</x:v>
      </x:c>
      <x:c r="E720" s="10" t="s">
        <x:v>1</x:v>
      </x:c>
      <x:c r="F720" s="10">
        <x:v>40</x:v>
      </x:c>
      <x:c r="G720" s="10">
        <x:v>197</x:v>
      </x:c>
      <x:c r="H720" s="22">
        <x:f t="shared" si="11"/>
        <x:v>10000</x:v>
      </x:c>
      <x:c r="I720" s="22">
        <x:v>1970000</x:v>
      </x:c>
      <x:c r="J720" s="10">
        <x:v>37</x:v>
      </x:c>
      <x:c r="K720" s="10">
        <x:v>11</x:v>
      </x:c>
    </x:row>
    <x:row r="721">
      <x:c r="A721" s="10" t="s">
        <x:v>60</x:v>
      </x:c>
      <x:c r="B721" s="10">
        <x:v>6831</x:v>
      </x:c>
      <x:c r="C721" s="10">
        <x:v>14089</x:v>
      </x:c>
      <x:c r="D721" s="10" t="s">
        <x:v>0</x:v>
      </x:c>
      <x:c r="E721" s="10" t="s">
        <x:v>42</x:v>
      </x:c>
      <x:c r="F721" s="10">
        <x:v>46</x:v>
      </x:c>
      <x:c r="G721" s="10">
        <x:v>192</x:v>
      </x:c>
      <x:c r="H721" s="22">
        <x:f t="shared" si="11"/>
        <x:v>10652.978656003646</x:v>
      </x:c>
      <x:c r="I721" s="22">
        <x:v>2045371.9019527</x:v>
      </x:c>
      <x:c r="J721" s="10">
        <x:v>37</x:v>
      </x:c>
      <x:c r="K721" s="10">
        <x:v>12</x:v>
      </x:c>
    </x:row>
    <x:row r="722">
      <x:c r="A722" s="10" t="s">
        <x:v>60</x:v>
      </x:c>
      <x:c r="B722" s="10">
        <x:v>6979</x:v>
      </x:c>
      <x:c r="C722" s="10">
        <x:v>14090</x:v>
      </x:c>
      <x:c r="D722" s="10" t="s">
        <x:v>0</x:v>
      </x:c>
      <x:c r="E722" s="10" t="s">
        <x:v>42</x:v>
      </x:c>
      <x:c r="F722" s="10">
        <x:v>34</x:v>
      </x:c>
      <x:c r="G722" s="10">
        <x:v>172</x:v>
      </x:c>
      <x:c r="H722" s="22">
        <x:f t="shared" si="11"/>
        <x:v>11455.650592748256</x:v>
      </x:c>
      <x:c r="I722" s="22">
        <x:v>1970371.9019527</x:v>
      </x:c>
      <x:c r="J722" s="10">
        <x:v>37</x:v>
      </x:c>
      <x:c r="K722" s="10">
        <x:v>13</x:v>
      </x:c>
    </x:row>
    <x:row r="723">
      <x:c r="A723" s="10" t="s">
        <x:v>60</x:v>
      </x:c>
      <x:c r="B723" s="10">
        <x:v>6946</x:v>
      </x:c>
      <x:c r="C723" s="10">
        <x:v>14091</x:v>
      </x:c>
      <x:c r="D723" s="10" t="s">
        <x:v>0</x:v>
      </x:c>
      <x:c r="E723" s="10" t="s">
        <x:v>22</x:v>
      </x:c>
      <x:c r="F723" s="10">
        <x:v>34</x:v>
      </x:c>
      <x:c r="G723" s="10">
        <x:v>193</x:v>
      </x:c>
      <x:c r="H723" s="22">
        <x:f t="shared" si="11"/>
        <x:v>10597.78187540259</x:v>
      </x:c>
      <x:c r="I723" s="22">
        <x:v>2045371.9019527</x:v>
      </x:c>
      <x:c r="J723" s="10">
        <x:v>37</x:v>
      </x:c>
      <x:c r="K723" s="10">
        <x:v>14</x:v>
      </x:c>
    </x:row>
    <x:row r="724">
      <x:c r="A724" s="10" t="s">
        <x:v>60</x:v>
      </x:c>
      <x:c r="B724" s="10">
        <x:v>6953</x:v>
      </x:c>
      <x:c r="C724" s="10">
        <x:v>14092</x:v>
      </x:c>
      <x:c r="D724" s="10" t="s">
        <x:v>0</x:v>
      </x:c>
      <x:c r="E724" s="10" t="s">
        <x:v>22</x:v>
      </x:c>
      <x:c r="F724" s="10">
        <x:v>34</x:v>
      </x:c>
      <x:c r="G724" s="10">
        <x:v>199</x:v>
      </x:c>
      <x:c r="H724" s="22">
        <x:f t="shared" si="11"/>
        <x:v>10278.250763581407</x:v>
      </x:c>
      <x:c r="I724" s="22">
        <x:v>2045371.9019527</x:v>
      </x:c>
      <x:c r="J724" s="10">
        <x:v>37</x:v>
      </x:c>
      <x:c r="K724" s="10">
        <x:v>15</x:v>
      </x:c>
    </x:row>
    <x:row r="725">
      <x:c r="A725" s="10" t="s">
        <x:v>60</x:v>
      </x:c>
      <x:c r="B725" s="10">
        <x:v>6950</x:v>
      </x:c>
      <x:c r="C725" s="10">
        <x:v>14093</x:v>
      </x:c>
      <x:c r="D725" s="10" t="s">
        <x:v>0</x:v>
      </x:c>
      <x:c r="E725" s="10" t="s">
        <x:v>22</x:v>
      </x:c>
      <x:c r="F725" s="10">
        <x:v>38</x:v>
      </x:c>
      <x:c r="G725" s="10">
        <x:v>202</x:v>
      </x:c>
      <x:c r="H725" s="22">
        <x:f t="shared" si="11"/>
        <x:v>10125.603475013366</x:v>
      </x:c>
      <x:c r="I725" s="22">
        <x:v>2045371.9019527</x:v>
      </x:c>
      <x:c r="J725" s="10">
        <x:v>37</x:v>
      </x:c>
      <x:c r="K725" s="10">
        <x:v>16</x:v>
      </x:c>
    </x:row>
    <x:row r="726">
      <x:c r="A726" s="10" t="s">
        <x:v>60</x:v>
      </x:c>
      <x:c r="B726" s="10">
        <x:v>6951</x:v>
      </x:c>
      <x:c r="C726" s="10">
        <x:v>14094</x:v>
      </x:c>
      <x:c r="D726" s="10" t="s">
        <x:v>0</x:v>
      </x:c>
      <x:c r="E726" s="10" t="s">
        <x:v>22</x:v>
      </x:c>
      <x:c r="F726" s="10">
        <x:v>34</x:v>
      </x:c>
      <x:c r="G726" s="10">
        <x:v>192</x:v>
      </x:c>
      <x:c r="H726" s="22">
        <x:f t="shared" si="11"/>
        <x:v>10652.978656003646</x:v>
      </x:c>
      <x:c r="I726" s="22">
        <x:v>2045371.9019527</x:v>
      </x:c>
      <x:c r="J726" s="10">
        <x:v>37</x:v>
      </x:c>
      <x:c r="K726" s="10">
        <x:v>17</x:v>
      </x:c>
    </x:row>
    <x:row r="727">
      <x:c r="A727" s="10" t="s">
        <x:v>60</x:v>
      </x:c>
      <x:c r="B727" s="10">
        <x:v>6943</x:v>
      </x:c>
      <x:c r="C727" s="10">
        <x:v>14095</x:v>
      </x:c>
      <x:c r="D727" s="10" t="s">
        <x:v>0</x:v>
      </x:c>
      <x:c r="E727" s="10" t="s">
        <x:v>22</x:v>
      </x:c>
      <x:c r="F727" s="10">
        <x:v>38</x:v>
      </x:c>
      <x:c r="G727" s="10">
        <x:v>199</x:v>
      </x:c>
      <x:c r="H727" s="22">
        <x:f t="shared" si="11"/>
        <x:v>10278.250763581407</x:v>
      </x:c>
      <x:c r="I727" s="22">
        <x:v>2045371.9019527</x:v>
      </x:c>
      <x:c r="J727" s="10">
        <x:v>37</x:v>
      </x:c>
      <x:c r="K727" s="10">
        <x:v>18</x:v>
      </x:c>
    </x:row>
    <x:row r="728">
      <x:c r="A728" s="10" t="s">
        <x:v>60</x:v>
      </x:c>
      <x:c r="B728" s="10">
        <x:v>6805</x:v>
      </x:c>
      <x:c r="C728" s="10">
        <x:v>14096</x:v>
      </x:c>
      <x:c r="D728" s="10" t="s">
        <x:v>0</x:v>
      </x:c>
      <x:c r="E728" s="10" t="s">
        <x:v>22</x:v>
      </x:c>
      <x:c r="F728" s="10">
        <x:v>34</x:v>
      </x:c>
      <x:c r="G728" s="10">
        <x:v>192</x:v>
      </x:c>
      <x:c r="H728" s="22">
        <x:f t="shared" si="11"/>
        <x:v>10652.978656003646</x:v>
      </x:c>
      <x:c r="I728" s="22">
        <x:v>2045371.9019527</x:v>
      </x:c>
      <x:c r="J728" s="10">
        <x:v>37</x:v>
      </x:c>
      <x:c r="K728" s="10">
        <x:v>19</x:v>
      </x:c>
    </x:row>
    <x:row r="729">
      <x:c r="A729" s="10" t="s">
        <x:v>60</x:v>
      </x:c>
      <x:c r="B729" s="10">
        <x:v>6807</x:v>
      </x:c>
      <x:c r="C729" s="10">
        <x:v>14097</x:v>
      </x:c>
      <x:c r="D729" s="10" t="s">
        <x:v>0</x:v>
      </x:c>
      <x:c r="E729" s="10" t="s">
        <x:v>22</x:v>
      </x:c>
      <x:c r="F729" s="10">
        <x:v>34</x:v>
      </x:c>
      <x:c r="G729" s="10">
        <x:v>192</x:v>
      </x:c>
      <x:c r="H729" s="22">
        <x:f t="shared" si="11"/>
        <x:v>10652.978656003646</x:v>
      </x:c>
      <x:c r="I729" s="22">
        <x:v>2045371.9019527</x:v>
      </x:c>
      <x:c r="J729" s="10">
        <x:v>37</x:v>
      </x:c>
      <x:c r="K729" s="10">
        <x:v>20</x:v>
      </x:c>
    </x:row>
    <x:row r="730">
      <x:c r="A730" s="10" t="s">
        <x:v>60</x:v>
      </x:c>
      <x:c r="B730" s="10">
        <x:v>6895</x:v>
      </x:c>
      <x:c r="C730" s="10">
        <x:v>14098</x:v>
      </x:c>
      <x:c r="D730" s="10" t="s">
        <x:v>0</x:v>
      </x:c>
      <x:c r="E730" s="10" t="s">
        <x:v>42</x:v>
      </x:c>
      <x:c r="F730" s="10">
        <x:v>19</x:v>
      </x:c>
      <x:c r="G730" s="10">
        <x:v>97</x:v>
      </x:c>
      <x:c r="H730" s="22">
        <x:f t="shared" si="11"/>
        <x:v>10543.15413377732</x:v>
      </x:c>
      <x:c r="I730" s="22">
        <x:v>1022685.9509764001</x:v>
      </x:c>
      <x:c r="J730" s="10">
        <x:v>38</x:v>
      </x:c>
      <x:c r="K730" s="10">
        <x:v>1</x:v>
      </x:c>
    </x:row>
    <x:row r="731">
      <x:c r="A731" s="10" t="s">
        <x:v>60</x:v>
      </x:c>
      <x:c r="B731" s="10">
        <x:v>6896</x:v>
      </x:c>
      <x:c r="C731" s="10">
        <x:v>14099</x:v>
      </x:c>
      <x:c r="D731" s="10" t="s">
        <x:v>0</x:v>
      </x:c>
      <x:c r="E731" s="10" t="s">
        <x:v>42</x:v>
      </x:c>
      <x:c r="F731" s="10">
        <x:v>22</x:v>
      </x:c>
      <x:c r="G731" s="10">
        <x:v>92</x:v>
      </x:c>
      <x:c r="H731" s="22">
        <x:f t="shared" si="11"/>
        <x:v>11116.151641047827</x:v>
      </x:c>
      <x:c r="I731" s="22">
        <x:v>1022685.9509764001</x:v>
      </x:c>
      <x:c r="J731" s="10">
        <x:v>38</x:v>
      </x:c>
      <x:c r="K731" s="10">
        <x:v>2</x:v>
      </x:c>
    </x:row>
    <x:row r="732">
      <x:c r="A732" s="10" t="s">
        <x:v>60</x:v>
      </x:c>
      <x:c r="B732" s="10">
        <x:v>6892</x:v>
      </x:c>
      <x:c r="C732" s="10">
        <x:v>14100</x:v>
      </x:c>
      <x:c r="D732" s="10" t="s">
        <x:v>0</x:v>
      </x:c>
      <x:c r="E732" s="10" t="s">
        <x:v>42</x:v>
      </x:c>
      <x:c r="F732" s="10">
        <x:v>23</x:v>
      </x:c>
      <x:c r="G732" s="10">
        <x:v>103</x:v>
      </x:c>
      <x:c r="H732" s="22">
        <x:f t="shared" si="11"/>
        <x:v>9928.9898153048543</x:v>
      </x:c>
      <x:c r="I732" s="22">
        <x:v>1022685.9509764001</x:v>
      </x:c>
      <x:c r="J732" s="10">
        <x:v>38</x:v>
      </x:c>
      <x:c r="K732" s="10">
        <x:v>3</x:v>
      </x:c>
    </x:row>
    <x:row r="733">
      <x:c r="A733" s="10" t="s">
        <x:v>60</x:v>
      </x:c>
      <x:c r="B733" s="10">
        <x:v>10800</x:v>
      </x:c>
      <x:c r="C733" s="10">
        <x:v>14101</x:v>
      </x:c>
      <x:c r="D733" s="10" t="s">
        <x:v>0</x:v>
      </x:c>
      <x:c r="E733" s="10" t="s">
        <x:v>22</x:v>
      </x:c>
      <x:c r="F733" s="10">
        <x:v>37</x:v>
      </x:c>
      <x:c r="G733" s="10">
        <x:v>192</x:v>
      </x:c>
      <x:c r="H733" s="22">
        <x:f t="shared" si="11"/>
        <x:v>8676.2941900312489</x:v>
      </x:c>
      <x:c r="I733" s="22">
        <x:v>1665848.4844859999</x:v>
      </x:c>
      <x:c r="J733" s="10">
        <x:v>38</x:v>
      </x:c>
      <x:c r="K733" s="10">
        <x:v>4</x:v>
      </x:c>
    </x:row>
    <x:row r="734">
      <x:c r="A734" s="10" t="s">
        <x:v>60</x:v>
      </x:c>
      <x:c r="B734" s="10">
        <x:v>6903</x:v>
      </x:c>
      <x:c r="C734" s="10">
        <x:v>14102</x:v>
      </x:c>
      <x:c r="D734" s="10" t="s">
        <x:v>2</x:v>
      </x:c>
      <x:c r="E734" s="10" t="s">
        <x:v>66</x:v>
      </x:c>
      <x:c r="F734" s="10">
        <x:v>35</x:v>
      </x:c>
      <x:c r="G734" s="10">
        <x:v>217</x:v>
      </x:c>
      <x:c r="H734" s="22">
        <x:f t="shared" si="11"/>
        <x:v>9149.1792716714281</x:v>
      </x:c>
      <x:c r="I734" s="22">
        <x:v>1985371.9019527</x:v>
      </x:c>
      <x:c r="J734" s="10">
        <x:v>38</x:v>
      </x:c>
      <x:c r="K734" s="10">
        <x:v>5</x:v>
      </x:c>
    </x:row>
    <x:row r="735">
      <x:c r="A735" s="10" t="s">
        <x:v>60</x:v>
      </x:c>
      <x:c r="B735" s="10">
        <x:v>10650</x:v>
      </x:c>
      <x:c r="C735" s="10">
        <x:v>14103</x:v>
      </x:c>
      <x:c r="D735" s="10" t="s">
        <x:v>0</x:v>
      </x:c>
      <x:c r="E735" s="10" t="s">
        <x:v>22</x:v>
      </x:c>
      <x:c r="F735" s="10">
        <x:v>33</x:v>
      </x:c>
      <x:c r="G735" s="10">
        <x:v>181</x:v>
      </x:c>
      <x:c r="H735" s="22">
        <x:f t="shared" si="11"/>
        <x:v>9203.5827872154696</x:v>
      </x:c>
      <x:c r="I735" s="22">
        <x:v>1665848.4844859999</x:v>
      </x:c>
      <x:c r="J735" s="10">
        <x:v>38</x:v>
      </x:c>
      <x:c r="K735" s="10">
        <x:v>6</x:v>
      </x:c>
    </x:row>
    <x:row r="736">
      <x:c r="A736" s="10" t="s">
        <x:v>60</x:v>
      </x:c>
      <x:c r="B736" s="10">
        <x:v>6897</x:v>
      </x:c>
      <x:c r="C736" s="10">
        <x:v>14104</x:v>
      </x:c>
      <x:c r="D736" s="10" t="s">
        <x:v>0</x:v>
      </x:c>
      <x:c r="E736" s="10" t="s">
        <x:v>42</x:v>
      </x:c>
      <x:c r="F736" s="10">
        <x:v>24</x:v>
      </x:c>
      <x:c r="G736" s="10">
        <x:v>98</x:v>
      </x:c>
      <x:c r="H736" s="22">
        <x:f t="shared" si="11"/>
        <x:v>10435.570928330613</x:v>
      </x:c>
      <x:c r="I736" s="22">
        <x:v>1022685.9509764001</x:v>
      </x:c>
      <x:c r="J736" s="10">
        <x:v>38</x:v>
      </x:c>
      <x:c r="K736" s="10">
        <x:v>7</x:v>
      </x:c>
    </x:row>
    <x:row r="737">
      <x:c r="A737" s="10" t="s">
        <x:v>60</x:v>
      </x:c>
      <x:c r="B737" s="10">
        <x:v>6906</x:v>
      </x:c>
      <x:c r="C737" s="10">
        <x:v>14105</x:v>
      </x:c>
      <x:c r="D737" s="10" t="s">
        <x:v>2</x:v>
      </x:c>
      <x:c r="E737" s="10" t="s">
        <x:v>66</x:v>
      </x:c>
      <x:c r="F737" s="10">
        <x:v>18</x:v>
      </x:c>
      <x:c r="G737" s="10">
        <x:v>115</x:v>
      </x:c>
      <x:c r="H737" s="22">
        <x:f t="shared" si="11"/>
        <x:v>8632.0517476205223</x:v>
      </x:c>
      <x:c r="I737" s="22">
        <x:v>992685.95097636001</x:v>
      </x:c>
      <x:c r="J737" s="10">
        <x:v>38</x:v>
      </x:c>
      <x:c r="K737" s="10">
        <x:v>8</x:v>
      </x:c>
    </x:row>
    <x:row r="738">
      <x:c r="A738" s="10" t="s">
        <x:v>60</x:v>
      </x:c>
      <x:c r="B738" s="10">
        <x:v>10807</x:v>
      </x:c>
      <x:c r="C738" s="10">
        <x:v>14106</x:v>
      </x:c>
      <x:c r="D738" s="10" t="s">
        <x:v>0</x:v>
      </x:c>
      <x:c r="E738" s="10" t="s">
        <x:v>22</x:v>
      </x:c>
      <x:c r="F738" s="10">
        <x:v>33</x:v>
      </x:c>
      <x:c r="G738" s="10">
        <x:v>207</x:v>
      </x:c>
      <x:c r="H738" s="22">
        <x:f t="shared" si="11"/>
        <x:v>8047.5772197391298</x:v>
      </x:c>
      <x:c r="I738" s="22">
        <x:v>1665848.4844859999</x:v>
      </x:c>
      <x:c r="J738" s="10">
        <x:v>38</x:v>
      </x:c>
      <x:c r="K738" s="10">
        <x:v>9</x:v>
      </x:c>
    </x:row>
    <x:row r="739">
      <x:c r="A739" s="10" t="s">
        <x:v>60</x:v>
      </x:c>
      <x:c r="B739" s="10">
        <x:v>10822</x:v>
      </x:c>
      <x:c r="C739" s="10">
        <x:v>14107</x:v>
      </x:c>
      <x:c r="D739" s="10" t="s">
        <x:v>0</x:v>
      </x:c>
      <x:c r="E739" s="10" t="s">
        <x:v>30</x:v>
      </x:c>
      <x:c r="F739" s="10">
        <x:v>34</x:v>
      </x:c>
      <x:c r="G739" s="10">
        <x:v>192</x:v>
      </x:c>
      <x:c r="H739" s="22">
        <x:f t="shared" si="11"/>
        <x:v>8676.2941900312489</x:v>
      </x:c>
      <x:c r="I739" s="22">
        <x:v>1665848.4844859999</x:v>
      </x:c>
      <x:c r="J739" s="10">
        <x:v>38</x:v>
      </x:c>
      <x:c r="K739" s="10">
        <x:v>10</x:v>
      </x:c>
    </x:row>
    <x:row r="740">
      <x:c r="A740" s="10" t="s">
        <x:v>60</x:v>
      </x:c>
      <x:c r="B740" s="10">
        <x:v>6904</x:v>
      </x:c>
      <x:c r="C740" s="10">
        <x:v>14108</x:v>
      </x:c>
      <x:c r="D740" s="10" t="s">
        <x:v>2</x:v>
      </x:c>
      <x:c r="E740" s="10" t="s">
        <x:v>66</x:v>
      </x:c>
      <x:c r="F740" s="10">
        <x:v>35</x:v>
      </x:c>
      <x:c r="G740" s="10">
        <x:v>203</x:v>
      </x:c>
      <x:c r="H740" s="22">
        <x:f t="shared" si="11"/>
        <x:v>9780.1571524763549</x:v>
      </x:c>
      <x:c r="I740" s="22">
        <x:v>1985371.9019527</x:v>
      </x:c>
      <x:c r="J740" s="10">
        <x:v>38</x:v>
      </x:c>
      <x:c r="K740" s="10">
        <x:v>11</x:v>
      </x:c>
    </x:row>
    <x:row r="741">
      <x:c r="A741" s="10" t="s">
        <x:v>60</x:v>
      </x:c>
      <x:c r="B741" s="10">
        <x:v>6985</x:v>
      </x:c>
      <x:c r="C741" s="10">
        <x:v>14109</x:v>
      </x:c>
      <x:c r="D741" s="10" t="s">
        <x:v>0</x:v>
      </x:c>
      <x:c r="E741" s="10" t="s">
        <x:v>42</x:v>
      </x:c>
      <x:c r="F741" s="10">
        <x:v>24</x:v>
      </x:c>
      <x:c r="G741" s="10">
        <x:v>99</x:v>
      </x:c>
      <x:c r="H741" s="22">
        <x:f t="shared" si="11"/>
        <x:v>10330.161120973738</x:v>
      </x:c>
      <x:c r="I741" s="22">
        <x:v>1022685.9509764001</x:v>
      </x:c>
      <x:c r="J741" s="10">
        <x:v>38</x:v>
      </x:c>
      <x:c r="K741" s="10">
        <x:v>12</x:v>
      </x:c>
    </x:row>
    <x:row r="742">
      <x:c r="A742" s="10" t="s">
        <x:v>60</x:v>
      </x:c>
      <x:c r="B742" s="10">
        <x:v>6987</x:v>
      </x:c>
      <x:c r="C742" s="10">
        <x:v>14110</x:v>
      </x:c>
      <x:c r="D742" s="10" t="s">
        <x:v>0</x:v>
      </x:c>
      <x:c r="E742" s="10" t="s">
        <x:v>42</x:v>
      </x:c>
      <x:c r="F742" s="10">
        <x:v>25</x:v>
      </x:c>
      <x:c r="G742" s="10">
        <x:v>97</x:v>
      </x:c>
      <x:c r="H742" s="22">
        <x:f t="shared" si="11"/>
        <x:v>10543.15413377732</x:v>
      </x:c>
      <x:c r="I742" s="22">
        <x:v>1022685.9509764001</x:v>
      </x:c>
      <x:c r="J742" s="10">
        <x:v>38</x:v>
      </x:c>
      <x:c r="K742" s="10">
        <x:v>13</x:v>
      </x:c>
    </x:row>
    <x:row r="743">
      <x:c r="A743" s="10" t="s">
        <x:v>60</x:v>
      </x:c>
      <x:c r="B743" s="10">
        <x:v>6994</x:v>
      </x:c>
      <x:c r="C743" s="10">
        <x:v>14111</x:v>
      </x:c>
      <x:c r="D743" s="10" t="s">
        <x:v>2</x:v>
      </x:c>
      <x:c r="E743" s="10" t="s">
        <x:v>2</x:v>
      </x:c>
      <x:c r="F743" s="10">
        <x:v>36</x:v>
      </x:c>
      <x:c r="G743" s="10">
        <x:v>203</x:v>
      </x:c>
      <x:c r="H743" s="22">
        <x:f t="shared" si="11"/>
        <x:v>10075.723654939409</x:v>
      </x:c>
      <x:c r="I743" s="22">
        <x:v>2045371.9019527</x:v>
      </x:c>
      <x:c r="J743" s="10">
        <x:v>38</x:v>
      </x:c>
      <x:c r="K743" s="10">
        <x:v>14</x:v>
      </x:c>
    </x:row>
    <x:row r="744">
      <x:c r="A744" s="10" t="s">
        <x:v>60</x:v>
      </x:c>
      <x:c r="B744" s="10">
        <x:v>6894</x:v>
      </x:c>
      <x:c r="C744" s="10">
        <x:v>14112</x:v>
      </x:c>
      <x:c r="D744" s="10" t="s">
        <x:v>0</x:v>
      </x:c>
      <x:c r="E744" s="10" t="s">
        <x:v>42</x:v>
      </x:c>
      <x:c r="F744" s="10">
        <x:v>20</x:v>
      </x:c>
      <x:c r="G744" s="10">
        <x:v>97</x:v>
      </x:c>
      <x:c r="H744" s="22">
        <x:f t="shared" si="11"/>
        <x:v>10543.15413377732</x:v>
      </x:c>
      <x:c r="I744" s="22">
        <x:v>1022685.9509764001</x:v>
      </x:c>
      <x:c r="J744" s="10">
        <x:v>38</x:v>
      </x:c>
      <x:c r="K744" s="10">
        <x:v>15</x:v>
      </x:c>
    </x:row>
    <x:row r="745">
      <x:c r="A745" s="10" t="s">
        <x:v>60</x:v>
      </x:c>
      <x:c r="B745" s="10">
        <x:v>6993</x:v>
      </x:c>
      <x:c r="C745" s="10">
        <x:v>14113</x:v>
      </x:c>
      <x:c r="D745" s="10" t="s">
        <x:v>2</x:v>
      </x:c>
      <x:c r="E745" s="10" t="s">
        <x:v>2</x:v>
      </x:c>
      <x:c r="F745" s="10">
        <x:v>35</x:v>
      </x:c>
      <x:c r="G745" s="10">
        <x:v>192</x:v>
      </x:c>
      <x:c r="H745" s="22">
        <x:f t="shared" si="11"/>
        <x:v>10652.978656003646</x:v>
      </x:c>
      <x:c r="I745" s="22">
        <x:v>2045371.9019527</x:v>
      </x:c>
      <x:c r="J745" s="10">
        <x:v>38</x:v>
      </x:c>
      <x:c r="K745" s="10">
        <x:v>16</x:v>
      </x:c>
    </x:row>
    <x:row r="746">
      <x:c r="A746" s="10" t="s">
        <x:v>60</x:v>
      </x:c>
      <x:c r="B746" s="10">
        <x:v>10658</x:v>
      </x:c>
      <x:c r="C746" s="10">
        <x:v>14114</x:v>
      </x:c>
      <x:c r="D746" s="10" t="s">
        <x:v>0</x:v>
      </x:c>
      <x:c r="E746" s="10" t="s">
        <x:v>22</x:v>
      </x:c>
      <x:c r="F746" s="10">
        <x:v>33</x:v>
      </x:c>
      <x:c r="G746" s="10">
        <x:v>192</x:v>
      </x:c>
      <x:c r="H746" s="22">
        <x:f t="shared" si="11"/>
        <x:v>8676.2941900312489</x:v>
      </x:c>
      <x:c r="I746" s="22">
        <x:v>1665848.4844859999</x:v>
      </x:c>
      <x:c r="J746" s="10">
        <x:v>38</x:v>
      </x:c>
      <x:c r="K746" s="10">
        <x:v>17</x:v>
      </x:c>
    </x:row>
    <x:row r="747">
      <x:c r="A747" s="10" t="s">
        <x:v>60</x:v>
      </x:c>
      <x:c r="B747" s="10">
        <x:v>10660</x:v>
      </x:c>
      <x:c r="C747" s="10">
        <x:v>14115</x:v>
      </x:c>
      <x:c r="D747" s="10" t="s">
        <x:v>0</x:v>
      </x:c>
      <x:c r="E747" s="10" t="s">
        <x:v>22</x:v>
      </x:c>
      <x:c r="F747" s="10">
        <x:v>36</x:v>
      </x:c>
      <x:c r="G747" s="10">
        <x:v>192</x:v>
      </x:c>
      <x:c r="H747" s="22">
        <x:f t="shared" si="11"/>
        <x:v>8676.2941900312489</x:v>
      </x:c>
      <x:c r="I747" s="22">
        <x:v>1665848.4844859999</x:v>
      </x:c>
      <x:c r="J747" s="10">
        <x:v>38</x:v>
      </x:c>
      <x:c r="K747" s="10">
        <x:v>18</x:v>
      </x:c>
    </x:row>
    <x:row r="748">
      <x:c r="A748" s="10" t="s">
        <x:v>60</x:v>
      </x:c>
      <x:c r="B748" s="10">
        <x:v>10803</x:v>
      </x:c>
      <x:c r="C748" s="10">
        <x:v>14116</x:v>
      </x:c>
      <x:c r="D748" s="10" t="s">
        <x:v>0</x:v>
      </x:c>
      <x:c r="E748" s="10" t="s">
        <x:v>22</x:v>
      </x:c>
      <x:c r="F748" s="10">
        <x:v>37</x:v>
      </x:c>
      <x:c r="G748" s="10">
        <x:v>193</x:v>
      </x:c>
      <x:c r="H748" s="22">
        <x:f t="shared" si="11"/>
        <x:v>8631.3392978549218</x:v>
      </x:c>
      <x:c r="I748" s="22">
        <x:v>1665848.4844859999</x:v>
      </x:c>
      <x:c r="J748" s="10">
        <x:v>38</x:v>
      </x:c>
      <x:c r="K748" s="10">
        <x:v>19</x:v>
      </x:c>
    </x:row>
    <x:row r="749">
      <x:c r="A749" s="10" t="s">
        <x:v>60</x:v>
      </x:c>
      <x:c r="B749" s="10">
        <x:v>10836</x:v>
      </x:c>
      <x:c r="C749" s="10">
        <x:v>14117</x:v>
      </x:c>
      <x:c r="D749" s="10" t="s">
        <x:v>0</x:v>
      </x:c>
      <x:c r="E749" s="10" t="s">
        <x:v>37</x:v>
      </x:c>
      <x:c r="F749" s="10">
        <x:v>67</x:v>
      </x:c>
      <x:c r="G749" s="10">
        <x:v>261</x:v>
      </x:c>
      <x:c r="H749" s="22">
        <x:f t="shared" si="11"/>
        <x:v>8137.7655851329491</x:v>
      </x:c>
      <x:c r="I749" s="22">
        <x:v>2123956.8177196998</x:v>
      </x:c>
      <x:c r="J749" s="10">
        <x:v>38</x:v>
      </x:c>
      <x:c r="K749" s="10">
        <x:v>20</x:v>
      </x:c>
    </x:row>
    <x:row r="750">
      <x:c r="A750" s="10" t="s">
        <x:v>60</x:v>
      </x:c>
      <x:c r="B750" s="10">
        <x:v>6729</x:v>
      </x:c>
      <x:c r="C750" s="10">
        <x:v>14118</x:v>
      </x:c>
      <x:c r="D750" s="10" t="s">
        <x:v>5</x:v>
      </x:c>
      <x:c r="E750" s="10" t="s">
        <x:v>56</x:v>
      </x:c>
      <x:c r="F750" s="10">
        <x:v>0</x:v>
      </x:c>
      <x:c r="G750" s="10">
        <x:v>223</x:v>
      </x:c>
      <x:c r="H750" s="22">
        <x:f t="shared" si="11"/>
        <x:v>2769.5067264573991</x:v>
      </x:c>
      <x:c r="I750" s="22">
        <x:v>617600</x:v>
      </x:c>
      <x:c r="J750" s="10">
        <x:v>39</x:v>
      </x:c>
      <x:c r="K750" s="10">
        <x:v>1</x:v>
      </x:c>
    </x:row>
    <x:row r="751">
      <x:c r="A751" s="10" t="s">
        <x:v>60</x:v>
      </x:c>
      <x:c r="B751" s="10">
        <x:v>9109</x:v>
      </x:c>
      <x:c r="C751" s="10">
        <x:v>14119</x:v>
      </x:c>
      <x:c r="D751" s="10" t="s">
        <x:v>10</x:v>
      </x:c>
      <x:c r="E751" s="10" t="s">
        <x:v>10</x:v>
      </x:c>
      <x:c r="F751" s="10">
        <x:v>0</x:v>
      </x:c>
      <x:c r="G751" s="10">
        <x:v>95</x:v>
      </x:c>
      <x:c r="H751" s="22">
        <x:f t="shared" si="11"/>
        <x:v>4000</x:v>
      </x:c>
      <x:c r="I751" s="22">
        <x:v>380000</x:v>
      </x:c>
      <x:c r="J751" s="10">
        <x:v>39</x:v>
      </x:c>
      <x:c r="K751" s="10">
        <x:v>2</x:v>
      </x:c>
    </x:row>
    <x:row r="752">
      <x:c r="A752" s="10" t="s">
        <x:v>60</x:v>
      </x:c>
      <x:c r="B752" s="10">
        <x:v>9110</x:v>
      </x:c>
      <x:c r="C752" s="10">
        <x:v>14120</x:v>
      </x:c>
      <x:c r="D752" s="10" t="s">
        <x:v>6</x:v>
      </x:c>
      <x:c r="E752" s="10" t="s">
        <x:v>6</x:v>
      </x:c>
      <x:c r="F752" s="10">
        <x:v>0</x:v>
      </x:c>
      <x:c r="G752" s="10">
        <x:v>99</x:v>
      </x:c>
      <x:c r="H752" s="22">
        <x:f t="shared" si="11"/>
        <x:v>7500</x:v>
      </x:c>
      <x:c r="I752" s="22">
        <x:v>742500</x:v>
      </x:c>
      <x:c r="J752" s="10">
        <x:v>39</x:v>
      </x:c>
      <x:c r="K752" s="10">
        <x:v>3</x:v>
      </x:c>
    </x:row>
    <x:row r="753">
      <x:c r="A753" s="10" t="s">
        <x:v>60</x:v>
      </x:c>
      <x:c r="B753" s="10">
        <x:v>9106</x:v>
      </x:c>
      <x:c r="C753" s="10">
        <x:v>14121</x:v>
      </x:c>
      <x:c r="D753" s="10" t="s">
        <x:v>6</x:v>
      </x:c>
      <x:c r="E753" s="10" t="s">
        <x:v>6</x:v>
      </x:c>
      <x:c r="F753" s="10">
        <x:v>0</x:v>
      </x:c>
      <x:c r="G753" s="10">
        <x:v>94</x:v>
      </x:c>
      <x:c r="H753" s="22">
        <x:f t="shared" si="11"/>
        <x:v>7500</x:v>
      </x:c>
      <x:c r="I753" s="22">
        <x:v>705000</x:v>
      </x:c>
      <x:c r="J753" s="10">
        <x:v>39</x:v>
      </x:c>
      <x:c r="K753" s="10">
        <x:v>4</x:v>
      </x:c>
    </x:row>
    <x:row r="754">
      <x:c r="A754" s="10" t="s">
        <x:v>60</x:v>
      </x:c>
      <x:c r="B754" s="10">
        <x:v>9100</x:v>
      </x:c>
      <x:c r="C754" s="10">
        <x:v>14122</x:v>
      </x:c>
      <x:c r="D754" s="10" t="s">
        <x:v>6</x:v>
      </x:c>
      <x:c r="E754" s="10" t="s">
        <x:v>6</x:v>
      </x:c>
      <x:c r="F754" s="10">
        <x:v>0</x:v>
      </x:c>
      <x:c r="G754" s="10">
        <x:v>115</x:v>
      </x:c>
      <x:c r="H754" s="22">
        <x:f t="shared" si="11"/>
        <x:v>7500</x:v>
      </x:c>
      <x:c r="I754" s="22">
        <x:v>862500</x:v>
      </x:c>
      <x:c r="J754" s="10">
        <x:v>39</x:v>
      </x:c>
      <x:c r="K754" s="10">
        <x:v>5</x:v>
      </x:c>
    </x:row>
    <x:row r="755">
      <x:c r="A755" s="10" t="s">
        <x:v>60</x:v>
      </x:c>
      <x:c r="B755" s="10">
        <x:v>10750</x:v>
      </x:c>
      <x:c r="C755" s="10">
        <x:v>14123</x:v>
      </x:c>
      <x:c r="D755" s="10" t="s">
        <x:v>10</x:v>
      </x:c>
      <x:c r="E755" s="10" t="s">
        <x:v>10</x:v>
      </x:c>
      <x:c r="F755" s="10">
        <x:v>0</x:v>
      </x:c>
      <x:c r="G755" s="10">
        <x:v>92</x:v>
      </x:c>
      <x:c r="H755" s="22">
        <x:f t="shared" si="11"/>
        <x:v>8676.2941900315218</x:v>
      </x:c>
      <x:c r="I755" s="22">
        <x:v>798219.06548290001</x:v>
      </x:c>
      <x:c r="J755" s="10">
        <x:v>39</x:v>
      </x:c>
      <x:c r="K755" s="10">
        <x:v>6</x:v>
      </x:c>
    </x:row>
    <x:row r="756">
      <x:c r="A756" s="10" t="s">
        <x:v>60</x:v>
      </x:c>
      <x:c r="B756" s="10">
        <x:v>10749</x:v>
      </x:c>
      <x:c r="C756" s="10">
        <x:v>14124</x:v>
      </x:c>
      <x:c r="D756" s="10" t="s">
        <x:v>10</x:v>
      </x:c>
      <x:c r="E756" s="10" t="s">
        <x:v>10</x:v>
      </x:c>
      <x:c r="F756" s="10">
        <x:v>0</x:v>
      </x:c>
      <x:c r="G756" s="10">
        <x:v>92</x:v>
      </x:c>
      <x:c r="H756" s="22">
        <x:f t="shared" si="11"/>
        <x:v>8676.2941900315218</x:v>
      </x:c>
      <x:c r="I756" s="22">
        <x:v>798219.06548290001</x:v>
      </x:c>
      <x:c r="J756" s="10">
        <x:v>39</x:v>
      </x:c>
      <x:c r="K756" s="10">
        <x:v>7</x:v>
      </x:c>
    </x:row>
    <x:row r="757">
      <x:c r="A757" s="10" t="s">
        <x:v>60</x:v>
      </x:c>
      <x:c r="B757" s="10">
        <x:v>10555</x:v>
      </x:c>
      <x:c r="C757" s="10">
        <x:v>14125</x:v>
      </x:c>
      <x:c r="D757" s="10" t="s">
        <x:v>6</x:v>
      </x:c>
      <x:c r="E757" s="10" t="s">
        <x:v>61</x:v>
      </x:c>
      <x:c r="F757" s="10">
        <x:v>0</x:v>
      </x:c>
      <x:c r="G757" s="10">
        <x:v>185</x:v>
      </x:c>
      <x:c r="H757" s="22">
        <x:f t="shared" si="11"/>
        <x:v>9004.5864026270265</x:v>
      </x:c>
      <x:c r="I757" s="22">
        <x:v>1665848.4844859999</x:v>
      </x:c>
      <x:c r="J757" s="10">
        <x:v>39</x:v>
      </x:c>
      <x:c r="K757" s="10">
        <x:v>8</x:v>
      </x:c>
    </x:row>
    <x:row r="758">
      <x:c r="A758" s="10" t="s">
        <x:v>60</x:v>
      </x:c>
      <x:c r="B758" s="10">
        <x:v>6963</x:v>
      </x:c>
      <x:c r="C758" s="10">
        <x:v>14126</x:v>
      </x:c>
      <x:c r="D758" s="10" t="s">
        <x:v>10</x:v>
      </x:c>
      <x:c r="E758" s="10" t="s">
        <x:v>10</x:v>
      </x:c>
      <x:c r="F758" s="10">
        <x:v>0</x:v>
      </x:c>
      <x:c r="G758" s="10">
        <x:v>96</x:v>
      </x:c>
      <x:c r="H758" s="22">
        <x:f t="shared" si="11"/>
        <x:v>10652.978656004167</x:v>
      </x:c>
      <x:c r="I758" s="22">
        <x:v>1022685.9509764001</x:v>
      </x:c>
      <x:c r="J758" s="10">
        <x:v>39</x:v>
      </x:c>
      <x:c r="K758" s="10">
        <x:v>9</x:v>
      </x:c>
    </x:row>
    <x:row r="759">
      <x:c r="A759" s="10" t="s">
        <x:v>60</x:v>
      </x:c>
      <x:c r="B759" s="10">
        <x:v>6728</x:v>
      </x:c>
      <x:c r="C759" s="10">
        <x:v>14127</x:v>
      </x:c>
      <x:c r="D759" s="10" t="s">
        <x:v>5</x:v>
      </x:c>
      <x:c r="E759" s="10" t="s">
        <x:v>56</x:v>
      </x:c>
      <x:c r="F759" s="10">
        <x:v>0</x:v>
      </x:c>
      <x:c r="G759" s="10">
        <x:v>221</x:v>
      </x:c>
      <x:c r="H759" s="22">
        <x:f t="shared" si="11"/>
        <x:v>2783.7104072398188</x:v>
      </x:c>
      <x:c r="I759" s="22">
        <x:v>615200</x:v>
      </x:c>
      <x:c r="J759" s="10">
        <x:v>39</x:v>
      </x:c>
      <x:c r="K759" s="10">
        <x:v>10</x:v>
      </x:c>
    </x:row>
    <x:row r="760">
      <x:c r="A760" s="10" t="s">
        <x:v>60</x:v>
      </x:c>
      <x:c r="B760" s="10">
        <x:v>10253</x:v>
      </x:c>
      <x:c r="C760" s="10">
        <x:v>14128</x:v>
      </x:c>
      <x:c r="D760" s="10" t="s">
        <x:v>7</x:v>
      </x:c>
      <x:c r="E760" s="10" t="s">
        <x:v>7</x:v>
      </x:c>
      <x:c r="F760" s="10">
        <x:v>0</x:v>
      </x:c>
      <x:c r="G760" s="10">
        <x:v>122</x:v>
      </x:c>
      <x:c r="H760" s="22">
        <x:f t="shared" si="11"/>
        <x:v>0</x:v>
      </x:c>
      <x:c r="I760" s="22">
        <x:v>0</x:v>
      </x:c>
      <x:c r="J760" s="10">
        <x:v>39</x:v>
      </x:c>
      <x:c r="K760" s="10">
        <x:v>11</x:v>
      </x:c>
    </x:row>
    <x:row r="761">
      <x:c r="A761" s="10" t="s">
        <x:v>60</x:v>
      </x:c>
      <x:c r="B761" s="10">
        <x:v>9168</x:v>
      </x:c>
      <x:c r="C761" s="10">
        <x:v>14129</x:v>
      </x:c>
      <x:c r="D761" s="10" t="s">
        <x:v>10</x:v>
      </x:c>
      <x:c r="E761" s="10" t="s">
        <x:v>10</x:v>
      </x:c>
      <x:c r="F761" s="10">
        <x:v>0</x:v>
      </x:c>
      <x:c r="G761" s="10">
        <x:v>95</x:v>
      </x:c>
      <x:c r="H761" s="22">
        <x:f t="shared" si="11"/>
        <x:v>4000</x:v>
      </x:c>
      <x:c r="I761" s="22">
        <x:v>380000</x:v>
      </x:c>
      <x:c r="J761" s="10">
        <x:v>39</x:v>
      </x:c>
      <x:c r="K761" s="10">
        <x:v>12</x:v>
      </x:c>
    </x:row>
    <x:row r="762">
      <x:c r="A762" s="10" t="s">
        <x:v>60</x:v>
      </x:c>
      <x:c r="B762" s="10">
        <x:v>10935</x:v>
      </x:c>
      <x:c r="C762" s="10">
        <x:v>14130</x:v>
      </x:c>
      <x:c r="D762" s="10" t="s">
        <x:v>8</x:v>
      </x:c>
      <x:c r="E762" s="10" t="s">
        <x:v>8</x:v>
      </x:c>
      <x:c r="F762" s="10">
        <x:v>0</x:v>
      </x:c>
      <x:c r="G762" s="10">
        <x:v>65</x:v>
      </x:c>
      <x:c r="H762" s="22">
        <x:f t="shared" si="11"/>
        <x:v>11635.455200902001</x:v>
      </x:c>
      <x:c r="I762" s="22">
        <x:v>756304.58805863</x:v>
      </x:c>
      <x:c r="J762" s="10">
        <x:v>39</x:v>
      </x:c>
      <x:c r="K762" s="10">
        <x:v>13</x:v>
      </x:c>
    </x:row>
    <x:row r="763">
      <x:c r="A763" s="10" t="s">
        <x:v>60</x:v>
      </x:c>
      <x:c r="B763" s="10">
        <x:v>10751</x:v>
      </x:c>
      <x:c r="C763" s="10">
        <x:v>14131</x:v>
      </x:c>
      <x:c r="D763" s="10" t="s">
        <x:v>5</x:v>
      </x:c>
      <x:c r="E763" s="10" t="s">
        <x:v>5</x:v>
      </x:c>
      <x:c r="F763" s="10">
        <x:v>0</x:v>
      </x:c>
      <x:c r="G763" s="10">
        <x:v>72</x:v>
      </x:c>
      <x:c r="H763" s="22">
        <x:f t="shared" si="11"/>
        <x:v>12544.944231049305</x:v>
      </x:c>
      <x:c r="I763" s="22">
        <x:v>903235.98463554995</x:v>
      </x:c>
      <x:c r="J763" s="10">
        <x:v>39</x:v>
      </x:c>
      <x:c r="K763" s="10">
        <x:v>14</x:v>
      </x:c>
    </x:row>
    <x:row r="764">
      <x:c r="A764" s="10" t="s">
        <x:v>60</x:v>
      </x:c>
      <x:c r="B764" s="10">
        <x:v>10565</x:v>
      </x:c>
      <x:c r="C764" s="10">
        <x:v>14132</x:v>
      </x:c>
      <x:c r="D764" s="10" t="s">
        <x:v>5</x:v>
      </x:c>
      <x:c r="E764" s="10" t="s">
        <x:v>5</x:v>
      </x:c>
      <x:c r="F764" s="10">
        <x:v>0</x:v>
      </x:c>
      <x:c r="G764" s="10">
        <x:v>104</x:v>
      </x:c>
      <x:c r="H764" s="22">
        <x:f t="shared" si="11"/>
        <x:v>8676.2941900315382</x:v>
      </x:c>
      <x:c r="I764" s="22">
        <x:v>902334.59576328006</x:v>
      </x:c>
      <x:c r="J764" s="10">
        <x:v>39</x:v>
      </x:c>
      <x:c r="K764" s="10">
        <x:v>15</x:v>
      </x:c>
    </x:row>
    <x:row r="765">
      <x:c r="A765" s="10" t="s">
        <x:v>60</x:v>
      </x:c>
      <x:c r="B765" s="10">
        <x:v>10566</x:v>
      </x:c>
      <x:c r="C765" s="10">
        <x:v>14133</x:v>
      </x:c>
      <x:c r="D765" s="10" t="s">
        <x:v>5</x:v>
      </x:c>
      <x:c r="E765" s="10" t="s">
        <x:v>5</x:v>
      </x:c>
      <x:c r="F765" s="10">
        <x:v>0</x:v>
      </x:c>
      <x:c r="G765" s="10">
        <x:v>163</x:v>
      </x:c>
      <x:c r="H765" s="22">
        <x:f t="shared" si="11"/>
        <x:v>8382.8654626073621</x:v>
      </x:c>
      <x:c r="I765" s="22">
        <x:v>1366407.0704049999</x:v>
      </x:c>
      <x:c r="J765" s="10">
        <x:v>39</x:v>
      </x:c>
      <x:c r="K765" s="10">
        <x:v>16</x:v>
      </x:c>
    </x:row>
    <x:row r="766">
      <x:c r="A766" s="10" t="s">
        <x:v>60</x:v>
      </x:c>
      <x:c r="B766" s="10">
        <x:v>10251</x:v>
      </x:c>
      <x:c r="C766" s="10">
        <x:v>14134</x:v>
      </x:c>
      <x:c r="D766" s="10" t="s">
        <x:v>8</x:v>
      </x:c>
      <x:c r="E766" s="10" t="s">
        <x:v>8</x:v>
      </x:c>
      <x:c r="F766" s="10">
        <x:v>0</x:v>
      </x:c>
      <x:c r="G766" s="10">
        <x:v>107</x:v>
      </x:c>
      <x:c r="H766" s="22">
        <x:f t="shared" si="11"/>
        <x:v>4000</x:v>
      </x:c>
      <x:c r="I766" s="22">
        <x:v>428000</x:v>
      </x:c>
      <x:c r="J766" s="10">
        <x:v>39</x:v>
      </x:c>
      <x:c r="K766" s="10">
        <x:v>17</x:v>
      </x:c>
    </x:row>
    <x:row r="767">
      <x:c r="A767" s="10" t="s">
        <x:v>60</x:v>
      </x:c>
      <x:c r="B767" s="10">
        <x:v>6960</x:v>
      </x:c>
      <x:c r="C767" s="10">
        <x:v>14135</x:v>
      </x:c>
      <x:c r="D767" s="10" t="s">
        <x:v>10</x:v>
      </x:c>
      <x:c r="E767" s="10" t="s">
        <x:v>10</x:v>
      </x:c>
      <x:c r="F767" s="10">
        <x:v>0</x:v>
      </x:c>
      <x:c r="G767" s="10">
        <x:v>150</x:v>
      </x:c>
      <x:c r="H767" s="22">
        <x:f t="shared" si="11"/>
        <x:v>11113.177233070666</x:v>
      </x:c>
      <x:c r="I767" s="22">
        <x:v>1666976.5849605999</x:v>
      </x:c>
      <x:c r="J767" s="10">
        <x:v>39</x:v>
      </x:c>
      <x:c r="K767" s="10">
        <x:v>18</x:v>
      </x:c>
    </x:row>
    <x:row r="768">
      <x:c r="A768" s="10" t="s">
        <x:v>60</x:v>
      </x:c>
      <x:c r="B768" s="10">
        <x:v>9051</x:v>
      </x:c>
      <x:c r="C768" s="10">
        <x:v>14136</x:v>
      </x:c>
      <x:c r="D768" s="10" t="s">
        <x:v>6</x:v>
      </x:c>
      <x:c r="E768" s="10" t="s">
        <x:v>6</x:v>
      </x:c>
      <x:c r="F768" s="10">
        <x:v>0</x:v>
      </x:c>
      <x:c r="G768" s="10">
        <x:v>95</x:v>
      </x:c>
      <x:c r="H768" s="22">
        <x:f t="shared" si="11"/>
        <x:v>7500</x:v>
      </x:c>
      <x:c r="I768" s="22">
        <x:v>712500</x:v>
      </x:c>
      <x:c r="J768" s="10">
        <x:v>39</x:v>
      </x:c>
      <x:c r="K768" s="10">
        <x:v>19</x:v>
      </x:c>
    </x:row>
    <x:row r="769">
      <x:c r="A769" s="10" t="s">
        <x:v>60</x:v>
      </x:c>
      <x:c r="B769" s="10">
        <x:v>9052</x:v>
      </x:c>
      <x:c r="C769" s="10">
        <x:v>14137</x:v>
      </x:c>
      <x:c r="D769" s="10" t="s">
        <x:v>6</x:v>
      </x:c>
      <x:c r="E769" s="10" t="s">
        <x:v>6</x:v>
      </x:c>
      <x:c r="F769" s="10">
        <x:v>0</x:v>
      </x:c>
      <x:c r="G769" s="10">
        <x:v>166</x:v>
      </x:c>
      <x:c r="H769" s="22">
        <x:f t="shared" si="11"/>
        <x:v>7500</x:v>
      </x:c>
      <x:c r="I769" s="22">
        <x:v>1245000</x:v>
      </x:c>
      <x:c r="J769" s="10">
        <x:v>39</x:v>
      </x:c>
      <x:c r="K769" s="10">
        <x:v>20</x:v>
      </x:c>
    </x:row>
    <x:row r="770">
      <x:c r="A770" s="10" t="s">
        <x:v>60</x:v>
      </x:c>
      <x:c r="B770" s="10">
        <x:v>9208</x:v>
      </x:c>
      <x:c r="C770" s="10">
        <x:v>14138</x:v>
      </x:c>
      <x:c r="D770" s="10" t="s">
        <x:v>0</x:v>
      </x:c>
      <x:c r="E770" s="10" t="s">
        <x:v>0</x:v>
      </x:c>
      <x:c r="F770" s="10">
        <x:v>15</x:v>
      </x:c>
      <x:c r="G770" s="10">
        <x:v>101</x:v>
      </x:c>
      <x:c r="H770" s="22">
        <x:f t="shared" si="11"/>
        <x:v>13000</x:v>
      </x:c>
      <x:c r="I770" s="22">
        <x:v>1313000</x:v>
      </x:c>
      <x:c r="J770" s="10">
        <x:v>40</x:v>
      </x:c>
      <x:c r="K770" s="10">
        <x:v>1</x:v>
      </x:c>
    </x:row>
    <x:row r="771">
      <x:c r="A771" s="10" t="s">
        <x:v>60</x:v>
      </x:c>
      <x:c r="B771" s="10">
        <x:v>6909</x:v>
      </x:c>
      <x:c r="C771" s="10">
        <x:v>14139</x:v>
      </x:c>
      <x:c r="D771" s="10" t="s">
        <x:v>0</x:v>
      </x:c>
      <x:c r="E771" s="10" t="s">
        <x:v>23</x:v>
      </x:c>
      <x:c r="F771" s="10">
        <x:v>35</x:v>
      </x:c>
      <x:c r="G771" s="10">
        <x:v>203</x:v>
      </x:c>
      <x:c r="H771" s="22" t="n">
        <x:f t="shared" ref="H771:H834" si="12">I771/G771</x:f>
        <x:v>9780.157152476355</x:v>
      </x:c>
      <x:c r="I771" s="22">
        <x:v>1985371.9019527</x:v>
      </x:c>
      <x:c r="J771" s="10">
        <x:v>40</x:v>
      </x:c>
      <x:c r="K771" s="10">
        <x:v>2</x:v>
      </x:c>
    </x:row>
    <x:row r="772">
      <x:c r="A772" s="10" t="s">
        <x:v>60</x:v>
      </x:c>
      <x:c r="B772" s="10">
        <x:v>10787</x:v>
      </x:c>
      <x:c r="C772" s="10">
        <x:v>14140</x:v>
      </x:c>
      <x:c r="D772" s="10" t="s">
        <x:v>0</x:v>
      </x:c>
      <x:c r="E772" s="10" t="s">
        <x:v>32</x:v>
      </x:c>
      <x:c r="F772" s="10">
        <x:v>31</x:v>
      </x:c>
      <x:c r="G772" s="10">
        <x:v>192</x:v>
      </x:c>
      <x:c r="H772" s="22">
        <x:f t="shared" si="12"/>
        <x:v>8676.2941900312489</x:v>
      </x:c>
      <x:c r="I772" s="22">
        <x:v>1665848.4844859999</x:v>
      </x:c>
      <x:c r="J772" s="10">
        <x:v>40</x:v>
      </x:c>
      <x:c r="K772" s="10">
        <x:v>3</x:v>
      </x:c>
    </x:row>
    <x:row r="773">
      <x:c r="A773" s="10" t="s">
        <x:v>60</x:v>
      </x:c>
      <x:c r="B773" s="10">
        <x:v>10797</x:v>
      </x:c>
      <x:c r="C773" s="10">
        <x:v>14141</x:v>
      </x:c>
      <x:c r="D773" s="10" t="s">
        <x:v>0</x:v>
      </x:c>
      <x:c r="E773" s="10" t="s">
        <x:v>32</x:v>
      </x:c>
      <x:c r="F773" s="10">
        <x:v>31</x:v>
      </x:c>
      <x:c r="G773" s="10">
        <x:v>196</x:v>
      </x:c>
      <x:c r="H773" s="22">
        <x:f t="shared" si="12"/>
        <x:v>8499.2269616632657</x:v>
      </x:c>
      <x:c r="I773" s="22">
        <x:v>1665848.4844859999</x:v>
      </x:c>
      <x:c r="J773" s="10">
        <x:v>40</x:v>
      </x:c>
      <x:c r="K773" s="10">
        <x:v>4</x:v>
      </x:c>
    </x:row>
    <x:row r="774">
      <x:c r="A774" s="10" t="s">
        <x:v>60</x:v>
      </x:c>
      <x:c r="B774" s="10">
        <x:v>10783</x:v>
      </x:c>
      <x:c r="C774" s="10">
        <x:v>14142</x:v>
      </x:c>
      <x:c r="D774" s="10" t="s">
        <x:v>0</x:v>
      </x:c>
      <x:c r="E774" s="10" t="s">
        <x:v>32</x:v>
      </x:c>
      <x:c r="F774" s="10">
        <x:v>29</x:v>
      </x:c>
      <x:c r="G774" s="10">
        <x:v>140</x:v>
      </x:c>
      <x:c r="H774" s="22">
        <x:f t="shared" si="12"/>
        <x:v>8626.7153660885706</x:v>
      </x:c>
      <x:c r="I774" s="22">
        <x:v>1207740.1512523999</x:v>
      </x:c>
      <x:c r="J774" s="10">
        <x:v>40</x:v>
      </x:c>
      <x:c r="K774" s="10">
        <x:v>5</x:v>
      </x:c>
    </x:row>
    <x:row r="775">
      <x:c r="A775" s="10" t="s">
        <x:v>60</x:v>
      </x:c>
      <x:c r="B775" s="10">
        <x:v>10759</x:v>
      </x:c>
      <x:c r="C775" s="10">
        <x:v>14143</x:v>
      </x:c>
      <x:c r="D775" s="10" t="s">
        <x:v>0</x:v>
      </x:c>
      <x:c r="E775" s="10" t="s">
        <x:v>37</x:v>
      </x:c>
      <x:c r="F775" s="10">
        <x:v>50</x:v>
      </x:c>
      <x:c r="G775" s="10">
        <x:v>192</x:v>
      </x:c>
      <x:c r="H775" s="22">
        <x:f t="shared" si="12"/>
        <x:v>8676.2941900312489</x:v>
      </x:c>
      <x:c r="I775" s="22">
        <x:v>1665848.4844859999</x:v>
      </x:c>
      <x:c r="J775" s="10">
        <x:v>40</x:v>
      </x:c>
      <x:c r="K775" s="10">
        <x:v>6</x:v>
      </x:c>
    </x:row>
    <x:row r="776">
      <x:c r="A776" s="10" t="s">
        <x:v>60</x:v>
      </x:c>
      <x:c r="B776" s="10">
        <x:v>10657</x:v>
      </x:c>
      <x:c r="C776" s="10">
        <x:v>14144</x:v>
      </x:c>
      <x:c r="D776" s="10" t="s">
        <x:v>0</x:v>
      </x:c>
      <x:c r="E776" s="10" t="s">
        <x:v>22</x:v>
      </x:c>
      <x:c r="F776" s="10">
        <x:v>33</x:v>
      </x:c>
      <x:c r="G776" s="10">
        <x:v>192</x:v>
      </x:c>
      <x:c r="H776" s="22">
        <x:f t="shared" si="12"/>
        <x:v>8676.2941900312489</x:v>
      </x:c>
      <x:c r="I776" s="22">
        <x:v>1665848.4844859999</x:v>
      </x:c>
      <x:c r="J776" s="10">
        <x:v>40</x:v>
      </x:c>
      <x:c r="K776" s="10">
        <x:v>7</x:v>
      </x:c>
    </x:row>
    <x:row r="777">
      <x:c r="A777" s="10" t="s">
        <x:v>60</x:v>
      </x:c>
      <x:c r="B777" s="10">
        <x:v>10752</x:v>
      </x:c>
      <x:c r="C777" s="10">
        <x:v>14145</x:v>
      </x:c>
      <x:c r="D777" s="10" t="s">
        <x:v>0</x:v>
      </x:c>
      <x:c r="E777" s="10" t="s">
        <x:v>37</x:v>
      </x:c>
      <x:c r="F777" s="10">
        <x:v>48</x:v>
      </x:c>
      <x:c r="G777" s="10">
        <x:v>192</x:v>
      </x:c>
      <x:c r="H777" s="22">
        <x:f t="shared" si="12"/>
        <x:v>8676.2941900312489</x:v>
      </x:c>
      <x:c r="I777" s="22">
        <x:v>1665848.4844859999</x:v>
      </x:c>
      <x:c r="J777" s="10">
        <x:v>40</x:v>
      </x:c>
      <x:c r="K777" s="10">
        <x:v>8</x:v>
      </x:c>
    </x:row>
    <x:row r="778">
      <x:c r="A778" s="10" t="s">
        <x:v>60</x:v>
      </x:c>
      <x:c r="B778" s="10">
        <x:v>10626</x:v>
      </x:c>
      <x:c r="C778" s="10">
        <x:v>14146</x:v>
      </x:c>
      <x:c r="D778" s="10" t="s">
        <x:v>0</x:v>
      </x:c>
      <x:c r="E778" s="10" t="s">
        <x:v>22</x:v>
      </x:c>
      <x:c r="F778" s="10">
        <x:v>37</x:v>
      </x:c>
      <x:c r="G778" s="10">
        <x:v>180</x:v>
      </x:c>
      <x:c r="H778" s="22">
        <x:f t="shared" si="12"/>
        <x:v>9254.7138027000001</x:v>
      </x:c>
      <x:c r="I778" s="22">
        <x:v>1665848.4844859999</x:v>
      </x:c>
      <x:c r="J778" s="10">
        <x:v>40</x:v>
      </x:c>
      <x:c r="K778" s="10">
        <x:v>9</x:v>
      </x:c>
    </x:row>
    <x:row r="779">
      <x:c r="A779" s="10" t="s">
        <x:v>60</x:v>
      </x:c>
      <x:c r="B779" s="10">
        <x:v>10551</x:v>
      </x:c>
      <x:c r="C779" s="10">
        <x:v>14147</x:v>
      </x:c>
      <x:c r="D779" s="10" t="s">
        <x:v>0</x:v>
      </x:c>
      <x:c r="E779" s="10" t="s">
        <x:v>68</x:v>
      </x:c>
      <x:c r="F779" s="10">
        <x:v>47</x:v>
      </x:c>
      <x:c r="G779" s="10">
        <x:v>194</x:v>
      </x:c>
      <x:c r="H779" s="22">
        <x:f t="shared" si="12"/>
        <x:v>8586.847858175257</x:v>
      </x:c>
      <x:c r="I779" s="22">
        <x:v>1665848.4844859999</x:v>
      </x:c>
      <x:c r="J779" s="10">
        <x:v>40</x:v>
      </x:c>
      <x:c r="K779" s="10">
        <x:v>10</x:v>
      </x:c>
    </x:row>
    <x:row r="780">
      <x:c r="A780" s="10" t="s">
        <x:v>60</x:v>
      </x:c>
      <x:c r="B780" s="10">
        <x:v>10545</x:v>
      </x:c>
      <x:c r="C780" s="10">
        <x:v>14148</x:v>
      </x:c>
      <x:c r="D780" s="10" t="s">
        <x:v>0</x:v>
      </x:c>
      <x:c r="E780" s="10" t="s">
        <x:v>68</x:v>
      </x:c>
      <x:c r="F780" s="10">
        <x:v>44</x:v>
      </x:c>
      <x:c r="G780" s="10">
        <x:v>193</x:v>
      </x:c>
      <x:c r="H780" s="22">
        <x:f t="shared" si="12"/>
        <x:v>8631.3392978549218</x:v>
      </x:c>
      <x:c r="I780" s="22">
        <x:v>1665848.4844859999</x:v>
      </x:c>
      <x:c r="J780" s="10">
        <x:v>40</x:v>
      </x:c>
      <x:c r="K780" s="10">
        <x:v>11</x:v>
      </x:c>
    </x:row>
    <x:row r="781">
      <x:c r="A781" s="10" t="s">
        <x:v>60</x:v>
      </x:c>
      <x:c r="B781" s="10">
        <x:v>10542</x:v>
      </x:c>
      <x:c r="C781" s="10">
        <x:v>14149</x:v>
      </x:c>
      <x:c r="D781" s="10" t="s">
        <x:v>0</x:v>
      </x:c>
      <x:c r="E781" s="10" t="s">
        <x:v>68</x:v>
      </x:c>
      <x:c r="F781" s="10">
        <x:v>35</x:v>
      </x:c>
      <x:c r="G781" s="10">
        <x:v>143</x:v>
      </x:c>
      <x:c r="H781" s="22">
        <x:f t="shared" si="12"/>
        <x:v>8591.3514497097894</x:v>
      </x:c>
      <x:c r="I781" s="22">
        <x:v>1228563.2573084999</x:v>
      </x:c>
      <x:c r="J781" s="10">
        <x:v>40</x:v>
      </x:c>
      <x:c r="K781" s="10">
        <x:v>12</x:v>
      </x:c>
    </x:row>
    <x:row r="782">
      <x:c r="A782" s="10" t="s">
        <x:v>60</x:v>
      </x:c>
      <x:c r="B782" s="10">
        <x:v>10550</x:v>
      </x:c>
      <x:c r="C782" s="10">
        <x:v>14150</x:v>
      </x:c>
      <x:c r="D782" s="10" t="s">
        <x:v>0</x:v>
      </x:c>
      <x:c r="E782" s="10" t="s">
        <x:v>68</x:v>
      </x:c>
      <x:c r="F782" s="10">
        <x:v>47</x:v>
      </x:c>
      <x:c r="G782" s="10">
        <x:v>196</x:v>
      </x:c>
      <x:c r="H782" s="22">
        <x:f t="shared" si="12"/>
        <x:v>8499.2269616632657</x:v>
      </x:c>
      <x:c r="I782" s="22">
        <x:v>1665848.4844859999</x:v>
      </x:c>
      <x:c r="J782" s="10">
        <x:v>40</x:v>
      </x:c>
      <x:c r="K782" s="10">
        <x:v>13</x:v>
      </x:c>
    </x:row>
    <x:row r="783">
      <x:c r="A783" s="10" t="s">
        <x:v>60</x:v>
      </x:c>
      <x:c r="B783" s="10">
        <x:v>10629</x:v>
      </x:c>
      <x:c r="C783" s="10">
        <x:v>14151</x:v>
      </x:c>
      <x:c r="D783" s="10" t="s">
        <x:v>0</x:v>
      </x:c>
      <x:c r="E783" s="10" t="s">
        <x:v>22</x:v>
      </x:c>
      <x:c r="F783" s="10">
        <x:v>46</x:v>
      </x:c>
      <x:c r="G783" s="10">
        <x:v>223</x:v>
      </x:c>
      <x:c r="H783" s="22">
        <x:f t="shared" si="12"/>
        <x:v>8403.9441481919293</x:v>
      </x:c>
      <x:c r="I783" s="22">
        <x:v>1874079.5450468</x:v>
      </x:c>
      <x:c r="J783" s="10">
        <x:v>40</x:v>
      </x:c>
      <x:c r="K783" s="10">
        <x:v>14</x:v>
      </x:c>
    </x:row>
    <x:row r="784">
      <x:c r="A784" s="10" t="s">
        <x:v>60</x:v>
      </x:c>
      <x:c r="B784" s="10">
        <x:v>10547</x:v>
      </x:c>
      <x:c r="C784" s="10">
        <x:v>14152</x:v>
      </x:c>
      <x:c r="D784" s="10" t="s">
        <x:v>0</x:v>
      </x:c>
      <x:c r="E784" s="10" t="s">
        <x:v>68</x:v>
      </x:c>
      <x:c r="F784" s="10">
        <x:v>42</x:v>
      </x:c>
      <x:c r="G784" s="10">
        <x:v>193</x:v>
      </x:c>
      <x:c r="H784" s="22">
        <x:f t="shared" si="12"/>
        <x:v>8631.3392978549218</x:v>
      </x:c>
      <x:c r="I784" s="22">
        <x:v>1665848.4844859999</x:v>
      </x:c>
      <x:c r="J784" s="10">
        <x:v>40</x:v>
      </x:c>
      <x:c r="K784" s="10">
        <x:v>15</x:v>
      </x:c>
    </x:row>
    <x:row r="785">
      <x:c r="A785" s="10" t="s">
        <x:v>60</x:v>
      </x:c>
      <x:c r="B785" s="10">
        <x:v>10553</x:v>
      </x:c>
      <x:c r="C785" s="10">
        <x:v>14153</x:v>
      </x:c>
      <x:c r="D785" s="10" t="s">
        <x:v>0</x:v>
      </x:c>
      <x:c r="E785" s="10" t="s">
        <x:v>68</x:v>
      </x:c>
      <x:c r="F785" s="10">
        <x:v>47</x:v>
      </x:c>
      <x:c r="G785" s="10">
        <x:v>192</x:v>
      </x:c>
      <x:c r="H785" s="22">
        <x:f t="shared" si="12"/>
        <x:v>8676.2941900312489</x:v>
      </x:c>
      <x:c r="I785" s="22">
        <x:v>1665848.4844859999</x:v>
      </x:c>
      <x:c r="J785" s="10">
        <x:v>40</x:v>
      </x:c>
      <x:c r="K785" s="10">
        <x:v>16</x:v>
      </x:c>
    </x:row>
    <x:row r="786">
      <x:c r="A786" s="10" t="s">
        <x:v>60</x:v>
      </x:c>
      <x:c r="B786" s="10">
        <x:v>10627</x:v>
      </x:c>
      <x:c r="C786" s="10">
        <x:v>14154</x:v>
      </x:c>
      <x:c r="D786" s="10" t="s">
        <x:v>0</x:v>
      </x:c>
      <x:c r="E786" s="10" t="s">
        <x:v>22</x:v>
      </x:c>
      <x:c r="F786" s="10">
        <x:v>37</x:v>
      </x:c>
      <x:c r="G786" s="10">
        <x:v>188</x:v>
      </x:c>
      <x:c r="H786" s="22">
        <x:f t="shared" si="12"/>
        <x:v>8860.8961940744684</x:v>
      </x:c>
      <x:c r="I786" s="22">
        <x:v>1665848.4844859999</x:v>
      </x:c>
      <x:c r="J786" s="10">
        <x:v>40</x:v>
      </x:c>
      <x:c r="K786" s="10">
        <x:v>17</x:v>
      </x:c>
    </x:row>
    <x:row r="787">
      <x:c r="A787" s="10" t="s">
        <x:v>60</x:v>
      </x:c>
      <x:c r="B787" s="10">
        <x:v>10539</x:v>
      </x:c>
      <x:c r="C787" s="10">
        <x:v>14155</x:v>
      </x:c>
      <x:c r="D787" s="10" t="s">
        <x:v>0</x:v>
      </x:c>
      <x:c r="E787" s="10" t="s">
        <x:v>67</x:v>
      </x:c>
      <x:c r="F787" s="10">
        <x:v>33</x:v>
      </x:c>
      <x:c r="G787" s="10">
        <x:v>190</x:v>
      </x:c>
      <x:c r="H787" s="22">
        <x:f t="shared" si="12"/>
        <x:v>8767.6236025578946</x:v>
      </x:c>
      <x:c r="I787" s="22">
        <x:v>1665848.4844859999</x:v>
      </x:c>
      <x:c r="J787" s="10">
        <x:v>40</x:v>
      </x:c>
      <x:c r="K787" s="10">
        <x:v>18</x:v>
      </x:c>
    </x:row>
    <x:row r="788">
      <x:c r="A788" s="10" t="s">
        <x:v>60</x:v>
      </x:c>
      <x:c r="B788" s="10">
        <x:v>10622</x:v>
      </x:c>
      <x:c r="C788" s="10">
        <x:v>14156</x:v>
      </x:c>
      <x:c r="D788" s="10" t="s">
        <x:v>0</x:v>
      </x:c>
      <x:c r="E788" s="10" t="s">
        <x:v>22</x:v>
      </x:c>
      <x:c r="F788" s="10">
        <x:v>37</x:v>
      </x:c>
      <x:c r="G788" s="10">
        <x:v>193</x:v>
      </x:c>
      <x:c r="H788" s="22">
        <x:f t="shared" si="12"/>
        <x:v>8605.432562103626</x:v>
      </x:c>
      <x:c r="I788" s="22">
        <x:v>1660848.4844859999</x:v>
      </x:c>
      <x:c r="J788" s="10">
        <x:v>40</x:v>
      </x:c>
      <x:c r="K788" s="10">
        <x:v>19</x:v>
      </x:c>
    </x:row>
    <x:row r="789">
      <x:c r="A789" s="10" t="s">
        <x:v>60</x:v>
      </x:c>
      <x:c r="B789" s="10">
        <x:v>10549</x:v>
      </x:c>
      <x:c r="C789" s="10">
        <x:v>14157</x:v>
      </x:c>
      <x:c r="D789" s="10" t="s">
        <x:v>0</x:v>
      </x:c>
      <x:c r="E789" s="10" t="s">
        <x:v>68</x:v>
      </x:c>
      <x:c r="F789" s="10">
        <x:v>48</x:v>
      </x:c>
      <x:c r="G789" s="10">
        <x:v>192</x:v>
      </x:c>
      <x:c r="H789" s="22">
        <x:f t="shared" si="12"/>
        <x:v>8676.2941900312489</x:v>
      </x:c>
      <x:c r="I789" s="22">
        <x:v>1665848.4844859999</x:v>
      </x:c>
      <x:c r="J789" s="10">
        <x:v>40</x:v>
      </x:c>
      <x:c r="K789" s="10">
        <x:v>20</x:v>
      </x:c>
    </x:row>
    <x:row r="790">
      <x:c r="A790" s="10" t="s">
        <x:v>60</x:v>
      </x:c>
      <x:c r="B790" s="10">
        <x:v>10813</x:v>
      </x:c>
      <x:c r="C790" s="10">
        <x:v>14158</x:v>
      </x:c>
      <x:c r="D790" s="10" t="s">
        <x:v>0</x:v>
      </x:c>
      <x:c r="E790" s="10" t="s">
        <x:v>22</x:v>
      </x:c>
      <x:c r="F790" s="10">
        <x:v>36</x:v>
      </x:c>
      <x:c r="G790" s="10">
        <x:v>193</x:v>
      </x:c>
      <x:c r="H790" s="22">
        <x:f t="shared" si="12"/>
        <x:v>8631.3392978549218</x:v>
      </x:c>
      <x:c r="I790" s="22">
        <x:v>1665848.4844859999</x:v>
      </x:c>
      <x:c r="J790" s="10">
        <x:v>41</x:v>
      </x:c>
      <x:c r="K790" s="10">
        <x:v>1</x:v>
      </x:c>
    </x:row>
    <x:row r="791">
      <x:c r="A791" s="10" t="s">
        <x:v>60</x:v>
      </x:c>
      <x:c r="B791" s="10">
        <x:v>10832</x:v>
      </x:c>
      <x:c r="C791" s="10">
        <x:v>14159</x:v>
      </x:c>
      <x:c r="D791" s="10" t="s">
        <x:v>0</x:v>
      </x:c>
      <x:c r="E791" s="10" t="s">
        <x:v>37</x:v>
      </x:c>
      <x:c r="F791" s="10">
        <x:v>44</x:v>
      </x:c>
      <x:c r="G791" s="10">
        <x:v>192</x:v>
      </x:c>
      <x:c r="H791" s="22">
        <x:f t="shared" si="12"/>
        <x:v>8676.2941900312489</x:v>
      </x:c>
      <x:c r="I791" s="22">
        <x:v>1665848.4844859999</x:v>
      </x:c>
      <x:c r="J791" s="10">
        <x:v>41</x:v>
      </x:c>
      <x:c r="K791" s="10">
        <x:v>2</x:v>
      </x:c>
    </x:row>
    <x:row r="792">
      <x:c r="A792" s="10" t="s">
        <x:v>60</x:v>
      </x:c>
      <x:c r="B792" s="10">
        <x:v>10885</x:v>
      </x:c>
      <x:c r="C792" s="10">
        <x:v>14160</x:v>
      </x:c>
      <x:c r="D792" s="10" t="s">
        <x:v>1</x:v>
      </x:c>
      <x:c r="E792" s="10" t="s">
        <x:v>39</x:v>
      </x:c>
      <x:c r="F792" s="10">
        <x:v>39</x:v>
      </x:c>
      <x:c r="G792" s="10">
        <x:v>192</x:v>
      </x:c>
      <x:c r="H792" s="22">
        <x:f t="shared" si="12"/>
        <x:v>8676.2941900312489</x:v>
      </x:c>
      <x:c r="I792" s="22">
        <x:v>1665848.4844859999</x:v>
      </x:c>
      <x:c r="J792" s="10">
        <x:v>41</x:v>
      </x:c>
      <x:c r="K792" s="10">
        <x:v>3</x:v>
      </x:c>
    </x:row>
    <x:row r="793">
      <x:c r="A793" s="10" t="s">
        <x:v>60</x:v>
      </x:c>
      <x:c r="B793" s="10">
        <x:v>6990</x:v>
      </x:c>
      <x:c r="C793" s="10">
        <x:v>14161</x:v>
      </x:c>
      <x:c r="D793" s="10" t="s">
        <x:v>2</x:v>
      </x:c>
      <x:c r="E793" s="10" t="s">
        <x:v>2</x:v>
      </x:c>
      <x:c r="F793" s="10">
        <x:v>36</x:v>
      </x:c>
      <x:c r="G793" s="10">
        <x:v>192</x:v>
      </x:c>
      <x:c r="H793" s="22">
        <x:f t="shared" si="12"/>
        <x:v>10652.978656003646</x:v>
      </x:c>
      <x:c r="I793" s="22">
        <x:v>2045371.9019527</x:v>
      </x:c>
      <x:c r="J793" s="10">
        <x:v>41</x:v>
      </x:c>
      <x:c r="K793" s="10">
        <x:v>4</x:v>
      </x:c>
    </x:row>
    <x:row r="794">
      <x:c r="A794" s="10" t="s">
        <x:v>60</x:v>
      </x:c>
      <x:c r="B794" s="10">
        <x:v>6984</x:v>
      </x:c>
      <x:c r="C794" s="10">
        <x:v>14162</x:v>
      </x:c>
      <x:c r="D794" s="10" t="s">
        <x:v>0</x:v>
      </x:c>
      <x:c r="E794" s="10" t="s">
        <x:v>42</x:v>
      </x:c>
      <x:c r="F794" s="10">
        <x:v>23</x:v>
      </x:c>
      <x:c r="G794" s="10">
        <x:v>96</x:v>
      </x:c>
      <x:c r="H794" s="22">
        <x:f t="shared" si="12"/>
        <x:v>10652.978656004167</x:v>
      </x:c>
      <x:c r="I794" s="22">
        <x:v>1022685.9509764001</x:v>
      </x:c>
      <x:c r="J794" s="10">
        <x:v>41</x:v>
      </x:c>
      <x:c r="K794" s="10">
        <x:v>5</x:v>
      </x:c>
    </x:row>
    <x:row r="795">
      <x:c r="A795" s="10" t="s">
        <x:v>60</x:v>
      </x:c>
      <x:c r="B795" s="10">
        <x:v>10757</x:v>
      </x:c>
      <x:c r="C795" s="10">
        <x:v>14163</x:v>
      </x:c>
      <x:c r="D795" s="10" t="s">
        <x:v>0</x:v>
      </x:c>
      <x:c r="E795" s="10" t="s">
        <x:v>37</x:v>
      </x:c>
      <x:c r="F795" s="10">
        <x:v>44</x:v>
      </x:c>
      <x:c r="G795" s="10">
        <x:v>193</x:v>
      </x:c>
      <x:c r="H795" s="22">
        <x:f t="shared" si="12"/>
        <x:v>8605.432562103626</x:v>
      </x:c>
      <x:c r="I795" s="22">
        <x:v>1660848.4844859999</x:v>
      </x:c>
      <x:c r="J795" s="10">
        <x:v>41</x:v>
      </x:c>
      <x:c r="K795" s="10">
        <x:v>6</x:v>
      </x:c>
    </x:row>
    <x:row r="796">
      <x:c r="A796" s="10" t="s">
        <x:v>60</x:v>
      </x:c>
      <x:c r="B796" s="10">
        <x:v>10734</x:v>
      </x:c>
      <x:c r="C796" s="10">
        <x:v>14164</x:v>
      </x:c>
      <x:c r="D796" s="10" t="s">
        <x:v>2</x:v>
      </x:c>
      <x:c r="E796" s="10" t="s">
        <x:v>40</x:v>
      </x:c>
      <x:c r="F796" s="10">
        <x:v>40</x:v>
      </x:c>
      <x:c r="G796" s="10">
        <x:v>172</x:v>
      </x:c>
      <x:c r="H796" s="22">
        <x:f t="shared" si="12"/>
        <x:v>8635.9393333337212</x:v>
      </x:c>
      <x:c r="I796" s="22">
        <x:v>1485381.5653333999</x:v>
      </x:c>
      <x:c r="J796" s="10">
        <x:v>41</x:v>
      </x:c>
      <x:c r="K796" s="10">
        <x:v>7</x:v>
      </x:c>
    </x:row>
    <x:row r="797">
      <x:c r="A797" s="10" t="s">
        <x:v>60</x:v>
      </x:c>
      <x:c r="B797" s="10">
        <x:v>10829</x:v>
      </x:c>
      <x:c r="C797" s="10">
        <x:v>14165</x:v>
      </x:c>
      <x:c r="D797" s="10" t="s">
        <x:v>0</x:v>
      </x:c>
      <x:c r="E797" s="10" t="s">
        <x:v>37</x:v>
      </x:c>
      <x:c r="F797" s="10">
        <x:v>44</x:v>
      </x:c>
      <x:c r="G797" s="10">
        <x:v>194</x:v>
      </x:c>
      <x:c r="H797" s="22">
        <x:f t="shared" si="12"/>
        <x:v>8586.847858175257</x:v>
      </x:c>
      <x:c r="I797" s="22">
        <x:v>1665848.4844859999</x:v>
      </x:c>
      <x:c r="J797" s="10">
        <x:v>41</x:v>
      </x:c>
      <x:c r="K797" s="10">
        <x:v>8</x:v>
      </x:c>
    </x:row>
    <x:row r="798">
      <x:c r="A798" s="10" t="s">
        <x:v>60</x:v>
      </x:c>
      <x:c r="B798" s="10">
        <x:v>9050</x:v>
      </x:c>
      <x:c r="C798" s="10">
        <x:v>14166</x:v>
      </x:c>
      <x:c r="D798" s="10" t="s">
        <x:v>1</x:v>
      </x:c>
      <x:c r="E798" s="10" t="s">
        <x:v>1</x:v>
      </x:c>
      <x:c r="F798" s="10">
        <x:v>45</x:v>
      </x:c>
      <x:c r="G798" s="10">
        <x:v>211</x:v>
      </x:c>
      <x:c r="H798" s="22">
        <x:f t="shared" si="12"/>
        <x:v>10000</x:v>
      </x:c>
      <x:c r="I798" s="22">
        <x:v>2110000</x:v>
      </x:c>
      <x:c r="J798" s="10">
        <x:v>41</x:v>
      </x:c>
      <x:c r="K798" s="10">
        <x:v>9</x:v>
      </x:c>
    </x:row>
    <x:row r="799">
      <x:c r="A799" s="10" t="s">
        <x:v>60</x:v>
      </x:c>
      <x:c r="B799" s="10">
        <x:v>9000</x:v>
      </x:c>
      <x:c r="C799" s="10">
        <x:v>14167</x:v>
      </x:c>
      <x:c r="D799" s="10" t="s">
        <x:v>2</x:v>
      </x:c>
      <x:c r="E799" s="10" t="s">
        <x:v>2</x:v>
      </x:c>
      <x:c r="F799" s="10">
        <x:v>29</x:v>
      </x:c>
      <x:c r="G799" s="10">
        <x:v>166</x:v>
      </x:c>
      <x:c r="H799" s="22">
        <x:f t="shared" si="12"/>
        <x:v>11500</x:v>
      </x:c>
      <x:c r="I799" s="22">
        <x:v>1909000</x:v>
      </x:c>
      <x:c r="J799" s="10">
        <x:v>41</x:v>
      </x:c>
      <x:c r="K799" s="10">
        <x:v>10</x:v>
      </x:c>
    </x:row>
    <x:row r="800">
      <x:c r="A800" s="10" t="s">
        <x:v>60</x:v>
      </x:c>
      <x:c r="B800" s="10">
        <x:v>8996</x:v>
      </x:c>
      <x:c r="C800" s="10">
        <x:v>14168</x:v>
      </x:c>
      <x:c r="D800" s="10" t="s">
        <x:v>2</x:v>
      </x:c>
      <x:c r="E800" s="10" t="s">
        <x:v>2</x:v>
      </x:c>
      <x:c r="F800" s="10">
        <x:v>29</x:v>
      </x:c>
      <x:c r="G800" s="10">
        <x:v>168</x:v>
      </x:c>
      <x:c r="H800" s="22">
        <x:f t="shared" si="12"/>
        <x:v>11500</x:v>
      </x:c>
      <x:c r="I800" s="22">
        <x:v>1932000</x:v>
      </x:c>
      <x:c r="J800" s="10">
        <x:v>41</x:v>
      </x:c>
      <x:c r="K800" s="10">
        <x:v>11</x:v>
      </x:c>
    </x:row>
    <x:row r="801">
      <x:c r="A801" s="10" t="s">
        <x:v>60</x:v>
      </x:c>
      <x:c r="B801" s="10">
        <x:v>6989</x:v>
      </x:c>
      <x:c r="C801" s="10">
        <x:v>14169</x:v>
      </x:c>
      <x:c r="D801" s="10" t="s">
        <x:v>1</x:v>
      </x:c>
      <x:c r="E801" s="10" t="s">
        <x:v>49</x:v>
      </x:c>
      <x:c r="F801" s="10">
        <x:v>26</x:v>
      </x:c>
      <x:c r="G801" s="10">
        <x:v>124</x:v>
      </x:c>
      <x:c r="H801" s="22">
        <x:f t="shared" si="12"/>
        <x:v>10584.249761449193</x:v>
      </x:c>
      <x:c r="I801" s="22">
        <x:v>1312446.9704197</x:v>
      </x:c>
      <x:c r="J801" s="10">
        <x:v>41</x:v>
      </x:c>
      <x:c r="K801" s="10">
        <x:v>12</x:v>
      </x:c>
    </x:row>
    <x:row r="802">
      <x:c r="A802" s="10" t="s">
        <x:v>60</x:v>
      </x:c>
      <x:c r="B802" s="10">
        <x:v>6888</x:v>
      </x:c>
      <x:c r="C802" s="10">
        <x:v>14170</x:v>
      </x:c>
      <x:c r="D802" s="10" t="s">
        <x:v>0</x:v>
      </x:c>
      <x:c r="E802" s="10" t="s">
        <x:v>42</x:v>
      </x:c>
      <x:c r="F802" s="10">
        <x:v>34</x:v>
      </x:c>
      <x:c r="G802" s="10">
        <x:v>192</x:v>
      </x:c>
      <x:c r="H802" s="22">
        <x:f t="shared" si="12"/>
        <x:v>10626.936989336979</x:v>
      </x:c>
      <x:c r="I802" s="22">
        <x:v>2040371.9019527</x:v>
      </x:c>
      <x:c r="J802" s="10">
        <x:v>41</x:v>
      </x:c>
      <x:c r="K802" s="10">
        <x:v>13</x:v>
      </x:c>
    </x:row>
    <x:row r="803">
      <x:c r="A803" s="10" t="s">
        <x:v>60</x:v>
      </x:c>
      <x:c r="B803" s="10">
        <x:v>10884</x:v>
      </x:c>
      <x:c r="C803" s="10">
        <x:v>14171</x:v>
      </x:c>
      <x:c r="D803" s="10" t="s">
        <x:v>1</x:v>
      </x:c>
      <x:c r="E803" s="10" t="s">
        <x:v>39</x:v>
      </x:c>
      <x:c r="F803" s="10">
        <x:v>32</x:v>
      </x:c>
      <x:c r="G803" s="10">
        <x:v>193</x:v>
      </x:c>
      <x:c r="H803" s="22">
        <x:f t="shared" si="12"/>
        <x:v>8631.3392978549218</x:v>
      </x:c>
      <x:c r="I803" s="22">
        <x:v>1665848.4844859999</x:v>
      </x:c>
      <x:c r="J803" s="10">
        <x:v>41</x:v>
      </x:c>
      <x:c r="K803" s="10">
        <x:v>14</x:v>
      </x:c>
    </x:row>
    <x:row r="804">
      <x:c r="A804" s="10" t="s">
        <x:v>60</x:v>
      </x:c>
      <x:c r="B804" s="10">
        <x:v>10881</x:v>
      </x:c>
      <x:c r="C804" s="10">
        <x:v>14172</x:v>
      </x:c>
      <x:c r="D804" s="10" t="s">
        <x:v>2</x:v>
      </x:c>
      <x:c r="E804" s="10" t="s">
        <x:v>69</x:v>
      </x:c>
      <x:c r="F804" s="10">
        <x:v>37</x:v>
      </x:c>
      <x:c r="G804" s="10">
        <x:v>216</x:v>
      </x:c>
      <x:c r="H804" s="22">
        <x:f t="shared" si="12"/>
        <x:v>7712.2615022499995</x:v>
      </x:c>
      <x:c r="I804" s="22">
        <x:v>1665848.4844859999</x:v>
      </x:c>
      <x:c r="J804" s="10">
        <x:v>41</x:v>
      </x:c>
      <x:c r="K804" s="10">
        <x:v>15</x:v>
      </x:c>
    </x:row>
    <x:row r="805">
      <x:c r="A805" s="10" t="s">
        <x:v>60</x:v>
      </x:c>
      <x:c r="B805" s="10">
        <x:v>10827</x:v>
      </x:c>
      <x:c r="C805" s="10">
        <x:v>14173</x:v>
      </x:c>
      <x:c r="D805" s="10" t="s">
        <x:v>0</x:v>
      </x:c>
      <x:c r="E805" s="10" t="s">
        <x:v>37</x:v>
      </x:c>
      <x:c r="F805" s="10">
        <x:v>41</x:v>
      </x:c>
      <x:c r="G805" s="10">
        <x:v>192</x:v>
      </x:c>
      <x:c r="H805" s="22">
        <x:f t="shared" si="12"/>
        <x:v>8676.2941900312489</x:v>
      </x:c>
      <x:c r="I805" s="22">
        <x:v>1665848.4844859999</x:v>
      </x:c>
      <x:c r="J805" s="10">
        <x:v>41</x:v>
      </x:c>
      <x:c r="K805" s="10">
        <x:v>16</x:v>
      </x:c>
    </x:row>
    <x:row r="806">
      <x:c r="A806" s="10" t="s">
        <x:v>60</x:v>
      </x:c>
      <x:c r="B806" s="10">
        <x:v>6945</x:v>
      </x:c>
      <x:c r="C806" s="10">
        <x:v>14174</x:v>
      </x:c>
      <x:c r="D806" s="10" t="s">
        <x:v>0</x:v>
      </x:c>
      <x:c r="E806" s="10" t="s">
        <x:v>22</x:v>
      </x:c>
      <x:c r="F806" s="10">
        <x:v>34</x:v>
      </x:c>
      <x:c r="G806" s="10">
        <x:v>199</x:v>
      </x:c>
      <x:c r="H806" s="22">
        <x:f t="shared" si="12"/>
        <x:v>10278.250763581407</x:v>
      </x:c>
      <x:c r="I806" s="22">
        <x:v>2045371.9019527</x:v>
      </x:c>
      <x:c r="J806" s="10">
        <x:v>41</x:v>
      </x:c>
      <x:c r="K806" s="10">
        <x:v>17</x:v>
      </x:c>
    </x:row>
    <x:row r="807">
      <x:c r="A807" s="10" t="s">
        <x:v>60</x:v>
      </x:c>
      <x:c r="B807" s="10">
        <x:v>6959</x:v>
      </x:c>
      <x:c r="C807" s="10">
        <x:v>14175</x:v>
      </x:c>
      <x:c r="D807" s="10" t="s">
        <x:v>0</x:v>
      </x:c>
      <x:c r="E807" s="10" t="s">
        <x:v>22</x:v>
      </x:c>
      <x:c r="F807" s="10">
        <x:v>17</x:v>
      </x:c>
      <x:c r="G807" s="10">
        <x:v>103</x:v>
      </x:c>
      <x:c r="H807" s="22">
        <x:f t="shared" si="12"/>
        <x:v>9928.9898153048543</x:v>
      </x:c>
      <x:c r="I807" s="22">
        <x:v>1022685.9509764001</x:v>
      </x:c>
      <x:c r="J807" s="10">
        <x:v>41</x:v>
      </x:c>
      <x:c r="K807" s="10">
        <x:v>18</x:v>
      </x:c>
    </x:row>
    <x:row r="808">
      <x:c r="A808" s="10" t="s">
        <x:v>60</x:v>
      </x:c>
      <x:c r="B808" s="10">
        <x:v>6944</x:v>
      </x:c>
      <x:c r="C808" s="10">
        <x:v>14176</x:v>
      </x:c>
      <x:c r="D808" s="10" t="s">
        <x:v>0</x:v>
      </x:c>
      <x:c r="E808" s="10" t="s">
        <x:v>22</x:v>
      </x:c>
      <x:c r="F808" s="10">
        <x:v>34</x:v>
      </x:c>
      <x:c r="G808" s="10">
        <x:v>193</x:v>
      </x:c>
      <x:c r="H808" s="22">
        <x:f t="shared" si="12"/>
        <x:v>10597.78187540259</x:v>
      </x:c>
      <x:c r="I808" s="22">
        <x:v>2045371.9019527</x:v>
      </x:c>
      <x:c r="J808" s="10">
        <x:v>41</x:v>
      </x:c>
      <x:c r="K808" s="10">
        <x:v>19</x:v>
      </x:c>
    </x:row>
    <x:row r="809">
      <x:c r="A809" s="10" t="s">
        <x:v>60</x:v>
      </x:c>
      <x:c r="B809" s="10">
        <x:v>6947</x:v>
      </x:c>
      <x:c r="C809" s="10">
        <x:v>14177</x:v>
      </x:c>
      <x:c r="D809" s="10" t="s">
        <x:v>0</x:v>
      </x:c>
      <x:c r="E809" s="10" t="s">
        <x:v>22</x:v>
      </x:c>
      <x:c r="F809" s="10">
        <x:v>34</x:v>
      </x:c>
      <x:c r="G809" s="10">
        <x:v>192</x:v>
      </x:c>
      <x:c r="H809" s="22">
        <x:f t="shared" si="12"/>
        <x:v>10652.978656003646</x:v>
      </x:c>
      <x:c r="I809" s="22">
        <x:v>2045371.9019527</x:v>
      </x:c>
      <x:c r="J809" s="10">
        <x:v>41</x:v>
      </x:c>
      <x:c r="K809" s="10">
        <x:v>20</x:v>
      </x:c>
    </x:row>
    <x:row r="810">
      <x:c r="A810" s="10" t="s">
        <x:v>60</x:v>
      </x:c>
      <x:c r="B810" s="10">
        <x:v>6978</x:v>
      </x:c>
      <x:c r="C810" s="10">
        <x:v>14178</x:v>
      </x:c>
      <x:c r="D810" s="10" t="s">
        <x:v>0</x:v>
      </x:c>
      <x:c r="E810" s="10" t="s">
        <x:v>42</x:v>
      </x:c>
      <x:c r="F810" s="10">
        <x:v>19</x:v>
      </x:c>
      <x:c r="G810" s="10">
        <x:v>90</x:v>
      </x:c>
      <x:c r="H810" s="22">
        <x:f t="shared" si="12"/>
        <x:v>11113.177233071112</x:v>
      </x:c>
      <x:c r="I810" s="22">
        <x:v>1000185.9509764001</x:v>
      </x:c>
      <x:c r="J810" s="10">
        <x:v>42</x:v>
      </x:c>
      <x:c r="K810" s="10">
        <x:v>1</x:v>
      </x:c>
    </x:row>
    <x:row r="811">
      <x:c r="A811" s="10" t="s">
        <x:v>60</x:v>
      </x:c>
      <x:c r="B811" s="10">
        <x:v>10883</x:v>
      </x:c>
      <x:c r="C811" s="10">
        <x:v>14179</x:v>
      </x:c>
      <x:c r="D811" s="10" t="s">
        <x:v>1</x:v>
      </x:c>
      <x:c r="E811" s="10" t="s">
        <x:v>39</x:v>
      </x:c>
      <x:c r="F811" s="10">
        <x:v>37</x:v>
      </x:c>
      <x:c r="G811" s="10">
        <x:v>175</x:v>
      </x:c>
      <x:c r="H811" s="22">
        <x:f t="shared" si="12"/>
        <x:v>9154.8484827771426</x:v>
      </x:c>
      <x:c r="I811" s="22">
        <x:v>1602098.4844859999</x:v>
      </x:c>
      <x:c r="J811" s="10">
        <x:v>42</x:v>
      </x:c>
      <x:c r="K811" s="10">
        <x:v>2</x:v>
      </x:c>
    </x:row>
    <x:row r="812">
      <x:c r="A812" s="10" t="s">
        <x:v>60</x:v>
      </x:c>
      <x:c r="B812" s="10">
        <x:v>6958</x:v>
      </x:c>
      <x:c r="C812" s="10">
        <x:v>14180</x:v>
      </x:c>
      <x:c r="D812" s="10" t="s">
        <x:v>0</x:v>
      </x:c>
      <x:c r="E812" s="10" t="s">
        <x:v>22</x:v>
      </x:c>
      <x:c r="F812" s="10">
        <x:v>34</x:v>
      </x:c>
      <x:c r="G812" s="10">
        <x:v>193</x:v>
      </x:c>
      <x:c r="H812" s="22">
        <x:f t="shared" si="12"/>
        <x:v>10597.78187540259</x:v>
      </x:c>
      <x:c r="I812" s="22">
        <x:v>2045371.9019527</x:v>
      </x:c>
      <x:c r="J812" s="10">
        <x:v>42</x:v>
      </x:c>
      <x:c r="K812" s="10">
        <x:v>3</x:v>
      </x:c>
    </x:row>
    <x:row r="813">
      <x:c r="A813" s="10" t="s">
        <x:v>60</x:v>
      </x:c>
      <x:c r="B813" s="10">
        <x:v>9112</x:v>
      </x:c>
      <x:c r="C813" s="10">
        <x:v>14181</x:v>
      </x:c>
      <x:c r="D813" s="10" t="s">
        <x:v>2</x:v>
      </x:c>
      <x:c r="E813" s="10" t="s">
        <x:v>2</x:v>
      </x:c>
      <x:c r="F813" s="10">
        <x:v>18</x:v>
      </x:c>
      <x:c r="G813" s="10">
        <x:v>91</x:v>
      </x:c>
      <x:c r="H813" s="22">
        <x:f t="shared" si="12"/>
        <x:v>11500</x:v>
      </x:c>
      <x:c r="I813" s="22">
        <x:v>1046500</x:v>
      </x:c>
      <x:c r="J813" s="10">
        <x:v>42</x:v>
      </x:c>
      <x:c r="K813" s="10">
        <x:v>4</x:v>
      </x:c>
    </x:row>
    <x:row r="814">
      <x:c r="A814" s="10" t="s">
        <x:v>60</x:v>
      </x:c>
      <x:c r="B814" s="10">
        <x:v>6890</x:v>
      </x:c>
      <x:c r="C814" s="10">
        <x:v>14182</x:v>
      </x:c>
      <x:c r="D814" s="10" t="s">
        <x:v>0</x:v>
      </x:c>
      <x:c r="E814" s="10" t="s">
        <x:v>42</x:v>
      </x:c>
      <x:c r="F814" s="10">
        <x:v>25</x:v>
      </x:c>
      <x:c r="G814" s="10">
        <x:v>99</x:v>
      </x:c>
      <x:c r="H814" s="22">
        <x:f t="shared" si="12"/>
        <x:v>10330.161120973738</x:v>
      </x:c>
      <x:c r="I814" s="22">
        <x:v>1022685.9509764001</x:v>
      </x:c>
      <x:c r="J814" s="10">
        <x:v>42</x:v>
      </x:c>
      <x:c r="K814" s="10">
        <x:v>5</x:v>
      </x:c>
    </x:row>
    <x:row r="815">
      <x:c r="A815" s="10" t="s">
        <x:v>60</x:v>
      </x:c>
      <x:c r="B815" s="10">
        <x:v>6891</x:v>
      </x:c>
      <x:c r="C815" s="10">
        <x:v>14183</x:v>
      </x:c>
      <x:c r="D815" s="10" t="s">
        <x:v>0</x:v>
      </x:c>
      <x:c r="E815" s="10" t="s">
        <x:v>42</x:v>
      </x:c>
      <x:c r="F815" s="10">
        <x:v>22</x:v>
      </x:c>
      <x:c r="G815" s="10">
        <x:v>100</x:v>
      </x:c>
      <x:c r="H815" s="22">
        <x:f t="shared" si="12"/>
        <x:v>10226.859509764001</x:v>
      </x:c>
      <x:c r="I815" s="22">
        <x:v>1022685.9509764001</x:v>
      </x:c>
      <x:c r="J815" s="10">
        <x:v>42</x:v>
      </x:c>
      <x:c r="K815" s="10">
        <x:v>6</x:v>
      </x:c>
    </x:row>
    <x:row r="816">
      <x:c r="A816" s="10" t="s">
        <x:v>60</x:v>
      </x:c>
      <x:c r="B816" s="10">
        <x:v>10814</x:v>
      </x:c>
      <x:c r="C816" s="10">
        <x:v>14184</x:v>
      </x:c>
      <x:c r="D816" s="10" t="s">
        <x:v>0</x:v>
      </x:c>
      <x:c r="E816" s="10" t="s">
        <x:v>22</x:v>
      </x:c>
      <x:c r="F816" s="10">
        <x:v>33</x:v>
      </x:c>
      <x:c r="G816" s="10">
        <x:v>192</x:v>
      </x:c>
      <x:c r="H816" s="22">
        <x:f t="shared" si="12"/>
        <x:v>8676.2941900312489</x:v>
      </x:c>
      <x:c r="I816" s="22">
        <x:v>1665848.4844859999</x:v>
      </x:c>
      <x:c r="J816" s="10">
        <x:v>42</x:v>
      </x:c>
      <x:c r="K816" s="10">
        <x:v>7</x:v>
      </x:c>
    </x:row>
    <x:row r="817">
      <x:c r="A817" s="10" t="s">
        <x:v>60</x:v>
      </x:c>
      <x:c r="B817" s="10">
        <x:v>10810</x:v>
      </x:c>
      <x:c r="C817" s="10">
        <x:v>14185</x:v>
      </x:c>
      <x:c r="D817" s="10" t="s">
        <x:v>0</x:v>
      </x:c>
      <x:c r="E817" s="10" t="s">
        <x:v>22</x:v>
      </x:c>
      <x:c r="F817" s="10">
        <x:v>35</x:v>
      </x:c>
      <x:c r="G817" s="10">
        <x:v>192</x:v>
      </x:c>
      <x:c r="H817" s="22">
        <x:f t="shared" si="12"/>
        <x:v>8676.2941900312489</x:v>
      </x:c>
      <x:c r="I817" s="22">
        <x:v>1665848.4844859999</x:v>
      </x:c>
      <x:c r="J817" s="10">
        <x:v>42</x:v>
      </x:c>
      <x:c r="K817" s="10">
        <x:v>8</x:v>
      </x:c>
    </x:row>
    <x:row r="818">
      <x:c r="A818" s="10" t="s">
        <x:v>60</x:v>
      </x:c>
      <x:c r="B818" s="10">
        <x:v>6986</x:v>
      </x:c>
      <x:c r="C818" s="10">
        <x:v>14186</x:v>
      </x:c>
      <x:c r="D818" s="10" t="s">
        <x:v>0</x:v>
      </x:c>
      <x:c r="E818" s="10" t="s">
        <x:v>42</x:v>
      </x:c>
      <x:c r="F818" s="10">
        <x:v>25</x:v>
      </x:c>
      <x:c r="G818" s="10">
        <x:v>96</x:v>
      </x:c>
      <x:c r="H818" s="22">
        <x:f t="shared" si="12"/>
        <x:v>10652.978656004167</x:v>
      </x:c>
      <x:c r="I818" s="22">
        <x:v>1022685.9509764001</x:v>
      </x:c>
      <x:c r="J818" s="10">
        <x:v>42</x:v>
      </x:c>
      <x:c r="K818" s="10">
        <x:v>9</x:v>
      </x:c>
    </x:row>
    <x:row r="819">
      <x:c r="A819" s="10" t="s">
        <x:v>60</x:v>
      </x:c>
      <x:c r="B819" s="10">
        <x:v>6952</x:v>
      </x:c>
      <x:c r="C819" s="10">
        <x:v>14187</x:v>
      </x:c>
      <x:c r="D819" s="10" t="s">
        <x:v>0</x:v>
      </x:c>
      <x:c r="E819" s="10" t="s">
        <x:v>22</x:v>
      </x:c>
      <x:c r="F819" s="10">
        <x:v>34</x:v>
      </x:c>
      <x:c r="G819" s="10">
        <x:v>192</x:v>
      </x:c>
      <x:c r="H819" s="22">
        <x:f t="shared" si="12"/>
        <x:v>10652.978656003646</x:v>
      </x:c>
      <x:c r="I819" s="22">
        <x:v>2045371.9019527</x:v>
      </x:c>
      <x:c r="J819" s="10">
        <x:v>42</x:v>
      </x:c>
      <x:c r="K819" s="10">
        <x:v>10</x:v>
      </x:c>
    </x:row>
    <x:row r="820">
      <x:c r="A820" s="10" t="s">
        <x:v>60</x:v>
      </x:c>
      <x:c r="B820" s="10">
        <x:v>6981</x:v>
      </x:c>
      <x:c r="C820" s="10">
        <x:v>14188</x:v>
      </x:c>
      <x:c r="D820" s="10" t="s">
        <x:v>0</x:v>
      </x:c>
      <x:c r="E820" s="10" t="s">
        <x:v>42</x:v>
      </x:c>
      <x:c r="F820" s="10">
        <x:v>24</x:v>
      </x:c>
      <x:c r="G820" s="10">
        <x:v>96</x:v>
      </x:c>
      <x:c r="H820" s="22">
        <x:f t="shared" si="12"/>
        <x:v>10652.978656004167</x:v>
      </x:c>
      <x:c r="I820" s="22">
        <x:v>1022685.9509764001</x:v>
      </x:c>
      <x:c r="J820" s="10">
        <x:v>42</x:v>
      </x:c>
      <x:c r="K820" s="10">
        <x:v>10</x:v>
      </x:c>
    </x:row>
    <x:row r="821">
      <x:c r="A821" s="10" t="s">
        <x:v>60</x:v>
      </x:c>
      <x:c r="B821" s="10">
        <x:v>10625</x:v>
      </x:c>
      <x:c r="C821" s="10">
        <x:v>14189</x:v>
      </x:c>
      <x:c r="D821" s="10" t="s">
        <x:v>0</x:v>
      </x:c>
      <x:c r="E821" s="10" t="s">
        <x:v>22</x:v>
      </x:c>
      <x:c r="F821" s="10">
        <x:v>37</x:v>
      </x:c>
      <x:c r="G821" s="10">
        <x:v>186</x:v>
      </x:c>
      <x:c r="H821" s="22">
        <x:f t="shared" si="12"/>
        <x:v>8956.1746477741926</x:v>
      </x:c>
      <x:c r="I821" s="22">
        <x:v>1665848.4844859999</x:v>
      </x:c>
      <x:c r="J821" s="10">
        <x:v>42</x:v>
      </x:c>
      <x:c r="K821" s="10">
        <x:v>11</x:v>
      </x:c>
    </x:row>
    <x:row r="822">
      <x:c r="A822" s="10" t="s">
        <x:v>60</x:v>
      </x:c>
      <x:c r="B822" s="10">
        <x:v>10824</x:v>
      </x:c>
      <x:c r="C822" s="10">
        <x:v>14190</x:v>
      </x:c>
      <x:c r="D822" s="10" t="s">
        <x:v>0</x:v>
      </x:c>
      <x:c r="E822" s="10" t="s">
        <x:v>37</x:v>
      </x:c>
      <x:c r="F822" s="10">
        <x:v>41</x:v>
      </x:c>
      <x:c r="G822" s="10">
        <x:v>199</x:v>
      </x:c>
      <x:c r="H822" s="22">
        <x:f t="shared" si="12"/>
        <x:v>8371.0979119899494</x:v>
      </x:c>
      <x:c r="I822" s="22">
        <x:v>1665848.4844859999</x:v>
      </x:c>
      <x:c r="J822" s="10">
        <x:v>42</x:v>
      </x:c>
      <x:c r="K822" s="10">
        <x:v>12</x:v>
      </x:c>
    </x:row>
    <x:row r="823">
      <x:c r="A823" s="10" t="s">
        <x:v>60</x:v>
      </x:c>
      <x:c r="B823" s="10">
        <x:v>10652</x:v>
      </x:c>
      <x:c r="C823" s="10">
        <x:v>14191</x:v>
      </x:c>
      <x:c r="D823" s="10" t="s">
        <x:v>0</x:v>
      </x:c>
      <x:c r="E823" s="10" t="s">
        <x:v>22</x:v>
      </x:c>
      <x:c r="F823" s="10">
        <x:v>35</x:v>
      </x:c>
      <x:c r="G823" s="10">
        <x:v>192</x:v>
      </x:c>
      <x:c r="H823" s="22">
        <x:f t="shared" si="12"/>
        <x:v>8676.2941900312489</x:v>
      </x:c>
      <x:c r="I823" s="22">
        <x:v>1665848.4844859999</x:v>
      </x:c>
      <x:c r="J823" s="10">
        <x:v>42</x:v>
      </x:c>
      <x:c r="K823" s="10">
        <x:v>13</x:v>
      </x:c>
    </x:row>
    <x:row r="824">
      <x:c r="A824" s="10" t="s">
        <x:v>60</x:v>
      </x:c>
      <x:c r="B824" s="10">
        <x:v>6957</x:v>
      </x:c>
      <x:c r="C824" s="10">
        <x:v>14192</x:v>
      </x:c>
      <x:c r="D824" s="10" t="s">
        <x:v>0</x:v>
      </x:c>
      <x:c r="E824" s="10" t="s">
        <x:v>22</x:v>
      </x:c>
      <x:c r="F824" s="10">
        <x:v>34</x:v>
      </x:c>
      <x:c r="G824" s="10">
        <x:v>194</x:v>
      </x:c>
      <x:c r="H824" s="22">
        <x:f t="shared" si="12"/>
        <x:v>10543.154133776805</x:v>
      </x:c>
      <x:c r="I824" s="22">
        <x:v>2045371.9019527</x:v>
      </x:c>
      <x:c r="J824" s="10">
        <x:v>42</x:v>
      </x:c>
      <x:c r="K824" s="10">
        <x:v>14</x:v>
      </x:c>
    </x:row>
    <x:row r="825">
      <x:c r="A825" s="10" t="s">
        <x:v>60</x:v>
      </x:c>
      <x:c r="B825" s="10">
        <x:v>10756</x:v>
      </x:c>
      <x:c r="C825" s="10">
        <x:v>14193</x:v>
      </x:c>
      <x:c r="D825" s="10" t="s">
        <x:v>0</x:v>
      </x:c>
      <x:c r="E825" s="10" t="s">
        <x:v>37</x:v>
      </x:c>
      <x:c r="F825" s="10">
        <x:v>45</x:v>
      </x:c>
      <x:c r="G825" s="10">
        <x:v>192</x:v>
      </x:c>
      <x:c r="H825" s="22">
        <x:f t="shared" si="12"/>
        <x:v>8676.2941900312489</x:v>
      </x:c>
      <x:c r="I825" s="22">
        <x:v>1665848.4844859999</x:v>
      </x:c>
      <x:c r="J825" s="10">
        <x:v>42</x:v>
      </x:c>
      <x:c r="K825" s="10">
        <x:v>15</x:v>
      </x:c>
    </x:row>
    <x:row r="826">
      <x:c r="A826" s="10" t="s">
        <x:v>60</x:v>
      </x:c>
      <x:c r="B826" s="10">
        <x:v>10758</x:v>
      </x:c>
      <x:c r="C826" s="10">
        <x:v>14194</x:v>
      </x:c>
      <x:c r="D826" s="10" t="s">
        <x:v>0</x:v>
      </x:c>
      <x:c r="E826" s="10" t="s">
        <x:v>37</x:v>
      </x:c>
      <x:c r="F826" s="10">
        <x:v>48</x:v>
      </x:c>
      <x:c r="G826" s="10">
        <x:v>192</x:v>
      </x:c>
      <x:c r="H826" s="22">
        <x:f t="shared" si="12"/>
        <x:v>8676.2941900312489</x:v>
      </x:c>
      <x:c r="I826" s="22">
        <x:v>1665848.4844859999</x:v>
      </x:c>
      <x:c r="J826" s="10">
        <x:v>42</x:v>
      </x:c>
      <x:c r="K826" s="10">
        <x:v>16</x:v>
      </x:c>
    </x:row>
    <x:row r="827">
      <x:c r="A827" s="10" t="s">
        <x:v>60</x:v>
      </x:c>
      <x:c r="B827" s="10">
        <x:v>10760</x:v>
      </x:c>
      <x:c r="C827" s="10">
        <x:v>14195</x:v>
      </x:c>
      <x:c r="D827" s="10" t="s">
        <x:v>0</x:v>
      </x:c>
      <x:c r="E827" s="10" t="s">
        <x:v>37</x:v>
      </x:c>
      <x:c r="F827" s="10">
        <x:v>48</x:v>
      </x:c>
      <x:c r="G827" s="10">
        <x:v>192</x:v>
      </x:c>
      <x:c r="H827" s="22">
        <x:f t="shared" si="12"/>
        <x:v>8676.2941900312489</x:v>
      </x:c>
      <x:c r="I827" s="22">
        <x:v>1665848.4844859999</x:v>
      </x:c>
      <x:c r="J827" s="10">
        <x:v>42</x:v>
      </x:c>
      <x:c r="K827" s="10">
        <x:v>17</x:v>
      </x:c>
    </x:row>
    <x:row r="828">
      <x:c r="A828" s="10" t="s">
        <x:v>60</x:v>
      </x:c>
      <x:c r="B828" s="10">
        <x:v>10761</x:v>
      </x:c>
      <x:c r="C828" s="10">
        <x:v>14196</x:v>
      </x:c>
      <x:c r="D828" s="10" t="s">
        <x:v>0</x:v>
      </x:c>
      <x:c r="E828" s="10" t="s">
        <x:v>37</x:v>
      </x:c>
      <x:c r="F828" s="10">
        <x:v>45</x:v>
      </x:c>
      <x:c r="G828" s="10">
        <x:v>192</x:v>
      </x:c>
      <x:c r="H828" s="22">
        <x:f t="shared" si="12"/>
        <x:v>8676.2941900312489</x:v>
      </x:c>
      <x:c r="I828" s="22">
        <x:v>1665848.4844859999</x:v>
      </x:c>
      <x:c r="J828" s="10">
        <x:v>42</x:v>
      </x:c>
      <x:c r="K828" s="10">
        <x:v>18</x:v>
      </x:c>
    </x:row>
    <x:row r="829">
      <x:c r="A829" s="10" t="s">
        <x:v>60</x:v>
      </x:c>
      <x:c r="B829" s="10">
        <x:v>10753</x:v>
      </x:c>
      <x:c r="C829" s="10">
        <x:v>14197</x:v>
      </x:c>
      <x:c r="D829" s="10" t="s">
        <x:v>0</x:v>
      </x:c>
      <x:c r="E829" s="10" t="s">
        <x:v>37</x:v>
      </x:c>
      <x:c r="F829" s="10">
        <x:v>44</x:v>
      </x:c>
      <x:c r="G829" s="10">
        <x:v>192</x:v>
      </x:c>
      <x:c r="H829" s="22">
        <x:f t="shared" si="12"/>
        <x:v>8676.2941900312489</x:v>
      </x:c>
      <x:c r="I829" s="22">
        <x:v>1665848.4844859999</x:v>
      </x:c>
      <x:c r="J829" s="10">
        <x:v>42</x:v>
      </x:c>
      <x:c r="K829" s="10">
        <x:v>19</x:v>
      </x:c>
    </x:row>
    <x:row r="830">
      <x:c r="A830" s="10" t="s">
        <x:v>60</x:v>
      </x:c>
      <x:c r="B830" s="10">
        <x:v>10796</x:v>
      </x:c>
      <x:c r="C830" s="10">
        <x:v>14198</x:v>
      </x:c>
      <x:c r="D830" s="10" t="s">
        <x:v>0</x:v>
      </x:c>
      <x:c r="E830" s="10" t="s">
        <x:v>32</x:v>
      </x:c>
      <x:c r="F830" s="10">
        <x:v>28</x:v>
      </x:c>
      <x:c r="G830" s="10">
        <x:v>192</x:v>
      </x:c>
      <x:c r="H830" s="22">
        <x:f t="shared" si="12"/>
        <x:v>8676.2941900312489</x:v>
      </x:c>
      <x:c r="I830" s="22">
        <x:v>1665848.4844859999</x:v>
      </x:c>
      <x:c r="J830" s="10">
        <x:v>43</x:v>
      </x:c>
      <x:c r="K830" s="10">
        <x:v>1</x:v>
      </x:c>
    </x:row>
    <x:row r="831">
      <x:c r="A831" s="10" t="s">
        <x:v>60</x:v>
      </x:c>
      <x:c r="B831" s="10">
        <x:v>6062</x:v>
      </x:c>
      <x:c r="C831" s="10">
        <x:v>14199</x:v>
      </x:c>
      <x:c r="D831" s="10" t="s">
        <x:v>0</x:v>
      </x:c>
      <x:c r="E831" s="10" t="s">
        <x:v>63</x:v>
      </x:c>
      <x:c r="F831" s="10">
        <x:v>34</x:v>
      </x:c>
      <x:c r="G831" s="10">
        <x:v>192</x:v>
      </x:c>
      <x:c r="H831" s="22">
        <x:f t="shared" si="12"/>
        <x:v>10652.978656003646</x:v>
      </x:c>
      <x:c r="I831" s="22">
        <x:v>2045371.9019527</x:v>
      </x:c>
      <x:c r="J831" s="10">
        <x:v>43</x:v>
      </x:c>
      <x:c r="K831" s="10">
        <x:v>2</x:v>
      </x:c>
    </x:row>
    <x:row r="832">
      <x:c r="A832" s="10" t="s">
        <x:v>60</x:v>
      </x:c>
      <x:c r="B832" s="10">
        <x:v>10791</x:v>
      </x:c>
      <x:c r="C832" s="10">
        <x:v>14200</x:v>
      </x:c>
      <x:c r="D832" s="10" t="s">
        <x:v>0</x:v>
      </x:c>
      <x:c r="E832" s="10" t="s">
        <x:v>32</x:v>
      </x:c>
      <x:c r="F832" s="10">
        <x:v>34</x:v>
      </x:c>
      <x:c r="G832" s="10">
        <x:v>195</x:v>
      </x:c>
      <x:c r="H832" s="22">
        <x:f t="shared" si="12"/>
        <x:v>8542.8127409538465</x:v>
      </x:c>
      <x:c r="I832" s="22">
        <x:v>1665848.4844859999</x:v>
      </x:c>
      <x:c r="J832" s="10">
        <x:v>43</x:v>
      </x:c>
      <x:c r="K832" s="10">
        <x:v>3</x:v>
      </x:c>
    </x:row>
    <x:row r="833">
      <x:c r="A833" s="10" t="s">
        <x:v>60</x:v>
      </x:c>
      <x:c r="B833" s="10">
        <x:v>5942</x:v>
      </x:c>
      <x:c r="C833" s="10">
        <x:v>14201</x:v>
      </x:c>
      <x:c r="D833" s="10" t="s">
        <x:v>0</x:v>
      </x:c>
      <x:c r="E833" s="10" t="s">
        <x:v>63</x:v>
      </x:c>
      <x:c r="F833" s="10">
        <x:v>32</x:v>
      </x:c>
      <x:c r="G833" s="10">
        <x:v>195</x:v>
      </x:c>
      <x:c r="H833" s="22">
        <x:f t="shared" si="12"/>
        <x:v>10463.445651039487</x:v>
      </x:c>
      <x:c r="I833" s="22">
        <x:v>2040371.9019527</x:v>
      </x:c>
      <x:c r="J833" s="10">
        <x:v>43</x:v>
      </x:c>
      <x:c r="K833" s="10">
        <x:v>4</x:v>
      </x:c>
    </x:row>
    <x:row r="834">
      <x:c r="A834" s="10" t="s">
        <x:v>60</x:v>
      </x:c>
      <x:c r="B834" s="10">
        <x:v>6849</x:v>
      </x:c>
      <x:c r="C834" s="10">
        <x:v>14202</x:v>
      </x:c>
      <x:c r="D834" s="10" t="s">
        <x:v>0</x:v>
      </x:c>
      <x:c r="E834" s="10" t="s">
        <x:v>65</x:v>
      </x:c>
      <x:c r="F834" s="10">
        <x:v>36</x:v>
      </x:c>
      <x:c r="G834" s="10">
        <x:v>205</x:v>
      </x:c>
      <x:c r="H834" s="22">
        <x:f t="shared" si="12"/>
        <x:v>9684.7409851351222</x:v>
      </x:c>
      <x:c r="I834" s="22">
        <x:v>1985371.9019527</x:v>
      </x:c>
      <x:c r="J834" s="10">
        <x:v>43</x:v>
      </x:c>
      <x:c r="K834" s="10">
        <x:v>5</x:v>
      </x:c>
    </x:row>
    <x:row r="835">
      <x:c r="A835" s="10" t="s">
        <x:v>60</x:v>
      </x:c>
      <x:c r="B835" s="10">
        <x:v>6845</x:v>
      </x:c>
      <x:c r="C835" s="10">
        <x:v>14203</x:v>
      </x:c>
      <x:c r="D835" s="10" t="s">
        <x:v>0</x:v>
      </x:c>
      <x:c r="E835" s="10" t="s">
        <x:v>65</x:v>
      </x:c>
      <x:c r="F835" s="10">
        <x:v>35</x:v>
      </x:c>
      <x:c r="G835" s="10">
        <x:v>206</x:v>
      </x:c>
      <x:c r="H835" s="22" t="n">
        <x:f t="shared" ref="H835:H898" si="13">I835/G835</x:f>
        <x:v>9637.727679382038</x:v>
      </x:c>
      <x:c r="I835" s="22">
        <x:v>1985371.9019527</x:v>
      </x:c>
      <x:c r="J835" s="10">
        <x:v>43</x:v>
      </x:c>
      <x:c r="K835" s="10">
        <x:v>6</x:v>
      </x:c>
    </x:row>
    <x:row r="836">
      <x:c r="A836" s="10" t="s">
        <x:v>60</x:v>
      </x:c>
      <x:c r="B836" s="10">
        <x:v>10785</x:v>
      </x:c>
      <x:c r="C836" s="10">
        <x:v>14204</x:v>
      </x:c>
      <x:c r="D836" s="10" t="s">
        <x:v>0</x:v>
      </x:c>
      <x:c r="E836" s="10" t="s">
        <x:v>32</x:v>
      </x:c>
      <x:c r="F836" s="10">
        <x:v>30</x:v>
      </x:c>
      <x:c r="G836" s="10">
        <x:v>193</x:v>
      </x:c>
      <x:c r="H836" s="22">
        <x:f t="shared" si="13"/>
        <x:v>8631.3392978549218</x:v>
      </x:c>
      <x:c r="I836" s="22">
        <x:v>1665848.4844859999</x:v>
      </x:c>
      <x:c r="J836" s="10">
        <x:v>43</x:v>
      </x:c>
      <x:c r="K836" s="10">
        <x:v>7</x:v>
      </x:c>
    </x:row>
    <x:row r="837">
      <x:c r="A837" s="10" t="s">
        <x:v>60</x:v>
      </x:c>
      <x:c r="B837" s="10">
        <x:v>10794</x:v>
      </x:c>
      <x:c r="C837" s="10">
        <x:v>14205</x:v>
      </x:c>
      <x:c r="D837" s="10" t="s">
        <x:v>0</x:v>
      </x:c>
      <x:c r="E837" s="10" t="s">
        <x:v>32</x:v>
      </x:c>
      <x:c r="F837" s="10">
        <x:v>30</x:v>
      </x:c>
      <x:c r="G837" s="10">
        <x:v>192</x:v>
      </x:c>
      <x:c r="H837" s="22">
        <x:f t="shared" si="13"/>
        <x:v>8676.2941900312489</x:v>
      </x:c>
      <x:c r="I837" s="22">
        <x:v>1665848.4844859999</x:v>
      </x:c>
      <x:c r="J837" s="10">
        <x:v>43</x:v>
      </x:c>
      <x:c r="K837" s="10">
        <x:v>8</x:v>
      </x:c>
    </x:row>
    <x:row r="838">
      <x:c r="A838" s="10" t="s">
        <x:v>60</x:v>
      </x:c>
      <x:c r="B838" s="10">
        <x:v>6974</x:v>
      </x:c>
      <x:c r="C838" s="10">
        <x:v>14206</x:v>
      </x:c>
      <x:c r="D838" s="10" t="s">
        <x:v>0</x:v>
      </x:c>
      <x:c r="E838" s="10" t="s">
        <x:v>24</x:v>
      </x:c>
      <x:c r="F838" s="10">
        <x:v>26</x:v>
      </x:c>
      <x:c r="G838" s="10">
        <x:v>192</x:v>
      </x:c>
      <x:c r="H838" s="22">
        <x:f t="shared" si="13"/>
        <x:v>10652.978656003646</x:v>
      </x:c>
      <x:c r="I838" s="22">
        <x:v>2045371.9019527</x:v>
      </x:c>
      <x:c r="J838" s="10">
        <x:v>43</x:v>
      </x:c>
      <x:c r="K838" s="10">
        <x:v>9</x:v>
      </x:c>
    </x:row>
    <x:row r="839">
      <x:c r="A839" s="10" t="s">
        <x:v>60</x:v>
      </x:c>
      <x:c r="B839" s="10">
        <x:v>5997</x:v>
      </x:c>
      <x:c r="C839" s="10">
        <x:v>14207</x:v>
      </x:c>
      <x:c r="D839" s="10" t="s">
        <x:v>0</x:v>
      </x:c>
      <x:c r="E839" s="10" t="s">
        <x:v>63</x:v>
      </x:c>
      <x:c r="F839" s="10">
        <x:v>15</x:v>
      </x:c>
      <x:c r="G839" s="10">
        <x:v>97</x:v>
      </x:c>
      <x:c r="H839" s="22">
        <x:f t="shared" si="13"/>
        <x:v>10543.15413377732</x:v>
      </x:c>
      <x:c r="I839" s="22">
        <x:v>1022685.9509764001</x:v>
      </x:c>
      <x:c r="J839" s="10">
        <x:v>43</x:v>
      </x:c>
      <x:c r="K839" s="10">
        <x:v>10</x:v>
      </x:c>
    </x:row>
    <x:row r="840">
      <x:c r="A840" s="10" t="s">
        <x:v>60</x:v>
      </x:c>
      <x:c r="B840" s="10">
        <x:v>8673</x:v>
      </x:c>
      <x:c r="C840" s="10">
        <x:v>14208</x:v>
      </x:c>
      <x:c r="D840" s="10" t="s">
        <x:v>0</x:v>
      </x:c>
      <x:c r="E840" s="10" t="s">
        <x:v>0</x:v>
      </x:c>
      <x:c r="F840" s="10">
        <x:v>42</x:v>
      </x:c>
      <x:c r="G840" s="10">
        <x:v>200</x:v>
      </x:c>
      <x:c r="H840" s="22">
        <x:f t="shared" si="13"/>
        <x:v>13000</x:v>
      </x:c>
      <x:c r="I840" s="22">
        <x:v>2600000</x:v>
      </x:c>
      <x:c r="J840" s="10">
        <x:v>43</x:v>
      </x:c>
      <x:c r="K840" s="10">
        <x:v>11</x:v>
      </x:c>
    </x:row>
    <x:row r="841">
      <x:c r="A841" s="10" t="s">
        <x:v>60</x:v>
      </x:c>
      <x:c r="B841" s="10">
        <x:v>8622</x:v>
      </x:c>
      <x:c r="C841" s="10">
        <x:v>14209</x:v>
      </x:c>
      <x:c r="D841" s="10" t="s">
        <x:v>9</x:v>
      </x:c>
      <x:c r="E841" s="10" t="s">
        <x:v>9</x:v>
      </x:c>
      <x:c r="F841" s="10">
        <x:v>45</x:v>
      </x:c>
      <x:c r="G841" s="10">
        <x:v>198</x:v>
      </x:c>
      <x:c r="H841" s="22">
        <x:f t="shared" si="13"/>
        <x:v>9000</x:v>
      </x:c>
      <x:c r="I841" s="22">
        <x:v>1782000</x:v>
      </x:c>
      <x:c r="J841" s="10">
        <x:v>43</x:v>
      </x:c>
      <x:c r="K841" s="10">
        <x:v>12</x:v>
      </x:c>
    </x:row>
    <x:row r="842">
      <x:c r="A842" s="10" t="s">
        <x:v>60</x:v>
      </x:c>
      <x:c r="B842" s="10">
        <x:v>3256</x:v>
      </x:c>
      <x:c r="C842" s="10">
        <x:v>14210</x:v>
      </x:c>
      <x:c r="D842" s="10" t="s">
        <x:v>0</x:v>
      </x:c>
      <x:c r="E842" s="10" t="s">
        <x:v>24</x:v>
      </x:c>
      <x:c r="F842" s="10">
        <x:v>16</x:v>
      </x:c>
      <x:c r="G842" s="10">
        <x:v>96</x:v>
      </x:c>
      <x:c r="H842" s="22">
        <x:f t="shared" si="13"/>
        <x:v>10652.978656004167</x:v>
      </x:c>
      <x:c r="I842" s="22">
        <x:v>1022685.9509764001</x:v>
      </x:c>
      <x:c r="J842" s="10">
        <x:v>43</x:v>
      </x:c>
      <x:c r="K842" s="10">
        <x:v>13</x:v>
      </x:c>
    </x:row>
    <x:row r="843">
      <x:c r="A843" s="10" t="s">
        <x:v>60</x:v>
      </x:c>
      <x:c r="B843" s="10">
        <x:v>6873</x:v>
      </x:c>
      <x:c r="C843" s="10">
        <x:v>14211</x:v>
      </x:c>
      <x:c r="D843" s="10" t="s">
        <x:v>0</x:v>
      </x:c>
      <x:c r="E843" s="10" t="s">
        <x:v>24</x:v>
      </x:c>
      <x:c r="F843" s="10">
        <x:v>47</x:v>
      </x:c>
      <x:c r="G843" s="10">
        <x:v>289</x:v>
      </x:c>
      <x:c r="H843" s="22">
        <x:f t="shared" si="13"/>
        <x:v>10616.117138162976</x:v>
      </x:c>
      <x:c r="I843" s="22">
        <x:v>3068057.8529290999</x:v>
      </x:c>
      <x:c r="J843" s="10">
        <x:v>43</x:v>
      </x:c>
      <x:c r="K843" s="10">
        <x:v>14</x:v>
      </x:c>
    </x:row>
    <x:row r="844">
      <x:c r="A844" s="10" t="s">
        <x:v>60</x:v>
      </x:c>
      <x:c r="B844" s="10">
        <x:v>6058</x:v>
      </x:c>
      <x:c r="C844" s="10">
        <x:v>14212</x:v>
      </x:c>
      <x:c r="D844" s="10" t="s">
        <x:v>0</x:v>
      </x:c>
      <x:c r="E844" s="10" t="s">
        <x:v>63</x:v>
      </x:c>
      <x:c r="F844" s="10">
        <x:v>31</x:v>
      </x:c>
      <x:c r="G844" s="10">
        <x:v>192</x:v>
      </x:c>
      <x:c r="H844" s="22">
        <x:f t="shared" si="13"/>
        <x:v>10652.978656003646</x:v>
      </x:c>
      <x:c r="I844" s="22">
        <x:v>2045371.9019527</x:v>
      </x:c>
      <x:c r="J844" s="10">
        <x:v>43</x:v>
      </x:c>
      <x:c r="K844" s="10">
        <x:v>15</x:v>
      </x:c>
    </x:row>
    <x:row r="845">
      <x:c r="A845" s="10" t="s">
        <x:v>60</x:v>
      </x:c>
      <x:c r="B845" s="10">
        <x:v>6908</x:v>
      </x:c>
      <x:c r="C845" s="10">
        <x:v>14213</x:v>
      </x:c>
      <x:c r="D845" s="10" t="s">
        <x:v>0</x:v>
      </x:c>
      <x:c r="E845" s="10" t="s">
        <x:v>23</x:v>
      </x:c>
      <x:c r="F845" s="10">
        <x:v>37</x:v>
      </x:c>
      <x:c r="G845" s="10">
        <x:v>205</x:v>
      </x:c>
      <x:c r="H845" s="22">
        <x:f t="shared" si="13"/>
        <x:v>9684.7409851351222</x:v>
      </x:c>
      <x:c r="I845" s="22">
        <x:v>1985371.9019527</x:v>
      </x:c>
      <x:c r="J845" s="10">
        <x:v>43</x:v>
      </x:c>
      <x:c r="K845" s="10">
        <x:v>16</x:v>
      </x:c>
    </x:row>
    <x:row r="846">
      <x:c r="A846" s="10" t="s">
        <x:v>60</x:v>
      </x:c>
      <x:c r="B846" s="10">
        <x:v>6912</x:v>
      </x:c>
      <x:c r="C846" s="10">
        <x:v>14214</x:v>
      </x:c>
      <x:c r="D846" s="10" t="s">
        <x:v>0</x:v>
      </x:c>
      <x:c r="E846" s="10" t="s">
        <x:v>23</x:v>
      </x:c>
      <x:c r="F846" s="10">
        <x:v>37</x:v>
      </x:c>
      <x:c r="G846" s="10">
        <x:v>208</x:v>
      </x:c>
      <x:c r="H846" s="22">
        <x:f t="shared" si="13"/>
        <x:v>9545.0572209264428</x:v>
      </x:c>
      <x:c r="I846" s="22">
        <x:v>1985371.9019527</x:v>
      </x:c>
      <x:c r="J846" s="10">
        <x:v>43</x:v>
      </x:c>
      <x:c r="K846" s="10">
        <x:v>17</x:v>
      </x:c>
    </x:row>
    <x:row r="847">
      <x:c r="A847" s="10" t="s">
        <x:v>60</x:v>
      </x:c>
      <x:c r="B847" s="10">
        <x:v>6913</x:v>
      </x:c>
      <x:c r="C847" s="10">
        <x:v>14215</x:v>
      </x:c>
      <x:c r="D847" s="10" t="s">
        <x:v>0</x:v>
      </x:c>
      <x:c r="E847" s="10" t="s">
        <x:v>23</x:v>
      </x:c>
      <x:c r="F847" s="10">
        <x:v>35</x:v>
      </x:c>
      <x:c r="G847" s="10">
        <x:v>207</x:v>
      </x:c>
      <x:c r="H847" s="22">
        <x:f t="shared" si="13"/>
        <x:v>9591.1686084671492</x:v>
      </x:c>
      <x:c r="I847" s="22">
        <x:v>1985371.9019527</x:v>
      </x:c>
      <x:c r="J847" s="10">
        <x:v>43</x:v>
      </x:c>
      <x:c r="K847" s="10">
        <x:v>18</x:v>
      </x:c>
    </x:row>
    <x:row r="848">
      <x:c r="A848" s="10" t="s">
        <x:v>60</x:v>
      </x:c>
      <x:c r="B848" s="10">
        <x:v>6819</x:v>
      </x:c>
      <x:c r="C848" s="10">
        <x:v>14216</x:v>
      </x:c>
      <x:c r="D848" s="10" t="s">
        <x:v>0</x:v>
      </x:c>
      <x:c r="E848" s="10" t="s">
        <x:v>24</x:v>
      </x:c>
      <x:c r="F848" s="10">
        <x:v>27</x:v>
      </x:c>
      <x:c r="G848" s="10">
        <x:v>192</x:v>
      </x:c>
      <x:c r="H848" s="22">
        <x:f t="shared" si="13"/>
        <x:v>10652.978656003646</x:v>
      </x:c>
      <x:c r="I848" s="22">
        <x:v>2045371.9019527</x:v>
      </x:c>
      <x:c r="J848" s="10">
        <x:v>43</x:v>
      </x:c>
      <x:c r="K848" s="10">
        <x:v>19</x:v>
      </x:c>
    </x:row>
    <x:row r="849">
      <x:c r="A849" s="10" t="s">
        <x:v>60</x:v>
      </x:c>
      <x:c r="B849" s="10">
        <x:v>10823</x:v>
      </x:c>
      <x:c r="C849" s="10">
        <x:v>14217</x:v>
      </x:c>
      <x:c r="D849" s="10" t="s">
        <x:v>0</x:v>
      </x:c>
      <x:c r="E849" s="10" t="s">
        <x:v>37</x:v>
      </x:c>
      <x:c r="F849" s="10">
        <x:v>43</x:v>
      </x:c>
      <x:c r="G849" s="10">
        <x:v>195</x:v>
      </x:c>
      <x:c r="H849" s="22">
        <x:f t="shared" si="13"/>
        <x:v>8542.8127409538465</x:v>
      </x:c>
      <x:c r="I849" s="22">
        <x:v>1665848.4844859999</x:v>
      </x:c>
      <x:c r="J849" s="10">
        <x:v>43</x:v>
      </x:c>
      <x:c r="K849" s="10">
        <x:v>20</x:v>
      </x:c>
    </x:row>
    <x:row r="850">
      <x:c r="A850" s="10" t="s">
        <x:v>60</x:v>
      </x:c>
      <x:c r="B850" s="10">
        <x:v>6646</x:v>
      </x:c>
      <x:c r="C850" s="10">
        <x:v>14218</x:v>
      </x:c>
      <x:c r="D850" s="10" t="s">
        <x:v>5</x:v>
      </x:c>
      <x:c r="E850" s="10" t="s">
        <x:v>70</x:v>
      </x:c>
      <x:c r="F850" s="10">
        <x:v>0</x:v>
      </x:c>
      <x:c r="G850" s="10">
        <x:v>232</x:v>
      </x:c>
      <x:c r="H850" s="22">
        <x:f t="shared" si="13"/>
        <x:v>2779.3103448275861</x:v>
      </x:c>
      <x:c r="I850" s="22">
        <x:v>644800</x:v>
      </x:c>
      <x:c r="J850" s="10">
        <x:v>44</x:v>
      </x:c>
      <x:c r="K850" s="10">
        <x:v>1</x:v>
      </x:c>
    </x:row>
    <x:row r="851">
      <x:c r="A851" s="10" t="s">
        <x:v>60</x:v>
      </x:c>
      <x:c r="B851" s="10">
        <x:v>6648</x:v>
      </x:c>
      <x:c r="C851" s="10">
        <x:v>14219</x:v>
      </x:c>
      <x:c r="D851" s="10" t="s">
        <x:v>5</x:v>
      </x:c>
      <x:c r="E851" s="10" t="s">
        <x:v>70</x:v>
      </x:c>
      <x:c r="F851" s="10">
        <x:v>0</x:v>
      </x:c>
      <x:c r="G851" s="10">
        <x:v>242</x:v>
      </x:c>
      <x:c r="H851" s="22">
        <x:f t="shared" si="13"/>
        <x:v>2722.3140495867769</x:v>
      </x:c>
      <x:c r="I851" s="22">
        <x:v>658800</x:v>
      </x:c>
      <x:c r="J851" s="10">
        <x:v>44</x:v>
      </x:c>
      <x:c r="K851" s="10">
        <x:v>2</x:v>
      </x:c>
    </x:row>
    <x:row r="852">
      <x:c r="A852" s="10" t="s">
        <x:v>60</x:v>
      </x:c>
      <x:c r="B852" s="10">
        <x:v>10464</x:v>
      </x:c>
      <x:c r="C852" s="10">
        <x:v>14220</x:v>
      </x:c>
      <x:c r="D852" s="10" t="s">
        <x:v>10</x:v>
      </x:c>
      <x:c r="E852" s="10" t="s">
        <x:v>10</x:v>
      </x:c>
      <x:c r="F852" s="10">
        <x:v>0</x:v>
      </x:c>
      <x:c r="G852" s="10">
        <x:v>117</x:v>
      </x:c>
      <x:c r="H852" s="22">
        <x:f t="shared" si="13"/>
        <x:v>8602.1378294333335</x:v>
      </x:c>
      <x:c r="I852" s="22">
        <x:v>1006450.1260437</x:v>
      </x:c>
      <x:c r="J852" s="10">
        <x:v>44</x:v>
      </x:c>
      <x:c r="K852" s="10">
        <x:v>3</x:v>
      </x:c>
    </x:row>
    <x:row r="853">
      <x:c r="A853" s="10" t="s">
        <x:v>60</x:v>
      </x:c>
      <x:c r="B853" s="10">
        <x:v>10459</x:v>
      </x:c>
      <x:c r="C853" s="10">
        <x:v>14221</x:v>
      </x:c>
      <x:c r="D853" s="10" t="s">
        <x:v>10</x:v>
      </x:c>
      <x:c r="E853" s="10" t="s">
        <x:v>10</x:v>
      </x:c>
      <x:c r="F853" s="10">
        <x:v>0</x:v>
      </x:c>
      <x:c r="G853" s="10">
        <x:v>116</x:v>
      </x:c>
      <x:c r="H853" s="22">
        <x:f t="shared" si="13"/>
        <x:v>8676.2941900318965</x:v>
      </x:c>
      <x:c r="I853" s="22">
        <x:v>1006450.1260437</x:v>
      </x:c>
      <x:c r="J853" s="10">
        <x:v>44</x:v>
      </x:c>
      <x:c r="K853" s="10">
        <x:v>4</x:v>
      </x:c>
    </x:row>
    <x:row r="854">
      <x:c r="A854" s="10" t="s">
        <x:v>60</x:v>
      </x:c>
      <x:c r="B854" s="10">
        <x:v>6709</x:v>
      </x:c>
      <x:c r="C854" s="10">
        <x:v>14222</x:v>
      </x:c>
      <x:c r="D854" s="10" t="s">
        <x:v>5</x:v>
      </x:c>
      <x:c r="E854" s="10" t="s">
        <x:v>70</x:v>
      </x:c>
      <x:c r="F854" s="10">
        <x:v>0</x:v>
      </x:c>
      <x:c r="G854" s="10">
        <x:v>218</x:v>
      </x:c>
      <x:c r="H854" s="22">
        <x:f t="shared" si="13"/>
        <x:v>3005.5045871559632</x:v>
      </x:c>
      <x:c r="I854" s="22">
        <x:v>655200</x:v>
      </x:c>
      <x:c r="J854" s="10">
        <x:v>44</x:v>
      </x:c>
      <x:c r="K854" s="10">
        <x:v>5</x:v>
      </x:c>
    </x:row>
    <x:row r="855">
      <x:c r="A855" s="10" t="s">
        <x:v>60</x:v>
      </x:c>
      <x:c r="B855" s="10">
        <x:v>10941</x:v>
      </x:c>
      <x:c r="C855" s="10">
        <x:v>14223</x:v>
      </x:c>
      <x:c r="D855" s="10" t="s">
        <x:v>5</x:v>
      </x:c>
      <x:c r="E855" s="10" t="s">
        <x:v>5</x:v>
      </x:c>
      <x:c r="F855" s="10">
        <x:v>0</x:v>
      </x:c>
      <x:c r="G855" s="10">
        <x:v>167</x:v>
      </x:c>
      <x:c r="H855" s="22">
        <x:f t="shared" si="13"/>
        <x:v>10792.708697728143</x:v>
      </x:c>
      <x:c r="I855" s="22">
        <x:v>1802382.3525206</x:v>
      </x:c>
      <x:c r="J855" s="10">
        <x:v>44</x:v>
      </x:c>
      <x:c r="K855" s="10">
        <x:v>6</x:v>
      </x:c>
    </x:row>
    <x:row r="856">
      <x:c r="A856" s="10" t="s">
        <x:v>60</x:v>
      </x:c>
      <x:c r="B856" s="10">
        <x:v>6652</x:v>
      </x:c>
      <x:c r="C856" s="10">
        <x:v>14224</x:v>
      </x:c>
      <x:c r="D856" s="10" t="s">
        <x:v>5</x:v>
      </x:c>
      <x:c r="E856" s="10" t="s">
        <x:v>70</x:v>
      </x:c>
      <x:c r="F856" s="10">
        <x:v>0</x:v>
      </x:c>
      <x:c r="G856" s="10">
        <x:v>163</x:v>
      </x:c>
      <x:c r="H856" s="22">
        <x:f t="shared" si="13"/>
        <x:v>3117.7914110429447</x:v>
      </x:c>
      <x:c r="I856" s="22">
        <x:v>508200</x:v>
      </x:c>
      <x:c r="J856" s="10">
        <x:v>44</x:v>
      </x:c>
      <x:c r="K856" s="10">
        <x:v>7</x:v>
      </x:c>
    </x:row>
    <x:row r="857">
      <x:c r="A857" s="10" t="s">
        <x:v>60</x:v>
      </x:c>
      <x:c r="B857" s="10">
        <x:v>6693</x:v>
      </x:c>
      <x:c r="C857" s="10">
        <x:v>14225</x:v>
      </x:c>
      <x:c r="D857" s="10" t="s">
        <x:v>5</x:v>
      </x:c>
      <x:c r="E857" s="10" t="s">
        <x:v>70</x:v>
      </x:c>
      <x:c r="F857" s="10">
        <x:v>0</x:v>
      </x:c>
      <x:c r="G857" s="10">
        <x:v>213</x:v>
      </x:c>
      <x:c r="H857" s="22">
        <x:f t="shared" si="13"/>
        <x:v>2902.3474178403758</x:v>
      </x:c>
      <x:c r="I857" s="22">
        <x:v>618200</x:v>
      </x:c>
      <x:c r="J857" s="10">
        <x:v>44</x:v>
      </x:c>
      <x:c r="K857" s="10">
        <x:v>8</x:v>
      </x:c>
    </x:row>
    <x:row r="858">
      <x:c r="A858" s="10" t="s">
        <x:v>60</x:v>
      </x:c>
      <x:c r="B858" s="10">
        <x:v>6694</x:v>
      </x:c>
      <x:c r="C858" s="10">
        <x:v>14226</x:v>
      </x:c>
      <x:c r="D858" s="10" t="s">
        <x:v>5</x:v>
      </x:c>
      <x:c r="E858" s="10" t="s">
        <x:v>70</x:v>
      </x:c>
      <x:c r="F858" s="10">
        <x:v>0</x:v>
      </x:c>
      <x:c r="G858" s="10">
        <x:v>166</x:v>
      </x:c>
      <x:c r="H858" s="22">
        <x:f t="shared" si="13"/>
        <x:v>3327.7108433734938</x:v>
      </x:c>
      <x:c r="I858" s="22">
        <x:v>552400</x:v>
      </x:c>
      <x:c r="J858" s="10">
        <x:v>44</x:v>
      </x:c>
      <x:c r="K858" s="10">
        <x:v>9</x:v>
      </x:c>
    </x:row>
    <x:row r="859">
      <x:c r="A859" s="10" t="s">
        <x:v>60</x:v>
      </x:c>
      <x:c r="B859" s="10">
        <x:v>6727</x:v>
      </x:c>
      <x:c r="C859" s="10">
        <x:v>14227</x:v>
      </x:c>
      <x:c r="D859" s="10" t="s">
        <x:v>5</x:v>
      </x:c>
      <x:c r="E859" s="10" t="s">
        <x:v>56</x:v>
      </x:c>
      <x:c r="F859" s="10">
        <x:v>0</x:v>
      </x:c>
      <x:c r="G859" s="10">
        <x:v>210</x:v>
      </x:c>
      <x:c r="H859" s="22">
        <x:f t="shared" si="13"/>
        <x:v>2866.6666666666665</x:v>
      </x:c>
      <x:c r="I859" s="22">
        <x:v>602000</x:v>
      </x:c>
      <x:c r="J859" s="10">
        <x:v>44</x:v>
      </x:c>
      <x:c r="K859" s="10">
        <x:v>10</x:v>
      </x:c>
    </x:row>
    <x:row r="860">
      <x:c r="A860" s="10" t="s">
        <x:v>60</x:v>
      </x:c>
      <x:c r="B860" s="10">
        <x:v>10465</x:v>
      </x:c>
      <x:c r="C860" s="10">
        <x:v>14228</x:v>
      </x:c>
      <x:c r="D860" s="10" t="s">
        <x:v>10</x:v>
      </x:c>
      <x:c r="E860" s="10" t="s">
        <x:v>10</x:v>
      </x:c>
      <x:c r="F860" s="10">
        <x:v>0</x:v>
      </x:c>
      <x:c r="G860" s="10">
        <x:v>107</x:v>
      </x:c>
      <x:c r="H860" s="22">
        <x:f t="shared" si="13"/>
        <x:v>9090.6553835855138</x:v>
      </x:c>
      <x:c r="I860" s="22">
        <x:v>972700.12604364997</x:v>
      </x:c>
      <x:c r="J860" s="10">
        <x:v>44</x:v>
      </x:c>
      <x:c r="K860" s="10">
        <x:v>11</x:v>
      </x:c>
    </x:row>
    <x:row r="861">
      <x:c r="A861" s="10" t="s">
        <x:v>60</x:v>
      </x:c>
      <x:c r="B861" s="10">
        <x:v>10463</x:v>
      </x:c>
      <x:c r="C861" s="10">
        <x:v>14229</x:v>
      </x:c>
      <x:c r="D861" s="10" t="s">
        <x:v>10</x:v>
      </x:c>
      <x:c r="E861" s="10" t="s">
        <x:v>10</x:v>
      </x:c>
      <x:c r="F861" s="10">
        <x:v>0</x:v>
      </x:c>
      <x:c r="G861" s="10">
        <x:v>109</x:v>
      </x:c>
      <x:c r="H861" s="22">
        <x:f t="shared" si="13"/>
        <x:v>8992.6617068224768</x:v>
      </x:c>
      <x:c r="I861" s="22">
        <x:v>980200.12604364997</x:v>
      </x:c>
      <x:c r="J861" s="10">
        <x:v>44</x:v>
      </x:c>
      <x:c r="K861" s="10">
        <x:v>12</x:v>
      </x:c>
    </x:row>
    <x:row r="862">
      <x:c r="A862" s="10" t="s">
        <x:v>60</x:v>
      </x:c>
      <x:c r="B862" s="10">
        <x:v>9457</x:v>
      </x:c>
      <x:c r="C862" s="10">
        <x:v>14230</x:v>
      </x:c>
      <x:c r="D862" s="10" t="s">
        <x:v>7</x:v>
      </x:c>
      <x:c r="E862" s="10" t="s">
        <x:v>7</x:v>
      </x:c>
      <x:c r="F862" s="10">
        <x:v>0</x:v>
      </x:c>
      <x:c r="G862" s="10">
        <x:v>49</x:v>
      </x:c>
      <x:c r="H862" s="22">
        <x:f t="shared" si="13"/>
        <x:v>0</x:v>
      </x:c>
      <x:c r="I862" s="22">
        <x:v>0</x:v>
      </x:c>
      <x:c r="J862" s="10">
        <x:v>44</x:v>
      </x:c>
      <x:c r="K862" s="10">
        <x:v>13</x:v>
      </x:c>
    </x:row>
    <x:row r="863">
      <x:c r="A863" s="10" t="s">
        <x:v>60</x:v>
      </x:c>
      <x:c r="B863" s="10">
        <x:v>9526</x:v>
      </x:c>
      <x:c r="C863" s="10">
        <x:v>14231</x:v>
      </x:c>
      <x:c r="D863" s="10" t="s">
        <x:v>5</x:v>
      </x:c>
      <x:c r="E863" s="10" t="s">
        <x:v>5</x:v>
      </x:c>
      <x:c r="F863" s="10">
        <x:v>0</x:v>
      </x:c>
      <x:c r="G863" s="10">
        <x:v>115</x:v>
      </x:c>
      <x:c r="H863" s="22">
        <x:f t="shared" si="13"/>
        <x:v>4000</x:v>
      </x:c>
      <x:c r="I863" s="22">
        <x:v>460000</x:v>
      </x:c>
      <x:c r="J863" s="10">
        <x:v>44</x:v>
      </x:c>
      <x:c r="K863" s="10">
        <x:v>14</x:v>
      </x:c>
    </x:row>
    <x:row r="864">
      <x:c r="A864" s="10" t="s">
        <x:v>60</x:v>
      </x:c>
      <x:c r="B864" s="10">
        <x:v>9370</x:v>
      </x:c>
      <x:c r="C864" s="10">
        <x:v>14232</x:v>
      </x:c>
      <x:c r="D864" s="10" t="s">
        <x:v>10</x:v>
      </x:c>
      <x:c r="E864" s="10" t="s">
        <x:v>10</x:v>
      </x:c>
      <x:c r="F864" s="10">
        <x:v>0</x:v>
      </x:c>
      <x:c r="G864" s="10">
        <x:v>133</x:v>
      </x:c>
      <x:c r="H864" s="22">
        <x:f t="shared" si="13"/>
        <x:v>4000</x:v>
      </x:c>
      <x:c r="I864" s="22">
        <x:v>532000</x:v>
      </x:c>
      <x:c r="J864" s="10">
        <x:v>44</x:v>
      </x:c>
      <x:c r="K864" s="10">
        <x:v>15</x:v>
      </x:c>
    </x:row>
    <x:row r="865">
      <x:c r="A865" s="10" t="s">
        <x:v>60</x:v>
      </x:c>
      <x:c r="B865" s="10">
        <x:v>9597</x:v>
      </x:c>
      <x:c r="C865" s="10">
        <x:v>14233</x:v>
      </x:c>
      <x:c r="D865" s="10" t="s">
        <x:v>5</x:v>
      </x:c>
      <x:c r="E865" s="10" t="s">
        <x:v>5</x:v>
      </x:c>
      <x:c r="F865" s="10">
        <x:v>0</x:v>
      </x:c>
      <x:c r="G865" s="10">
        <x:v>349</x:v>
      </x:c>
      <x:c r="H865" s="22">
        <x:f t="shared" si="13"/>
        <x:v>4000</x:v>
      </x:c>
      <x:c r="I865" s="22">
        <x:v>1396000</x:v>
      </x:c>
      <x:c r="J865" s="10">
        <x:v>44</x:v>
      </x:c>
      <x:c r="K865" s="10">
        <x:v>16</x:v>
      </x:c>
    </x:row>
    <x:row r="866">
      <x:c r="A866" s="10" t="s">
        <x:v>60</x:v>
      </x:c>
      <x:c r="B866" s="10">
        <x:v>6645</x:v>
      </x:c>
      <x:c r="C866" s="10">
        <x:v>14234</x:v>
      </x:c>
      <x:c r="D866" s="10" t="s">
        <x:v>5</x:v>
      </x:c>
      <x:c r="E866" s="10" t="s">
        <x:v>70</x:v>
      </x:c>
      <x:c r="F866" s="10">
        <x:v>0</x:v>
      </x:c>
      <x:c r="G866" s="10">
        <x:v>154</x:v>
      </x:c>
      <x:c r="H866" s="22">
        <x:f t="shared" si="13"/>
        <x:v>3577.9220779220777</x:v>
      </x:c>
      <x:c r="I866" s="22">
        <x:v>551000</x:v>
      </x:c>
      <x:c r="J866" s="10">
        <x:v>44</x:v>
      </x:c>
      <x:c r="K866" s="10">
        <x:v>17</x:v>
      </x:c>
    </x:row>
    <x:row r="867">
      <x:c r="A867" s="10" t="s">
        <x:v>60</x:v>
      </x:c>
      <x:c r="B867" s="10">
        <x:v>6647</x:v>
      </x:c>
      <x:c r="C867" s="10">
        <x:v>14235</x:v>
      </x:c>
      <x:c r="D867" s="10" t="s">
        <x:v>5</x:v>
      </x:c>
      <x:c r="E867" s="10" t="s">
        <x:v>70</x:v>
      </x:c>
      <x:c r="F867" s="10">
        <x:v>0</x:v>
      </x:c>
      <x:c r="G867" s="10">
        <x:v>226</x:v>
      </x:c>
      <x:c r="H867" s="22">
        <x:f t="shared" si="13"/>
        <x:v>2815.929203539823</x:v>
      </x:c>
      <x:c r="I867" s="22">
        <x:v>636400</x:v>
      </x:c>
      <x:c r="J867" s="10">
        <x:v>44</x:v>
      </x:c>
      <x:c r="K867" s="10">
        <x:v>18</x:v>
      </x:c>
    </x:row>
    <x:row r="868">
      <x:c r="A868" s="10" t="s">
        <x:v>60</x:v>
      </x:c>
      <x:c r="B868" s="10">
        <x:v>10568</x:v>
      </x:c>
      <x:c r="C868" s="10">
        <x:v>14236</x:v>
      </x:c>
      <x:c r="D868" s="10" t="s">
        <x:v>5</x:v>
      </x:c>
      <x:c r="E868" s="10" t="s">
        <x:v>5</x:v>
      </x:c>
      <x:c r="F868" s="10">
        <x:v>0</x:v>
      </x:c>
      <x:c r="G868" s="10">
        <x:v>54</x:v>
      </x:c>
      <x:c r="H868" s="22">
        <x:f t="shared" si="13"/>
        <x:v>12776.681160494443</x:v>
      </x:c>
      <x:c r="I868" s="22">
        <x:v>689940.78266669996</x:v>
      </x:c>
      <x:c r="J868" s="10">
        <x:v>44</x:v>
      </x:c>
      <x:c r="K868" s="10">
        <x:v>19</x:v>
      </x:c>
    </x:row>
    <x:row r="869">
      <x:c r="A869" s="10" t="s">
        <x:v>60</x:v>
      </x:c>
      <x:c r="B869" s="10">
        <x:v>10937</x:v>
      </x:c>
      <x:c r="C869" s="10">
        <x:v>14237</x:v>
      </x:c>
      <x:c r="D869" s="10" t="s">
        <x:v>7</x:v>
      </x:c>
      <x:c r="E869" s="10" t="s">
        <x:v>7</x:v>
      </x:c>
      <x:c r="F869" s="10">
        <x:v>0</x:v>
      </x:c>
      <x:c r="G869" s="10">
        <x:v>57</x:v>
      </x:c>
      <x:c r="H869" s="22">
        <x:f t="shared" si="13"/>
        <x:v>13278.127138224561</x:v>
      </x:c>
      <x:c r="I869" s="22">
        <x:v>756853.24687879998</x:v>
      </x:c>
      <x:c r="J869" s="10">
        <x:v>44</x:v>
      </x:c>
      <x:c r="K869" s="10">
        <x:v>20</x:v>
      </x:c>
    </x:row>
    <x:row r="870">
      <x:c r="A870" s="10" t="s">
        <x:v>60</x:v>
      </x:c>
      <x:c r="B870" s="10">
        <x:v>6893</x:v>
      </x:c>
      <x:c r="C870" s="10">
        <x:v>14238</x:v>
      </x:c>
      <x:c r="D870" s="10" t="s">
        <x:v>0</x:v>
      </x:c>
      <x:c r="E870" s="10" t="s">
        <x:v>42</x:v>
      </x:c>
      <x:c r="F870" s="10">
        <x:v>20</x:v>
      </x:c>
      <x:c r="G870" s="10">
        <x:v>104</x:v>
      </x:c>
      <x:c r="H870" s="22">
        <x:f t="shared" si="13"/>
        <x:v>9833.5187593884621</x:v>
      </x:c>
      <x:c r="I870" s="22">
        <x:v>1022685.9509764001</x:v>
      </x:c>
      <x:c r="J870" s="10">
        <x:v>45</x:v>
      </x:c>
      <x:c r="K870" s="10">
        <x:v>1</x:v>
      </x:c>
    </x:row>
    <x:row r="871">
      <x:c r="A871" s="10" t="s">
        <x:v>60</x:v>
      </x:c>
      <x:c r="B871" s="10">
        <x:v>10830</x:v>
      </x:c>
      <x:c r="C871" s="10">
        <x:v>14239</x:v>
      </x:c>
      <x:c r="D871" s="10" t="s">
        <x:v>0</x:v>
      </x:c>
      <x:c r="E871" s="10" t="s">
        <x:v>37</x:v>
      </x:c>
      <x:c r="F871" s="10">
        <x:v>42</x:v>
      </x:c>
      <x:c r="G871" s="10">
        <x:v>192</x:v>
      </x:c>
      <x:c r="H871" s="22">
        <x:f t="shared" si="13"/>
        <x:v>8676.2941900312489</x:v>
      </x:c>
      <x:c r="I871" s="22">
        <x:v>1665848.4844859999</x:v>
      </x:c>
      <x:c r="J871" s="10">
        <x:v>45</x:v>
      </x:c>
      <x:c r="K871" s="10">
        <x:v>2</x:v>
      </x:c>
    </x:row>
    <x:row r="872">
      <x:c r="A872" s="10" t="s">
        <x:v>60</x:v>
      </x:c>
      <x:c r="B872" s="10">
        <x:v>10811</x:v>
      </x:c>
      <x:c r="C872" s="10">
        <x:v>14240</x:v>
      </x:c>
      <x:c r="D872" s="10" t="s">
        <x:v>0</x:v>
      </x:c>
      <x:c r="E872" s="10" t="s">
        <x:v>22</x:v>
      </x:c>
      <x:c r="F872" s="10">
        <x:v>36</x:v>
      </x:c>
      <x:c r="G872" s="10">
        <x:v>193</x:v>
      </x:c>
      <x:c r="H872" s="22">
        <x:f t="shared" si="13"/>
        <x:v>8631.3392978549218</x:v>
      </x:c>
      <x:c r="I872" s="22">
        <x:v>1665848.4844859999</x:v>
      </x:c>
      <x:c r="J872" s="10">
        <x:v>45</x:v>
      </x:c>
      <x:c r="K872" s="10">
        <x:v>3</x:v>
      </x:c>
    </x:row>
    <x:row r="873">
      <x:c r="A873" s="10" t="s">
        <x:v>60</x:v>
      </x:c>
      <x:c r="B873" s="10">
        <x:v>10834</x:v>
      </x:c>
      <x:c r="C873" s="10">
        <x:v>14241</x:v>
      </x:c>
      <x:c r="D873" s="10" t="s">
        <x:v>0</x:v>
      </x:c>
      <x:c r="E873" s="10" t="s">
        <x:v>37</x:v>
      </x:c>
      <x:c r="F873" s="10">
        <x:v>46</x:v>
      </x:c>
      <x:c r="G873" s="10">
        <x:v>192</x:v>
      </x:c>
      <x:c r="H873" s="22">
        <x:f t="shared" si="13"/>
        <x:v>8676.2941900312489</x:v>
      </x:c>
      <x:c r="I873" s="22">
        <x:v>1665848.4844859999</x:v>
      </x:c>
      <x:c r="J873" s="10">
        <x:v>45</x:v>
      </x:c>
      <x:c r="K873" s="10">
        <x:v>4</x:v>
      </x:c>
    </x:row>
    <x:row r="874">
      <x:c r="A874" s="10" t="s">
        <x:v>60</x:v>
      </x:c>
      <x:c r="B874" s="10">
        <x:v>10802</x:v>
      </x:c>
      <x:c r="C874" s="10">
        <x:v>14242</x:v>
      </x:c>
      <x:c r="D874" s="10" t="s">
        <x:v>0</x:v>
      </x:c>
      <x:c r="E874" s="10" t="s">
        <x:v>22</x:v>
      </x:c>
      <x:c r="F874" s="10">
        <x:v>40</x:v>
      </x:c>
      <x:c r="G874" s="10">
        <x:v>192</x:v>
      </x:c>
      <x:c r="H874" s="22">
        <x:f t="shared" si="13"/>
        <x:v>8676.2941900312489</x:v>
      </x:c>
      <x:c r="I874" s="22">
        <x:v>1665848.4844859999</x:v>
      </x:c>
      <x:c r="J874" s="10">
        <x:v>45</x:v>
      </x:c>
      <x:c r="K874" s="10">
        <x:v>5</x:v>
      </x:c>
    </x:row>
    <x:row r="875">
      <x:c r="A875" s="10" t="s">
        <x:v>60</x:v>
      </x:c>
      <x:c r="B875" s="10">
        <x:v>10806</x:v>
      </x:c>
      <x:c r="C875" s="10">
        <x:v>14243</x:v>
      </x:c>
      <x:c r="D875" s="10" t="s">
        <x:v>0</x:v>
      </x:c>
      <x:c r="E875" s="10" t="s">
        <x:v>22</x:v>
      </x:c>
      <x:c r="F875" s="10">
        <x:v>39</x:v>
      </x:c>
      <x:c r="G875" s="10">
        <x:v>193</x:v>
      </x:c>
      <x:c r="H875" s="22">
        <x:f t="shared" si="13"/>
        <x:v>8631.3392978549218</x:v>
      </x:c>
      <x:c r="I875" s="22">
        <x:v>1665848.4844859999</x:v>
      </x:c>
      <x:c r="J875" s="10">
        <x:v>45</x:v>
      </x:c>
      <x:c r="K875" s="10">
        <x:v>6</x:v>
      </x:c>
    </x:row>
    <x:row r="876">
      <x:c r="A876" s="10" t="s">
        <x:v>60</x:v>
      </x:c>
      <x:c r="B876" s="10">
        <x:v>9089</x:v>
      </x:c>
      <x:c r="C876" s="10">
        <x:v>14244</x:v>
      </x:c>
      <x:c r="D876" s="10" t="s">
        <x:v>0</x:v>
      </x:c>
      <x:c r="E876" s="10" t="s">
        <x:v>0</x:v>
      </x:c>
      <x:c r="F876" s="10">
        <x:v>16</x:v>
      </x:c>
      <x:c r="G876" s="10">
        <x:v>94</x:v>
      </x:c>
      <x:c r="H876" s="22">
        <x:f t="shared" si="13"/>
        <x:v>13000</x:v>
      </x:c>
      <x:c r="I876" s="22">
        <x:v>1222000</x:v>
      </x:c>
      <x:c r="J876" s="10">
        <x:v>45</x:v>
      </x:c>
      <x:c r="K876" s="10">
        <x:v>7</x:v>
      </x:c>
    </x:row>
    <x:row r="877">
      <x:c r="A877" s="10" t="s">
        <x:v>60</x:v>
      </x:c>
      <x:c r="B877" s="10">
        <x:v>6860</x:v>
      </x:c>
      <x:c r="C877" s="10">
        <x:v>14245</x:v>
      </x:c>
      <x:c r="D877" s="10" t="s">
        <x:v>0</x:v>
      </x:c>
      <x:c r="E877" s="10" t="s">
        <x:v>22</x:v>
      </x:c>
      <x:c r="F877" s="10">
        <x:v>32</x:v>
      </x:c>
      <x:c r="G877" s="10">
        <x:v>192</x:v>
      </x:c>
      <x:c r="H877" s="22">
        <x:f t="shared" si="13"/>
        <x:v>10574.853656003646</x:v>
      </x:c>
      <x:c r="I877" s="22">
        <x:v>2030371.9019527</x:v>
      </x:c>
      <x:c r="J877" s="10">
        <x:v>45</x:v>
      </x:c>
      <x:c r="K877" s="10">
        <x:v>8</x:v>
      </x:c>
    </x:row>
    <x:row r="878">
      <x:c r="A878" s="10" t="s">
        <x:v>60</x:v>
      </x:c>
      <x:c r="B878" s="10">
        <x:v>10620</x:v>
      </x:c>
      <x:c r="C878" s="10">
        <x:v>14246</x:v>
      </x:c>
      <x:c r="D878" s="10" t="s">
        <x:v>0</x:v>
      </x:c>
      <x:c r="E878" s="10" t="s">
        <x:v>22</x:v>
      </x:c>
      <x:c r="F878" s="10">
        <x:v>38</x:v>
      </x:c>
      <x:c r="G878" s="10">
        <x:v>192</x:v>
      </x:c>
      <x:c r="H878" s="22">
        <x:f t="shared" si="13"/>
        <x:v>8676.2941900312489</x:v>
      </x:c>
      <x:c r="I878" s="22">
        <x:v>1665848.4844859999</x:v>
      </x:c>
      <x:c r="J878" s="10">
        <x:v>45</x:v>
      </x:c>
      <x:c r="K878" s="10">
        <x:v>9</x:v>
      </x:c>
    </x:row>
    <x:row r="879">
      <x:c r="A879" s="10" t="s">
        <x:v>60</x:v>
      </x:c>
      <x:c r="B879" s="10">
        <x:v>10609</x:v>
      </x:c>
      <x:c r="C879" s="10">
        <x:v>14247</x:v>
      </x:c>
      <x:c r="D879" s="10" t="s">
        <x:v>0</x:v>
      </x:c>
      <x:c r="E879" s="10" t="s">
        <x:v>22</x:v>
      </x:c>
      <x:c r="F879" s="10">
        <x:v>35</x:v>
      </x:c>
      <x:c r="G879" s="10">
        <x:v>202</x:v>
      </x:c>
      <x:c r="H879" s="22">
        <x:f t="shared" si="13"/>
        <x:v>8246.7746756732668</x:v>
      </x:c>
      <x:c r="I879" s="22">
        <x:v>1665848.4844859999</x:v>
      </x:c>
      <x:c r="J879" s="10">
        <x:v>45</x:v>
      </x:c>
      <x:c r="K879" s="10">
        <x:v>10</x:v>
      </x:c>
    </x:row>
    <x:row r="880">
      <x:c r="A880" s="10" t="s">
        <x:v>60</x:v>
      </x:c>
      <x:c r="B880" s="10">
        <x:v>6806</x:v>
      </x:c>
      <x:c r="C880" s="10">
        <x:v>14248</x:v>
      </x:c>
      <x:c r="D880" s="10" t="s">
        <x:v>0</x:v>
      </x:c>
      <x:c r="E880" s="10" t="s">
        <x:v>22</x:v>
      </x:c>
      <x:c r="F880" s="10">
        <x:v>34</x:v>
      </x:c>
      <x:c r="G880" s="10">
        <x:v>192</x:v>
      </x:c>
      <x:c r="H880" s="22">
        <x:f t="shared" si="13"/>
        <x:v>10626.936989336979</x:v>
      </x:c>
      <x:c r="I880" s="22">
        <x:v>2040371.9019527</x:v>
      </x:c>
      <x:c r="J880" s="10">
        <x:v>45</x:v>
      </x:c>
      <x:c r="K880" s="10">
        <x:v>11</x:v>
      </x:c>
    </x:row>
    <x:row r="881">
      <x:c r="A881" s="10" t="s">
        <x:v>60</x:v>
      </x:c>
      <x:c r="B881" s="10">
        <x:v>8877</x:v>
      </x:c>
      <x:c r="C881" s="10">
        <x:v>14249</x:v>
      </x:c>
      <x:c r="D881" s="10" t="s">
        <x:v>1</x:v>
      </x:c>
      <x:c r="E881" s="10" t="s">
        <x:v>1</x:v>
      </x:c>
      <x:c r="F881" s="10">
        <x:v>41</x:v>
      </x:c>
      <x:c r="G881" s="10">
        <x:v>191</x:v>
      </x:c>
      <x:c r="H881" s="22">
        <x:f t="shared" si="13"/>
        <x:v>10000</x:v>
      </x:c>
      <x:c r="I881" s="22">
        <x:v>1910000</x:v>
      </x:c>
      <x:c r="J881" s="10">
        <x:v>45</x:v>
      </x:c>
      <x:c r="K881" s="10">
        <x:v>12</x:v>
      </x:c>
    </x:row>
    <x:row r="882">
      <x:c r="A882" s="10" t="s">
        <x:v>60</x:v>
      </x:c>
      <x:c r="B882" s="10">
        <x:v>10662</x:v>
      </x:c>
      <x:c r="C882" s="10">
        <x:v>14250</x:v>
      </x:c>
      <x:c r="D882" s="10" t="s">
        <x:v>0</x:v>
      </x:c>
      <x:c r="E882" s="10" t="s">
        <x:v>22</x:v>
      </x:c>
      <x:c r="F882" s="10">
        <x:v>39</x:v>
      </x:c>
      <x:c r="G882" s="10">
        <x:v>192</x:v>
      </x:c>
      <x:c r="H882" s="22">
        <x:f t="shared" si="13"/>
        <x:v>8676.2941900312489</x:v>
      </x:c>
      <x:c r="I882" s="22">
        <x:v>1665848.4844859999</x:v>
      </x:c>
      <x:c r="J882" s="10">
        <x:v>45</x:v>
      </x:c>
      <x:c r="K882" s="10">
        <x:v>12</x:v>
      </x:c>
    </x:row>
    <x:row r="883">
      <x:c r="A883" s="10" t="s">
        <x:v>60</x:v>
      </x:c>
      <x:c r="B883" s="10">
        <x:v>10666</x:v>
      </x:c>
      <x:c r="C883" s="10">
        <x:v>14251</x:v>
      </x:c>
      <x:c r="D883" s="10" t="s">
        <x:v>0</x:v>
      </x:c>
      <x:c r="E883" s="10" t="s">
        <x:v>22</x:v>
      </x:c>
      <x:c r="F883" s="10">
        <x:v>39</x:v>
      </x:c>
      <x:c r="G883" s="10">
        <x:v>192</x:v>
      </x:c>
      <x:c r="H883" s="22">
        <x:f t="shared" si="13"/>
        <x:v>8676.2941900312489</x:v>
      </x:c>
      <x:c r="I883" s="22">
        <x:v>1665848.4844859999</x:v>
      </x:c>
      <x:c r="J883" s="10">
        <x:v>45</x:v>
      </x:c>
      <x:c r="K883" s="10">
        <x:v>13</x:v>
      </x:c>
    </x:row>
    <x:row r="884">
      <x:c r="A884" s="10" t="s">
        <x:v>60</x:v>
      </x:c>
      <x:c r="B884" s="10">
        <x:v>10624</x:v>
      </x:c>
      <x:c r="C884" s="10">
        <x:v>14252</x:v>
      </x:c>
      <x:c r="D884" s="10" t="s">
        <x:v>0</x:v>
      </x:c>
      <x:c r="E884" s="10" t="s">
        <x:v>22</x:v>
      </x:c>
      <x:c r="F884" s="10">
        <x:v>37</x:v>
      </x:c>
      <x:c r="G884" s="10">
        <x:v>192</x:v>
      </x:c>
      <x:c r="H884" s="22">
        <x:f t="shared" si="13"/>
        <x:v>8676.2941900312489</x:v>
      </x:c>
      <x:c r="I884" s="22">
        <x:v>1665848.4844859999</x:v>
      </x:c>
      <x:c r="J884" s="10">
        <x:v>45</x:v>
      </x:c>
      <x:c r="K884" s="10">
        <x:v>14</x:v>
      </x:c>
    </x:row>
    <x:row r="885">
      <x:c r="A885" s="10" t="s">
        <x:v>60</x:v>
      </x:c>
      <x:c r="B885" s="10">
        <x:v>10654</x:v>
      </x:c>
      <x:c r="C885" s="10">
        <x:v>14253</x:v>
      </x:c>
      <x:c r="D885" s="10" t="s">
        <x:v>0</x:v>
      </x:c>
      <x:c r="E885" s="10" t="s">
        <x:v>22</x:v>
      </x:c>
      <x:c r="F885" s="10">
        <x:v>33</x:v>
      </x:c>
      <x:c r="G885" s="10">
        <x:v>192</x:v>
      </x:c>
      <x:c r="H885" s="22">
        <x:f t="shared" si="13"/>
        <x:v>8676.2941900312489</x:v>
      </x:c>
      <x:c r="I885" s="22">
        <x:v>1665848.4844859999</x:v>
      </x:c>
      <x:c r="J885" s="10">
        <x:v>45</x:v>
      </x:c>
      <x:c r="K885" s="10">
        <x:v>15</x:v>
      </x:c>
    </x:row>
    <x:row r="886">
      <x:c r="A886" s="10" t="s">
        <x:v>60</x:v>
      </x:c>
      <x:c r="B886" s="10">
        <x:v>8929</x:v>
      </x:c>
      <x:c r="C886" s="10">
        <x:v>14254</x:v>
      </x:c>
      <x:c r="D886" s="10" t="s">
        <x:v>2</x:v>
      </x:c>
      <x:c r="E886" s="10" t="s">
        <x:v>2</x:v>
      </x:c>
      <x:c r="F886" s="10">
        <x:v>51</x:v>
      </x:c>
      <x:c r="G886" s="10">
        <x:v>215</x:v>
      </x:c>
      <x:c r="H886" s="22">
        <x:f t="shared" si="13"/>
        <x:v>11500</x:v>
      </x:c>
      <x:c r="I886" s="22">
        <x:v>2472500</x:v>
      </x:c>
      <x:c r="J886" s="10">
        <x:v>45</x:v>
      </x:c>
      <x:c r="K886" s="10">
        <x:v>17</x:v>
      </x:c>
    </x:row>
    <x:row r="887">
      <x:c r="A887" s="10" t="s">
        <x:v>60</x:v>
      </x:c>
      <x:c r="B887" s="10">
        <x:v>10628</x:v>
      </x:c>
      <x:c r="C887" s="10">
        <x:v>14255</x:v>
      </x:c>
      <x:c r="D887" s="10" t="s">
        <x:v>0</x:v>
      </x:c>
      <x:c r="E887" s="10" t="s">
        <x:v>22</x:v>
      </x:c>
      <x:c r="F887" s="10">
        <x:v>37</x:v>
      </x:c>
      <x:c r="G887" s="10">
        <x:v>195</x:v>
      </x:c>
      <x:c r="H887" s="22">
        <x:f t="shared" si="13"/>
        <x:v>8542.8127409538465</x:v>
      </x:c>
      <x:c r="I887" s="22">
        <x:v>1665848.4844859999</x:v>
      </x:c>
      <x:c r="J887" s="10">
        <x:v>45</x:v>
      </x:c>
      <x:c r="K887" s="10">
        <x:v>18</x:v>
      </x:c>
    </x:row>
    <x:row r="888">
      <x:c r="A888" s="10" t="s">
        <x:v>60</x:v>
      </x:c>
      <x:c r="B888" s="10">
        <x:v>10617</x:v>
      </x:c>
      <x:c r="C888" s="10">
        <x:v>14256</x:v>
      </x:c>
      <x:c r="D888" s="10" t="s">
        <x:v>0</x:v>
      </x:c>
      <x:c r="E888" s="10" t="s">
        <x:v>22</x:v>
      </x:c>
      <x:c r="F888" s="10">
        <x:v>38</x:v>
      </x:c>
      <x:c r="G888" s="10">
        <x:v>192</x:v>
      </x:c>
      <x:c r="H888" s="22">
        <x:f t="shared" si="13"/>
        <x:v>8676.2941900312489</x:v>
      </x:c>
      <x:c r="I888" s="22">
        <x:v>1665848.4844859999</x:v>
      </x:c>
      <x:c r="J888" s="10">
        <x:v>45</x:v>
      </x:c>
      <x:c r="K888" s="10">
        <x:v>19</x:v>
      </x:c>
    </x:row>
    <x:row r="889">
      <x:c r="A889" s="10" t="s">
        <x:v>60</x:v>
      </x:c>
      <x:c r="B889" s="10">
        <x:v>9359</x:v>
      </x:c>
      <x:c r="C889" s="10">
        <x:v>14257</x:v>
      </x:c>
      <x:c r="D889" s="10" t="s">
        <x:v>1</x:v>
      </x:c>
      <x:c r="E889" s="10" t="s">
        <x:v>1</x:v>
      </x:c>
      <x:c r="F889" s="10">
        <x:v>25</x:v>
      </x:c>
      <x:c r="G889" s="10">
        <x:v>101</x:v>
      </x:c>
      <x:c r="H889" s="22">
        <x:f t="shared" si="13"/>
        <x:v>10000</x:v>
      </x:c>
      <x:c r="I889" s="22">
        <x:v>1010000</x:v>
      </x:c>
      <x:c r="J889" s="10">
        <x:v>45</x:v>
      </x:c>
      <x:c r="K889" s="10">
        <x:v>20</x:v>
      </x:c>
    </x:row>
    <x:row r="890">
      <x:c r="A890" s="10" t="s">
        <x:v>60</x:v>
      </x:c>
      <x:c r="B890" s="10">
        <x:v>5950</x:v>
      </x:c>
      <x:c r="C890" s="10">
        <x:v>14258</x:v>
      </x:c>
      <x:c r="D890" s="10" t="s">
        <x:v>0</x:v>
      </x:c>
      <x:c r="E890" s="10" t="s">
        <x:v>63</x:v>
      </x:c>
      <x:c r="F890" s="10">
        <x:v>31</x:v>
      </x:c>
      <x:c r="G890" s="10">
        <x:v>199</x:v>
      </x:c>
      <x:c r="H890" s="22">
        <x:f t="shared" si="13"/>
        <x:v>10278.250763581407</x:v>
      </x:c>
      <x:c r="I890" s="22">
        <x:v>2045371.9019527</x:v>
      </x:c>
      <x:c r="J890" s="10">
        <x:v>46</x:v>
      </x:c>
      <x:c r="K890" s="10">
        <x:v>1</x:v>
      </x:c>
    </x:row>
    <x:row r="891">
      <x:c r="A891" s="10" t="s">
        <x:v>60</x:v>
      </x:c>
      <x:c r="B891" s="10">
        <x:v>6884</x:v>
      </x:c>
      <x:c r="C891" s="10">
        <x:v>14259</x:v>
      </x:c>
      <x:c r="D891" s="10" t="s">
        <x:v>0</x:v>
      </x:c>
      <x:c r="E891" s="10" t="s">
        <x:v>24</x:v>
      </x:c>
      <x:c r="F891" s="10">
        <x:v>29</x:v>
      </x:c>
      <x:c r="G891" s="10">
        <x:v>192</x:v>
      </x:c>
      <x:c r="H891" s="22">
        <x:f t="shared" si="13"/>
        <x:v>10652.978656003646</x:v>
      </x:c>
      <x:c r="I891" s="22">
        <x:v>2045371.9019527</x:v>
      </x:c>
      <x:c r="J891" s="10">
        <x:v>46</x:v>
      </x:c>
      <x:c r="K891" s="10">
        <x:v>2</x:v>
      </x:c>
    </x:row>
    <x:row r="892">
      <x:c r="A892" s="10" t="s">
        <x:v>60</x:v>
      </x:c>
      <x:c r="B892" s="10">
        <x:v>6820</x:v>
      </x:c>
      <x:c r="C892" s="10">
        <x:v>14260</x:v>
      </x:c>
      <x:c r="D892" s="10" t="s">
        <x:v>0</x:v>
      </x:c>
      <x:c r="E892" s="10" t="s">
        <x:v>24</x:v>
      </x:c>
      <x:c r="F892" s="10">
        <x:v>28</x:v>
      </x:c>
      <x:c r="G892" s="10">
        <x:v>192</x:v>
      </x:c>
      <x:c r="H892" s="22">
        <x:f t="shared" si="13"/>
        <x:v>10652.978656003646</x:v>
      </x:c>
      <x:c r="I892" s="22">
        <x:v>2045371.9019527</x:v>
      </x:c>
      <x:c r="J892" s="10">
        <x:v>46</x:v>
      </x:c>
      <x:c r="K892" s="10">
        <x:v>3</x:v>
      </x:c>
    </x:row>
    <x:row r="893">
      <x:c r="A893" s="10" t="s">
        <x:v>60</x:v>
      </x:c>
      <x:c r="B893" s="10">
        <x:v>8988</x:v>
      </x:c>
      <x:c r="C893" s="10">
        <x:v>14261</x:v>
      </x:c>
      <x:c r="D893" s="10" t="s">
        <x:v>0</x:v>
      </x:c>
      <x:c r="E893" s="10" t="s">
        <x:v>0</x:v>
      </x:c>
      <x:c r="F893" s="10">
        <x:v>74</x:v>
      </x:c>
      <x:c r="G893" s="10">
        <x:v>381</x:v>
      </x:c>
      <x:c r="H893" s="22">
        <x:f t="shared" si="13"/>
        <x:v>13000</x:v>
      </x:c>
      <x:c r="I893" s="22">
        <x:v>4953000</x:v>
      </x:c>
      <x:c r="J893" s="10">
        <x:v>46</x:v>
      </x:c>
      <x:c r="K893" s="10">
        <x:v>4</x:v>
      </x:c>
    </x:row>
    <x:row r="894">
      <x:c r="A894" s="10" t="s">
        <x:v>60</x:v>
      </x:c>
      <x:c r="B894" s="10">
        <x:v>10792</x:v>
      </x:c>
      <x:c r="C894" s="10">
        <x:v>14262</x:v>
      </x:c>
      <x:c r="D894" s="10" t="s">
        <x:v>0</x:v>
      </x:c>
      <x:c r="E894" s="10" t="s">
        <x:v>32</x:v>
      </x:c>
      <x:c r="F894" s="10">
        <x:v>34</x:v>
      </x:c>
      <x:c r="G894" s="10">
        <x:v>192</x:v>
      </x:c>
      <x:c r="H894" s="22">
        <x:f t="shared" si="13"/>
        <x:v>8676.2941900312489</x:v>
      </x:c>
      <x:c r="I894" s="22">
        <x:v>1665848.4844859999</x:v>
      </x:c>
      <x:c r="J894" s="10">
        <x:v>46</x:v>
      </x:c>
      <x:c r="K894" s="10">
        <x:v>5</x:v>
      </x:c>
    </x:row>
    <x:row r="895">
      <x:c r="A895" s="10" t="s">
        <x:v>60</x:v>
      </x:c>
      <x:c r="B895" s="10">
        <x:v>6976</x:v>
      </x:c>
      <x:c r="C895" s="10">
        <x:v>14263</x:v>
      </x:c>
      <x:c r="D895" s="10" t="s">
        <x:v>0</x:v>
      </x:c>
      <x:c r="E895" s="10" t="s">
        <x:v>24</x:v>
      </x:c>
      <x:c r="F895" s="10">
        <x:v>26</x:v>
      </x:c>
      <x:c r="G895" s="10">
        <x:v>192</x:v>
      </x:c>
      <x:c r="H895" s="22">
        <x:f t="shared" si="13"/>
        <x:v>10652.978656003646</x:v>
      </x:c>
      <x:c r="I895" s="22">
        <x:v>2045371.9019527</x:v>
      </x:c>
      <x:c r="J895" s="10">
        <x:v>46</x:v>
      </x:c>
      <x:c r="K895" s="10">
        <x:v>6</x:v>
      </x:c>
    </x:row>
    <x:row r="896">
      <x:c r="A896" s="10" t="s">
        <x:v>60</x:v>
      </x:c>
      <x:c r="B896" s="10">
        <x:v>6964</x:v>
      </x:c>
      <x:c r="C896" s="10">
        <x:v>14264</x:v>
      </x:c>
      <x:c r="D896" s="10" t="s">
        <x:v>0</x:v>
      </x:c>
      <x:c r="E896" s="10" t="s">
        <x:v>24</x:v>
      </x:c>
      <x:c r="F896" s="10">
        <x:v>28</x:v>
      </x:c>
      <x:c r="G896" s="10">
        <x:v>193</x:v>
      </x:c>
      <x:c r="H896" s="22">
        <x:f t="shared" si="13"/>
        <x:v>10597.78187540259</x:v>
      </x:c>
      <x:c r="I896" s="22">
        <x:v>2045371.9019527</x:v>
      </x:c>
      <x:c r="J896" s="10">
        <x:v>46</x:v>
      </x:c>
      <x:c r="K896" s="10">
        <x:v>7</x:v>
      </x:c>
    </x:row>
    <x:row r="897">
      <x:c r="A897" s="10" t="s">
        <x:v>60</x:v>
      </x:c>
      <x:c r="B897" s="10">
        <x:v>6907</x:v>
      </x:c>
      <x:c r="C897" s="10">
        <x:v>14265</x:v>
      </x:c>
      <x:c r="D897" s="10" t="s">
        <x:v>0</x:v>
      </x:c>
      <x:c r="E897" s="10" t="s">
        <x:v>23</x:v>
      </x:c>
      <x:c r="F897" s="10">
        <x:v>38</x:v>
      </x:c>
      <x:c r="G897" s="10">
        <x:v>204</x:v>
      </x:c>
      <x:c r="H897" s="22">
        <x:f t="shared" si="13"/>
        <x:v>9732.215205650491</x:v>
      </x:c>
      <x:c r="I897" s="22">
        <x:v>1985371.9019527</x:v>
      </x:c>
      <x:c r="J897" s="10">
        <x:v>46</x:v>
      </x:c>
      <x:c r="K897" s="10">
        <x:v>8</x:v>
      </x:c>
    </x:row>
    <x:row r="898">
      <x:c r="A898" s="10" t="s">
        <x:v>60</x:v>
      </x:c>
      <x:c r="B898" s="10">
        <x:v>10788</x:v>
      </x:c>
      <x:c r="C898" s="10">
        <x:v>14266</x:v>
      </x:c>
      <x:c r="D898" s="10" t="s">
        <x:v>0</x:v>
      </x:c>
      <x:c r="E898" s="10" t="s">
        <x:v>32</x:v>
      </x:c>
      <x:c r="F898" s="10">
        <x:v>28</x:v>
      </x:c>
      <x:c r="G898" s="10">
        <x:v>193</x:v>
      </x:c>
      <x:c r="H898" s="22">
        <x:f t="shared" si="13"/>
        <x:v>8631.3392978549218</x:v>
      </x:c>
      <x:c r="I898" s="22">
        <x:v>1665848.4844859999</x:v>
      </x:c>
      <x:c r="J898" s="10">
        <x:v>46</x:v>
      </x:c>
      <x:c r="K898" s="10">
        <x:v>9</x:v>
      </x:c>
    </x:row>
    <x:row r="899">
      <x:c r="A899" s="10" t="s">
        <x:v>60</x:v>
      </x:c>
      <x:c r="B899" s="10">
        <x:v>10529</x:v>
      </x:c>
      <x:c r="C899" s="10">
        <x:v>14267</x:v>
      </x:c>
      <x:c r="D899" s="10" t="s">
        <x:v>0</x:v>
      </x:c>
      <x:c r="E899" s="10" t="s">
        <x:v>32</x:v>
      </x:c>
      <x:c r="F899" s="10">
        <x:v>27</x:v>
      </x:c>
      <x:c r="G899" s="10">
        <x:v>192</x:v>
      </x:c>
      <x:c r="H899" s="22" t="n">
        <x:f t="shared" ref="H899:H962" si="14">I899/G899</x:f>
        <x:v>8676.294190031249</x:v>
      </x:c>
      <x:c r="I899" s="22">
        <x:v>1665848.4844859999</x:v>
      </x:c>
      <x:c r="J899" s="10">
        <x:v>46</x:v>
      </x:c>
      <x:c r="K899" s="10">
        <x:v>10</x:v>
      </x:c>
    </x:row>
    <x:row r="900">
      <x:c r="A900" s="10" t="s">
        <x:v>60</x:v>
      </x:c>
      <x:c r="B900" s="10">
        <x:v>6914</x:v>
      </x:c>
      <x:c r="C900" s="10">
        <x:v>14268</x:v>
      </x:c>
      <x:c r="D900" s="10" t="s">
        <x:v>0</x:v>
      </x:c>
      <x:c r="E900" s="10" t="s">
        <x:v>23</x:v>
      </x:c>
      <x:c r="F900" s="10">
        <x:v>35</x:v>
      </x:c>
      <x:c r="G900" s="10">
        <x:v>204</x:v>
      </x:c>
      <x:c r="H900" s="22">
        <x:f t="shared" si="14"/>
        <x:v>9732.215205650491</x:v>
      </x:c>
      <x:c r="I900" s="22">
        <x:v>1985371.9019527</x:v>
      </x:c>
      <x:c r="J900" s="10">
        <x:v>46</x:v>
      </x:c>
      <x:c r="K900" s="10">
        <x:v>11</x:v>
      </x:c>
    </x:row>
    <x:row r="901">
      <x:c r="A901" s="10" t="s">
        <x:v>60</x:v>
      </x:c>
      <x:c r="B901" s="10">
        <x:v>10790</x:v>
      </x:c>
      <x:c r="C901" s="10">
        <x:v>14269</x:v>
      </x:c>
      <x:c r="D901" s="10" t="s">
        <x:v>0</x:v>
      </x:c>
      <x:c r="E901" s="10" t="s">
        <x:v>32</x:v>
      </x:c>
      <x:c r="F901" s="10">
        <x:v>38</x:v>
      </x:c>
      <x:c r="G901" s="10">
        <x:v>192</x:v>
      </x:c>
      <x:c r="H901" s="22">
        <x:f t="shared" si="14"/>
        <x:v>8676.2941900312489</x:v>
      </x:c>
      <x:c r="I901" s="22">
        <x:v>1665848.4844859999</x:v>
      </x:c>
      <x:c r="J901" s="10">
        <x:v>46</x:v>
      </x:c>
      <x:c r="K901" s="10">
        <x:v>12</x:v>
      </x:c>
    </x:row>
    <x:row r="902">
      <x:c r="A902" s="10" t="s">
        <x:v>60</x:v>
      </x:c>
      <x:c r="B902" s="10">
        <x:v>6875</x:v>
      </x:c>
      <x:c r="C902" s="10">
        <x:v>14270</x:v>
      </x:c>
      <x:c r="D902" s="10" t="s">
        <x:v>0</x:v>
      </x:c>
      <x:c r="E902" s="10" t="s">
        <x:v>24</x:v>
      </x:c>
      <x:c r="F902" s="10">
        <x:v>28</x:v>
      </x:c>
      <x:c r="G902" s="10">
        <x:v>192</x:v>
      </x:c>
      <x:c r="H902" s="22">
        <x:f t="shared" si="14"/>
        <x:v>10652.978656003646</x:v>
      </x:c>
      <x:c r="I902" s="22">
        <x:v>2045371.9019527</x:v>
      </x:c>
      <x:c r="J902" s="10">
        <x:v>46</x:v>
      </x:c>
      <x:c r="K902" s="10">
        <x:v>13</x:v>
      </x:c>
    </x:row>
    <x:row r="903">
      <x:c r="A903" s="10" t="s">
        <x:v>60</x:v>
      </x:c>
      <x:c r="B903" s="10">
        <x:v>5949</x:v>
      </x:c>
      <x:c r="C903" s="10">
        <x:v>14271</x:v>
      </x:c>
      <x:c r="D903" s="10" t="s">
        <x:v>0</x:v>
      </x:c>
      <x:c r="E903" s="10" t="s">
        <x:v>63</x:v>
      </x:c>
      <x:c r="F903" s="10">
        <x:v>32</x:v>
      </x:c>
      <x:c r="G903" s="10">
        <x:v>196</x:v>
      </x:c>
      <x:c r="H903" s="22">
        <x:f t="shared" si="14"/>
        <x:v>10435.570928330102</x:v>
      </x:c>
      <x:c r="I903" s="22">
        <x:v>2045371.9019527</x:v>
      </x:c>
      <x:c r="J903" s="10">
        <x:v>46</x:v>
      </x:c>
      <x:c r="K903" s="10">
        <x:v>14</x:v>
      </x:c>
    </x:row>
    <x:row r="904">
      <x:c r="A904" s="10" t="s">
        <x:v>60</x:v>
      </x:c>
      <x:c r="B904" s="10">
        <x:v>5946</x:v>
      </x:c>
      <x:c r="C904" s="10">
        <x:v>14272</x:v>
      </x:c>
      <x:c r="D904" s="10" t="s">
        <x:v>0</x:v>
      </x:c>
      <x:c r="E904" s="10" t="s">
        <x:v>63</x:v>
      </x:c>
      <x:c r="F904" s="10">
        <x:v>33</x:v>
      </x:c>
      <x:c r="G904" s="10">
        <x:v>193</x:v>
      </x:c>
      <x:c r="H904" s="22">
        <x:f t="shared" si="14"/>
        <x:v>10597.78187540259</x:v>
      </x:c>
      <x:c r="I904" s="22">
        <x:v>2045371.9019527</x:v>
      </x:c>
      <x:c r="J904" s="10">
        <x:v>46</x:v>
      </x:c>
      <x:c r="K904" s="10">
        <x:v>15</x:v>
      </x:c>
    </x:row>
    <x:row r="905">
      <x:c r="A905" s="10" t="s">
        <x:v>60</x:v>
      </x:c>
      <x:c r="B905" s="10">
        <x:v>9262</x:v>
      </x:c>
      <x:c r="C905" s="10">
        <x:v>14273</x:v>
      </x:c>
      <x:c r="D905" s="10" t="s">
        <x:v>0</x:v>
      </x:c>
      <x:c r="E905" s="10" t="s">
        <x:v>0</x:v>
      </x:c>
      <x:c r="F905" s="10">
        <x:v>37</x:v>
      </x:c>
      <x:c r="G905" s="10">
        <x:v>184</x:v>
      </x:c>
      <x:c r="H905" s="22">
        <x:f t="shared" si="14"/>
        <x:v>13000</x:v>
      </x:c>
      <x:c r="I905" s="22">
        <x:v>2392000</x:v>
      </x:c>
      <x:c r="J905" s="10">
        <x:v>46</x:v>
      </x:c>
      <x:c r="K905" s="10">
        <x:v>16</x:v>
      </x:c>
    </x:row>
    <x:row r="906">
      <x:c r="A906" s="10" t="s">
        <x:v>60</x:v>
      </x:c>
      <x:c r="B906" s="10">
        <x:v>8923</x:v>
      </x:c>
      <x:c r="C906" s="10">
        <x:v>14274</x:v>
      </x:c>
      <x:c r="D906" s="10" t="s">
        <x:v>0</x:v>
      </x:c>
      <x:c r="E906" s="10" t="s">
        <x:v>0</x:v>
      </x:c>
      <x:c r="F906" s="10">
        <x:v>32</x:v>
      </x:c>
      <x:c r="G906" s="10">
        <x:v>165</x:v>
      </x:c>
      <x:c r="H906" s="22">
        <x:f t="shared" si="14"/>
        <x:v>13000</x:v>
      </x:c>
      <x:c r="I906" s="22">
        <x:v>2145000</x:v>
      </x:c>
      <x:c r="J906" s="10">
        <x:v>46</x:v>
      </x:c>
      <x:c r="K906" s="10">
        <x:v>17</x:v>
      </x:c>
    </x:row>
    <x:row r="907">
      <x:c r="A907" s="10" t="s">
        <x:v>60</x:v>
      </x:c>
      <x:c r="B907" s="10">
        <x:v>9586</x:v>
      </x:c>
      <x:c r="C907" s="10">
        <x:v>14275</x:v>
      </x:c>
      <x:c r="D907" s="10" t="s">
        <x:v>0</x:v>
      </x:c>
      <x:c r="E907" s="10" t="s">
        <x:v>0</x:v>
      </x:c>
      <x:c r="F907" s="10">
        <x:v>30</x:v>
      </x:c>
      <x:c r="G907" s="10">
        <x:v>156</x:v>
      </x:c>
      <x:c r="H907" s="22">
        <x:f t="shared" si="14"/>
        <x:v>13000</x:v>
      </x:c>
      <x:c r="I907" s="22">
        <x:v>2028000</x:v>
      </x:c>
      <x:c r="J907" s="10">
        <x:v>46</x:v>
      </x:c>
      <x:c r="K907" s="10">
        <x:v>18</x:v>
      </x:c>
    </x:row>
    <x:row r="908">
      <x:c r="A908" s="10" t="s">
        <x:v>60</x:v>
      </x:c>
      <x:c r="B908" s="10">
        <x:v>8785</x:v>
      </x:c>
      <x:c r="C908" s="10">
        <x:v>14276</x:v>
      </x:c>
      <x:c r="D908" s="10" t="s">
        <x:v>0</x:v>
      </x:c>
      <x:c r="E908" s="10" t="s">
        <x:v>0</x:v>
      </x:c>
      <x:c r="F908" s="10">
        <x:v>33</x:v>
      </x:c>
      <x:c r="G908" s="10">
        <x:v>170</x:v>
      </x:c>
      <x:c r="H908" s="22">
        <x:f t="shared" si="14"/>
        <x:v>13000</x:v>
      </x:c>
      <x:c r="I908" s="22">
        <x:v>2210000</x:v>
      </x:c>
      <x:c r="J908" s="10">
        <x:v>46</x:v>
      </x:c>
      <x:c r="K908" s="10">
        <x:v>19</x:v>
      </x:c>
    </x:row>
    <x:row r="909">
      <x:c r="A909" s="10" t="s">
        <x:v>60</x:v>
      </x:c>
      <x:c r="B909" s="10">
        <x:v>8866</x:v>
      </x:c>
      <x:c r="C909" s="10">
        <x:v>14277</x:v>
      </x:c>
      <x:c r="D909" s="10" t="s">
        <x:v>0</x:v>
      </x:c>
      <x:c r="E909" s="10" t="s">
        <x:v>0</x:v>
      </x:c>
      <x:c r="F909" s="10">
        <x:v>28</x:v>
      </x:c>
      <x:c r="G909" s="10">
        <x:v>166</x:v>
      </x:c>
      <x:c r="H909" s="22">
        <x:f t="shared" si="14"/>
        <x:v>13000</x:v>
      </x:c>
      <x:c r="I909" s="22">
        <x:v>2158000</x:v>
      </x:c>
      <x:c r="J909" s="10">
        <x:v>46</x:v>
      </x:c>
      <x:c r="K909" s="10">
        <x:v>20</x:v>
      </x:c>
    </x:row>
    <x:row r="910">
      <x:c r="A910" s="10" t="s">
        <x:v>60</x:v>
      </x:c>
      <x:c r="B910" s="10">
        <x:v>3140</x:v>
      </x:c>
      <x:c r="C910" s="10">
        <x:v>14278</x:v>
      </x:c>
      <x:c r="D910" s="10" t="s">
        <x:v>0</x:v>
      </x:c>
      <x:c r="E910" s="10" t="s">
        <x:v>24</x:v>
      </x:c>
      <x:c r="F910" s="10">
        <x:v>18</x:v>
      </x:c>
      <x:c r="G910" s="10">
        <x:v>96</x:v>
      </x:c>
      <x:c r="H910" s="22">
        <x:f t="shared" si="14"/>
        <x:v>10652.978656004167</x:v>
      </x:c>
      <x:c r="I910" s="22">
        <x:v>1022685.9509764001</x:v>
      </x:c>
      <x:c r="J910" s="10">
        <x:v>47</x:v>
      </x:c>
      <x:c r="K910" s="10">
        <x:v>1</x:v>
      </x:c>
    </x:row>
    <x:row r="911">
      <x:c r="A911" s="10" t="s">
        <x:v>60</x:v>
      </x:c>
      <x:c r="B911" s="10">
        <x:v>6996</x:v>
      </x:c>
      <x:c r="C911" s="10">
        <x:v>14279</x:v>
      </x:c>
      <x:c r="D911" s="10" t="s">
        <x:v>0</x:v>
      </x:c>
      <x:c r="E911" s="10" t="s">
        <x:v>23</x:v>
      </x:c>
      <x:c r="F911" s="10">
        <x:v>34</x:v>
      </x:c>
      <x:c r="G911" s="10">
        <x:v>217</x:v>
      </x:c>
      <x:c r="H911" s="22">
        <x:f t="shared" si="14"/>
        <x:v>8927.9811149894012</x:v>
      </x:c>
      <x:c r="I911" s="22">
        <x:v>1937371.9019527</x:v>
      </x:c>
      <x:c r="J911" s="10">
        <x:v>47</x:v>
      </x:c>
      <x:c r="K911" s="10">
        <x:v>2</x:v>
      </x:c>
    </x:row>
    <x:row r="912">
      <x:c r="A912" s="10" t="s">
        <x:v>60</x:v>
      </x:c>
      <x:c r="B912" s="10">
        <x:v>9367</x:v>
      </x:c>
      <x:c r="C912" s="10">
        <x:v>14280</x:v>
      </x:c>
      <x:c r="D912" s="10" t="s">
        <x:v>0</x:v>
      </x:c>
      <x:c r="E912" s="10" t="s">
        <x:v>0</x:v>
      </x:c>
      <x:c r="F912" s="10">
        <x:v>16</x:v>
      </x:c>
      <x:c r="G912" s="10">
        <x:v>98</x:v>
      </x:c>
      <x:c r="H912" s="22">
        <x:f t="shared" si="14"/>
        <x:v>13000</x:v>
      </x:c>
      <x:c r="I912" s="22">
        <x:v>1274000</x:v>
      </x:c>
      <x:c r="J912" s="10">
        <x:v>47</x:v>
      </x:c>
      <x:c r="K912" s="10">
        <x:v>3</x:v>
      </x:c>
    </x:row>
    <x:row r="913">
      <x:c r="A913" s="10" t="s">
        <x:v>60</x:v>
      </x:c>
      <x:c r="B913" s="10">
        <x:v>8851</x:v>
      </x:c>
      <x:c r="C913" s="10">
        <x:v>14281</x:v>
      </x:c>
      <x:c r="D913" s="10" t="s">
        <x:v>0</x:v>
      </x:c>
      <x:c r="E913" s="10" t="s">
        <x:v>0</x:v>
      </x:c>
      <x:c r="F913" s="10">
        <x:v>18</x:v>
      </x:c>
      <x:c r="G913" s="10">
        <x:v>86</x:v>
      </x:c>
      <x:c r="H913" s="22">
        <x:f t="shared" si="14"/>
        <x:v>13000</x:v>
      </x:c>
      <x:c r="I913" s="22">
        <x:v>1118000</x:v>
      </x:c>
      <x:c r="J913" s="10">
        <x:v>47</x:v>
      </x:c>
      <x:c r="K913" s="10">
        <x:v>4</x:v>
      </x:c>
    </x:row>
    <x:row r="914">
      <x:c r="A914" s="10" t="s">
        <x:v>60</x:v>
      </x:c>
      <x:c r="B914" s="10">
        <x:v>8826</x:v>
      </x:c>
      <x:c r="C914" s="10">
        <x:v>14282</x:v>
      </x:c>
      <x:c r="D914" s="10" t="s">
        <x:v>0</x:v>
      </x:c>
      <x:c r="E914" s="10" t="s">
        <x:v>0</x:v>
      </x:c>
      <x:c r="F914" s="10">
        <x:v>16</x:v>
      </x:c>
      <x:c r="G914" s="10">
        <x:v>84</x:v>
      </x:c>
      <x:c r="H914" s="22">
        <x:f t="shared" si="14"/>
        <x:v>6809.5238095238092</x:v>
      </x:c>
      <x:c r="I914" s="22">
        <x:v>572000</x:v>
      </x:c>
      <x:c r="J914" s="10">
        <x:v>47</x:v>
      </x:c>
      <x:c r="K914" s="10">
        <x:v>5</x:v>
      </x:c>
    </x:row>
    <x:row r="915">
      <x:c r="A915" s="10" t="s">
        <x:v>60</x:v>
      </x:c>
      <x:c r="B915" s="10">
        <x:v>8860</x:v>
      </x:c>
      <x:c r="C915" s="10">
        <x:v>14283</x:v>
      </x:c>
      <x:c r="D915" s="10" t="s">
        <x:v>0</x:v>
      </x:c>
      <x:c r="E915" s="10" t="s">
        <x:v>0</x:v>
      </x:c>
      <x:c r="F915" s="10">
        <x:v>61</x:v>
      </x:c>
      <x:c r="G915" s="10">
        <x:v>233</x:v>
      </x:c>
      <x:c r="H915" s="22">
        <x:f t="shared" si="14"/>
        <x:v>13000</x:v>
      </x:c>
      <x:c r="I915" s="22">
        <x:v>3029000</x:v>
      </x:c>
      <x:c r="J915" s="10">
        <x:v>47</x:v>
      </x:c>
      <x:c r="K915" s="10">
        <x:v>6</x:v>
      </x:c>
    </x:row>
    <x:row r="916">
      <x:c r="A916" s="10" t="s">
        <x:v>60</x:v>
      </x:c>
      <x:c r="B916" s="10">
        <x:v>8813</x:v>
      </x:c>
      <x:c r="C916" s="10">
        <x:v>14284</x:v>
      </x:c>
      <x:c r="D916" s="10" t="s">
        <x:v>0</x:v>
      </x:c>
      <x:c r="E916" s="10" t="s">
        <x:v>0</x:v>
      </x:c>
      <x:c r="F916" s="10">
        <x:v>31</x:v>
      </x:c>
      <x:c r="G916" s="10">
        <x:v>168</x:v>
      </x:c>
      <x:c r="H916" s="22">
        <x:f t="shared" si="14"/>
        <x:v>13000</x:v>
      </x:c>
      <x:c r="I916" s="22">
        <x:v>2184000</x:v>
      </x:c>
      <x:c r="J916" s="10">
        <x:v>47</x:v>
      </x:c>
      <x:c r="K916" s="10">
        <x:v>7</x:v>
      </x:c>
    </x:row>
    <x:row r="917">
      <x:c r="A917" s="10" t="s">
        <x:v>60</x:v>
      </x:c>
      <x:c r="B917" s="10">
        <x:v>8758</x:v>
      </x:c>
      <x:c r="C917" s="10">
        <x:v>14285</x:v>
      </x:c>
      <x:c r="D917" s="10" t="s">
        <x:v>0</x:v>
      </x:c>
      <x:c r="E917" s="10" t="s">
        <x:v>0</x:v>
      </x:c>
      <x:c r="F917" s="10">
        <x:v>41</x:v>
      </x:c>
      <x:c r="G917" s="10">
        <x:v>187</x:v>
      </x:c>
      <x:c r="H917" s="22">
        <x:f t="shared" si="14"/>
        <x:v>13000</x:v>
      </x:c>
      <x:c r="I917" s="22">
        <x:v>2431000</x:v>
      </x:c>
      <x:c r="J917" s="10">
        <x:v>47</x:v>
      </x:c>
      <x:c r="K917" s="10">
        <x:v>8</x:v>
      </x:c>
    </x:row>
    <x:row r="918">
      <x:c r="A918" s="10" t="s">
        <x:v>60</x:v>
      </x:c>
      <x:c r="B918" s="10">
        <x:v>8765</x:v>
      </x:c>
      <x:c r="C918" s="10">
        <x:v>14286</x:v>
      </x:c>
      <x:c r="D918" s="10" t="s">
        <x:v>0</x:v>
      </x:c>
      <x:c r="E918" s="10" t="s">
        <x:v>0</x:v>
      </x:c>
      <x:c r="F918" s="10">
        <x:v>31</x:v>
      </x:c>
      <x:c r="G918" s="10">
        <x:v>191</x:v>
      </x:c>
      <x:c r="H918" s="22">
        <x:f t="shared" si="14"/>
        <x:v>13000</x:v>
      </x:c>
      <x:c r="I918" s="22">
        <x:v>2483000</x:v>
      </x:c>
      <x:c r="J918" s="10">
        <x:v>47</x:v>
      </x:c>
      <x:c r="K918" s="10">
        <x:v>9</x:v>
      </x:c>
    </x:row>
    <x:row r="919">
      <x:c r="A919" s="10" t="s">
        <x:v>60</x:v>
      </x:c>
      <x:c r="B919" s="10">
        <x:v>8919</x:v>
      </x:c>
      <x:c r="C919" s="10">
        <x:v>14287</x:v>
      </x:c>
      <x:c r="D919" s="10" t="s">
        <x:v>0</x:v>
      </x:c>
      <x:c r="E919" s="10" t="s">
        <x:v>0</x:v>
      </x:c>
      <x:c r="F919" s="10">
        <x:v>31</x:v>
      </x:c>
      <x:c r="G919" s="10">
        <x:v>164</x:v>
      </x:c>
      <x:c r="H919" s="22">
        <x:f t="shared" si="14"/>
        <x:v>13000</x:v>
      </x:c>
      <x:c r="I919" s="22">
        <x:v>2132000</x:v>
      </x:c>
      <x:c r="J919" s="10">
        <x:v>47</x:v>
      </x:c>
      <x:c r="K919" s="10">
        <x:v>10</x:v>
      </x:c>
    </x:row>
    <x:row r="920">
      <x:c r="A920" s="10" t="s">
        <x:v>60</x:v>
      </x:c>
      <x:c r="B920" s="10">
        <x:v>10793</x:v>
      </x:c>
      <x:c r="C920" s="10">
        <x:v>14288</x:v>
      </x:c>
      <x:c r="D920" s="10" t="s">
        <x:v>0</x:v>
      </x:c>
      <x:c r="E920" s="10" t="s">
        <x:v>32</x:v>
      </x:c>
      <x:c r="F920" s="10">
        <x:v>29</x:v>
      </x:c>
      <x:c r="G920" s="10">
        <x:v>192</x:v>
      </x:c>
      <x:c r="H920" s="22">
        <x:f t="shared" si="14"/>
        <x:v>8676.2941900312489</x:v>
      </x:c>
      <x:c r="I920" s="22">
        <x:v>1665848.4844859999</x:v>
      </x:c>
      <x:c r="J920" s="10">
        <x:v>47</x:v>
      </x:c>
      <x:c r="K920" s="10">
        <x:v>11</x:v>
      </x:c>
    </x:row>
    <x:row r="921">
      <x:c r="A921" s="10" t="s">
        <x:v>60</x:v>
      </x:c>
      <x:c r="B921" s="10">
        <x:v>6999</x:v>
      </x:c>
      <x:c r="C921" s="10">
        <x:v>14289</x:v>
      </x:c>
      <x:c r="D921" s="10" t="s">
        <x:v>0</x:v>
      </x:c>
      <x:c r="E921" s="10" t="s">
        <x:v>23</x:v>
      </x:c>
      <x:c r="F921" s="10">
        <x:v>36</x:v>
      </x:c>
      <x:c r="G921" s="10">
        <x:v>214</x:v>
      </x:c>
      <x:c r="H921" s="22">
        <x:f t="shared" si="14"/>
        <x:v>9277.4387941714958</x:v>
      </x:c>
      <x:c r="I921" s="22">
        <x:v>1985371.9019527</x:v>
      </x:c>
      <x:c r="J921" s="10">
        <x:v>47</x:v>
      </x:c>
      <x:c r="K921" s="10">
        <x:v>12</x:v>
      </x:c>
    </x:row>
    <x:row r="922">
      <x:c r="A922" s="10" t="s">
        <x:v>60</x:v>
      </x:c>
      <x:c r="B922" s="10">
        <x:v>6911</x:v>
      </x:c>
      <x:c r="C922" s="10">
        <x:v>14290</x:v>
      </x:c>
      <x:c r="D922" s="10" t="s">
        <x:v>0</x:v>
      </x:c>
      <x:c r="E922" s="10" t="s">
        <x:v>23</x:v>
      </x:c>
      <x:c r="F922" s="10">
        <x:v>36</x:v>
      </x:c>
      <x:c r="G922" s="10">
        <x:v>207</x:v>
      </x:c>
      <x:c r="H922" s="22">
        <x:f t="shared" si="14"/>
        <x:v>9591.1686084671492</x:v>
      </x:c>
      <x:c r="I922" s="22">
        <x:v>1985371.9019527</x:v>
      </x:c>
      <x:c r="J922" s="10">
        <x:v>47</x:v>
      </x:c>
      <x:c r="K922" s="10">
        <x:v>13</x:v>
      </x:c>
    </x:row>
    <x:row r="923">
      <x:c r="A923" s="10" t="s">
        <x:v>60</x:v>
      </x:c>
      <x:c r="B923" s="10">
        <x:v>8814</x:v>
      </x:c>
      <x:c r="C923" s="10">
        <x:v>14291</x:v>
      </x:c>
      <x:c r="D923" s="10" t="s">
        <x:v>0</x:v>
      </x:c>
      <x:c r="E923" s="10" t="s">
        <x:v>0</x:v>
      </x:c>
      <x:c r="F923" s="10">
        <x:v>28</x:v>
      </x:c>
      <x:c r="G923" s="10">
        <x:v>171</x:v>
      </x:c>
      <x:c r="H923" s="22">
        <x:f t="shared" si="14"/>
        <x:v>13000</x:v>
      </x:c>
      <x:c r="I923" s="22">
        <x:v>2223000</x:v>
      </x:c>
      <x:c r="J923" s="10">
        <x:v>47</x:v>
      </x:c>
      <x:c r="K923" s="10">
        <x:v>14</x:v>
      </x:c>
    </x:row>
    <x:row r="924">
      <x:c r="A924" s="10" t="s">
        <x:v>60</x:v>
      </x:c>
      <x:c r="B924" s="10">
        <x:v>8764</x:v>
      </x:c>
      <x:c r="C924" s="10">
        <x:v>14292</x:v>
      </x:c>
      <x:c r="D924" s="10" t="s">
        <x:v>0</x:v>
      </x:c>
      <x:c r="E924" s="10" t="s">
        <x:v>0</x:v>
      </x:c>
      <x:c r="F924" s="10">
        <x:v>40</x:v>
      </x:c>
      <x:c r="G924" s="10">
        <x:v>178</x:v>
      </x:c>
      <x:c r="H924" s="22">
        <x:f t="shared" si="14"/>
        <x:v>13000</x:v>
      </x:c>
      <x:c r="I924" s="22">
        <x:v>2314000</x:v>
      </x:c>
      <x:c r="J924" s="10">
        <x:v>47</x:v>
      </x:c>
      <x:c r="K924" s="10">
        <x:v>15</x:v>
      </x:c>
    </x:row>
    <x:row r="925">
      <x:c r="A925" s="10" t="s">
        <x:v>60</x:v>
      </x:c>
      <x:c r="B925" s="10">
        <x:v>8671</x:v>
      </x:c>
      <x:c r="C925" s="10">
        <x:v>14293</x:v>
      </x:c>
      <x:c r="D925" s="10" t="s">
        <x:v>0</x:v>
      </x:c>
      <x:c r="E925" s="10" t="s">
        <x:v>0</x:v>
      </x:c>
      <x:c r="F925" s="10">
        <x:v>42</x:v>
      </x:c>
      <x:c r="G925" s="10">
        <x:v>199</x:v>
      </x:c>
      <x:c r="H925" s="22">
        <x:f t="shared" si="14"/>
        <x:v>13000</x:v>
      </x:c>
      <x:c r="I925" s="22">
        <x:v>2587000</x:v>
      </x:c>
      <x:c r="J925" s="10">
        <x:v>47</x:v>
      </x:c>
      <x:c r="K925" s="10">
        <x:v>16</x:v>
      </x:c>
    </x:row>
    <x:row r="926">
      <x:c r="A926" s="10" t="s">
        <x:v>60</x:v>
      </x:c>
      <x:c r="B926" s="10">
        <x:v>8759</x:v>
      </x:c>
      <x:c r="C926" s="10">
        <x:v>14294</x:v>
      </x:c>
      <x:c r="D926" s="10" t="s">
        <x:v>0</x:v>
      </x:c>
      <x:c r="E926" s="10" t="s">
        <x:v>0</x:v>
      </x:c>
      <x:c r="F926" s="10">
        <x:v>42</x:v>
      </x:c>
      <x:c r="G926" s="10">
        <x:v>191</x:v>
      </x:c>
      <x:c r="H926" s="22">
        <x:f t="shared" si="14"/>
        <x:v>13000</x:v>
      </x:c>
      <x:c r="I926" s="22">
        <x:v>2483000</x:v>
      </x:c>
      <x:c r="J926" s="10">
        <x:v>47</x:v>
      </x:c>
      <x:c r="K926" s="10">
        <x:v>17</x:v>
      </x:c>
    </x:row>
    <x:row r="927">
      <x:c r="A927" s="10" t="s">
        <x:v>60</x:v>
      </x:c>
      <x:c r="B927" s="10">
        <x:v>8680</x:v>
      </x:c>
      <x:c r="C927" s="10">
        <x:v>14295</x:v>
      </x:c>
      <x:c r="D927" s="10" t="s">
        <x:v>0</x:v>
      </x:c>
      <x:c r="E927" s="10" t="s">
        <x:v>0</x:v>
      </x:c>
      <x:c r="F927" s="10">
        <x:v>44</x:v>
      </x:c>
      <x:c r="G927" s="10">
        <x:v>201</x:v>
      </x:c>
      <x:c r="H927" s="22">
        <x:f t="shared" si="14"/>
        <x:v>13000</x:v>
      </x:c>
      <x:c r="I927" s="22">
        <x:v>2613000</x:v>
      </x:c>
      <x:c r="J927" s="10">
        <x:v>47</x:v>
      </x:c>
      <x:c r="K927" s="10">
        <x:v>18</x:v>
      </x:c>
    </x:row>
    <x:row r="928">
      <x:c r="A928" s="10" t="s">
        <x:v>60</x:v>
      </x:c>
      <x:c r="B928" s="10">
        <x:v>9304</x:v>
      </x:c>
      <x:c r="C928" s="10">
        <x:v>14296</x:v>
      </x:c>
      <x:c r="D928" s="10" t="s">
        <x:v>0</x:v>
      </x:c>
      <x:c r="E928" s="10" t="s">
        <x:v>0</x:v>
      </x:c>
      <x:c r="F928" s="10">
        <x:v>18</x:v>
      </x:c>
      <x:c r="G928" s="10">
        <x:v>101</x:v>
      </x:c>
      <x:c r="H928" s="22">
        <x:f t="shared" si="14"/>
        <x:v>13000</x:v>
      </x:c>
      <x:c r="I928" s="22">
        <x:v>1313000</x:v>
      </x:c>
      <x:c r="J928" s="10">
        <x:v>47</x:v>
      </x:c>
      <x:c r="K928" s="10">
        <x:v>19</x:v>
      </x:c>
    </x:row>
    <x:row r="929">
      <x:c r="A929" s="10" t="s">
        <x:v>60</x:v>
      </x:c>
      <x:c r="B929" s="10">
        <x:v>8679</x:v>
      </x:c>
      <x:c r="C929" s="10">
        <x:v>14297</x:v>
      </x:c>
      <x:c r="D929" s="10" t="s">
        <x:v>0</x:v>
      </x:c>
      <x:c r="E929" s="10" t="s">
        <x:v>0</x:v>
      </x:c>
      <x:c r="F929" s="10">
        <x:v>41</x:v>
      </x:c>
      <x:c r="G929" s="10">
        <x:v>211</x:v>
      </x:c>
      <x:c r="H929" s="22">
        <x:f t="shared" si="14"/>
        <x:v>13000</x:v>
      </x:c>
      <x:c r="I929" s="22">
        <x:v>2743000</x:v>
      </x:c>
      <x:c r="J929" s="10">
        <x:v>47</x:v>
      </x:c>
      <x:c r="K929" s="10">
        <x:v>20</x:v>
      </x:c>
    </x:row>
    <x:row r="930">
      <x:c r="A930" s="10" t="s">
        <x:v>60</x:v>
      </x:c>
      <x:c r="B930" s="10">
        <x:v>10938</x:v>
      </x:c>
      <x:c r="C930" s="10">
        <x:v>14298</x:v>
      </x:c>
      <x:c r="D930" s="10" t="s">
        <x:v>7</x:v>
      </x:c>
      <x:c r="E930" s="10" t="s">
        <x:v>7</x:v>
      </x:c>
      <x:c r="F930" s="10">
        <x:v>0</x:v>
      </x:c>
      <x:c r="G930" s="10">
        <x:v>60</x:v>
      </x:c>
      <x:c r="H930" s="22">
        <x:f t="shared" si="14"/>
        <x:v>11643.499212966166</x:v>
      </x:c>
      <x:c r="I930" s="22">
        <x:v>698609.95277797</x:v>
      </x:c>
      <x:c r="J930" s="10">
        <x:v>48</x:v>
      </x:c>
      <x:c r="K930" s="10">
        <x:v>1</x:v>
      </x:c>
    </x:row>
    <x:row r="931">
      <x:c r="A931" s="10" t="s">
        <x:v>60</x:v>
      </x:c>
      <x:c r="B931" s="10">
        <x:v>6640</x:v>
      </x:c>
      <x:c r="C931" s="10">
        <x:v>14299</x:v>
      </x:c>
      <x:c r="D931" s="10" t="s">
        <x:v>5</x:v>
      </x:c>
      <x:c r="E931" s="10" t="s">
        <x:v>56</x:v>
      </x:c>
      <x:c r="F931" s="10">
        <x:v>0</x:v>
      </x:c>
      <x:c r="G931" s="10">
        <x:v>180</x:v>
      </x:c>
      <x:c r="H931" s="22">
        <x:f t="shared" si="14"/>
        <x:v>2872.2222222222222</x:v>
      </x:c>
      <x:c r="I931" s="22">
        <x:v>517000</x:v>
      </x:c>
      <x:c r="J931" s="10">
        <x:v>48</x:v>
      </x:c>
      <x:c r="K931" s="10">
        <x:v>2</x:v>
      </x:c>
    </x:row>
    <x:row r="932">
      <x:c r="A932" s="10" t="s">
        <x:v>60</x:v>
      </x:c>
      <x:c r="B932" s="10">
        <x:v>9400</x:v>
      </x:c>
      <x:c r="C932" s="10">
        <x:v>14300</x:v>
      </x:c>
      <x:c r="D932" s="10" t="s">
        <x:v>8</x:v>
      </x:c>
      <x:c r="E932" s="10" t="s">
        <x:v>8</x:v>
      </x:c>
      <x:c r="F932" s="10">
        <x:v>0</x:v>
      </x:c>
      <x:c r="G932" s="10">
        <x:v>50</x:v>
      </x:c>
      <x:c r="H932" s="22">
        <x:f t="shared" si="14"/>
        <x:v>4000</x:v>
      </x:c>
      <x:c r="I932" s="22">
        <x:v>200000</x:v>
      </x:c>
      <x:c r="J932" s="10">
        <x:v>48</x:v>
      </x:c>
      <x:c r="K932" s="10">
        <x:v>3</x:v>
      </x:c>
    </x:row>
    <x:row r="933">
      <x:c r="A933" s="10" t="s">
        <x:v>60</x:v>
      </x:c>
      <x:c r="B933" s="10">
        <x:v>6752</x:v>
      </x:c>
      <x:c r="C933" s="10">
        <x:v>14301</x:v>
      </x:c>
      <x:c r="D933" s="10" t="s">
        <x:v>5</x:v>
      </x:c>
      <x:c r="E933" s="10" t="s">
        <x:v>56</x:v>
      </x:c>
      <x:c r="F933" s="10">
        <x:v>0</x:v>
      </x:c>
      <x:c r="G933" s="10">
        <x:v>170</x:v>
      </x:c>
      <x:c r="H933" s="22">
        <x:f t="shared" si="14"/>
        <x:v>2670.5882352941176</x:v>
      </x:c>
      <x:c r="I933" s="22">
        <x:v>454000</x:v>
      </x:c>
      <x:c r="J933" s="10">
        <x:v>48</x:v>
      </x:c>
      <x:c r="K933" s="10">
        <x:v>4</x:v>
      </x:c>
    </x:row>
    <x:row r="934">
      <x:c r="A934" s="10" t="s">
        <x:v>60</x:v>
      </x:c>
      <x:c r="B934" s="10">
        <x:v>6750</x:v>
      </x:c>
      <x:c r="C934" s="10">
        <x:v>14302</x:v>
      </x:c>
      <x:c r="D934" s="10" t="s">
        <x:v>5</x:v>
      </x:c>
      <x:c r="E934" s="10" t="s">
        <x:v>56</x:v>
      </x:c>
      <x:c r="F934" s="10">
        <x:v>0</x:v>
      </x:c>
      <x:c r="G934" s="10">
        <x:v>148</x:v>
      </x:c>
      <x:c r="H934" s="22">
        <x:f t="shared" si="14"/>
        <x:v>2889.1891891891892</x:v>
      </x:c>
      <x:c r="I934" s="22">
        <x:v>427600</x:v>
      </x:c>
      <x:c r="J934" s="10">
        <x:v>48</x:v>
      </x:c>
      <x:c r="K934" s="10">
        <x:v>5</x:v>
      </x:c>
    </x:row>
    <x:row r="935">
      <x:c r="A935" s="10" t="s">
        <x:v>60</x:v>
      </x:c>
      <x:c r="B935" s="10">
        <x:v>6751</x:v>
      </x:c>
      <x:c r="C935" s="10">
        <x:v>14303</x:v>
      </x:c>
      <x:c r="D935" s="10" t="s">
        <x:v>5</x:v>
      </x:c>
      <x:c r="E935" s="10" t="s">
        <x:v>56</x:v>
      </x:c>
      <x:c r="F935" s="10">
        <x:v>0</x:v>
      </x:c>
      <x:c r="G935" s="10">
        <x:v>185</x:v>
      </x:c>
      <x:c r="H935" s="22">
        <x:f t="shared" si="14"/>
        <x:v>2551.3513513513512</x:v>
      </x:c>
      <x:c r="I935" s="22">
        <x:v>472000</x:v>
      </x:c>
      <x:c r="J935" s="10">
        <x:v>48</x:v>
      </x:c>
      <x:c r="K935" s="10">
        <x:v>6</x:v>
      </x:c>
    </x:row>
    <x:row r="936">
      <x:c r="A936" s="10" t="s">
        <x:v>60</x:v>
      </x:c>
      <x:c r="B936" s="10">
        <x:v>6755</x:v>
      </x:c>
      <x:c r="C936" s="10">
        <x:v>14304</x:v>
      </x:c>
      <x:c r="D936" s="10" t="s">
        <x:v>5</x:v>
      </x:c>
      <x:c r="E936" s="10" t="s">
        <x:v>56</x:v>
      </x:c>
      <x:c r="F936" s="10">
        <x:v>0</x:v>
      </x:c>
      <x:c r="G936" s="10">
        <x:v>196</x:v>
      </x:c>
      <x:c r="H936" s="22">
        <x:f t="shared" si="14"/>
        <x:v>2740.8163265306121</x:v>
      </x:c>
      <x:c r="I936" s="22">
        <x:v>537200</x:v>
      </x:c>
      <x:c r="J936" s="10">
        <x:v>48</x:v>
      </x:c>
      <x:c r="K936" s="10">
        <x:v>7</x:v>
      </x:c>
    </x:row>
    <x:row r="937">
      <x:c r="A937" s="10" t="s">
        <x:v>60</x:v>
      </x:c>
      <x:c r="B937" s="10">
        <x:v>6754</x:v>
      </x:c>
      <x:c r="C937" s="10">
        <x:v>14305</x:v>
      </x:c>
      <x:c r="D937" s="10" t="s">
        <x:v>5</x:v>
      </x:c>
      <x:c r="E937" s="10" t="s">
        <x:v>56</x:v>
      </x:c>
      <x:c r="F937" s="10">
        <x:v>0</x:v>
      </x:c>
      <x:c r="G937" s="10">
        <x:v>180</x:v>
      </x:c>
      <x:c r="H937" s="22">
        <x:f t="shared" si="14"/>
        <x:v>2588.8888888888887</x:v>
      </x:c>
      <x:c r="I937" s="22">
        <x:v>466000</x:v>
      </x:c>
      <x:c r="J937" s="10">
        <x:v>48</x:v>
      </x:c>
      <x:c r="K937" s="10">
        <x:v>8</x:v>
      </x:c>
    </x:row>
    <x:row r="938">
      <x:c r="A938" s="10" t="s">
        <x:v>60</x:v>
      </x:c>
      <x:c r="B938" s="10">
        <x:v>6753</x:v>
      </x:c>
      <x:c r="C938" s="10">
        <x:v>14306</x:v>
      </x:c>
      <x:c r="D938" s="10" t="s">
        <x:v>5</x:v>
      </x:c>
      <x:c r="E938" s="10" t="s">
        <x:v>56</x:v>
      </x:c>
      <x:c r="F938" s="10">
        <x:v>0</x:v>
      </x:c>
      <x:c r="G938" s="10">
        <x:v>175</x:v>
      </x:c>
      <x:c r="H938" s="22">
        <x:f t="shared" si="14"/>
        <x:v>2628.5714285714284</x:v>
      </x:c>
      <x:c r="I938" s="22">
        <x:v>460000</x:v>
      </x:c>
      <x:c r="J938" s="10">
        <x:v>48</x:v>
      </x:c>
      <x:c r="K938" s="10">
        <x:v>9</x:v>
      </x:c>
    </x:row>
    <x:row r="939">
      <x:c r="A939" s="10" t="s">
        <x:v>60</x:v>
      </x:c>
      <x:c r="B939" s="10">
        <x:v>6748</x:v>
      </x:c>
      <x:c r="C939" s="10">
        <x:v>14307</x:v>
      </x:c>
      <x:c r="D939" s="10" t="s">
        <x:v>5</x:v>
      </x:c>
      <x:c r="E939" s="10" t="s">
        <x:v>56</x:v>
      </x:c>
      <x:c r="F939" s="10">
        <x:v>0</x:v>
      </x:c>
      <x:c r="G939" s="10">
        <x:v>166</x:v>
      </x:c>
      <x:c r="H939" s="22">
        <x:f t="shared" si="14"/>
        <x:v>2706.0240963855422</x:v>
      </x:c>
      <x:c r="I939" s="22">
        <x:v>449200</x:v>
      </x:c>
      <x:c r="J939" s="10">
        <x:v>48</x:v>
      </x:c>
      <x:c r="K939" s="10">
        <x:v>10</x:v>
      </x:c>
    </x:row>
    <x:row r="940">
      <x:c r="A940" s="10" t="s">
        <x:v>60</x:v>
      </x:c>
      <x:c r="B940" s="10">
        <x:v>6746</x:v>
      </x:c>
      <x:c r="C940" s="10">
        <x:v>14308</x:v>
      </x:c>
      <x:c r="D940" s="10" t="s">
        <x:v>5</x:v>
      </x:c>
      <x:c r="E940" s="10" t="s">
        <x:v>56</x:v>
      </x:c>
      <x:c r="F940" s="10">
        <x:v>0</x:v>
      </x:c>
      <x:c r="G940" s="10">
        <x:v>185</x:v>
      </x:c>
      <x:c r="H940" s="22">
        <x:f t="shared" si="14"/>
        <x:v>2551.3513513513512</x:v>
      </x:c>
      <x:c r="I940" s="22">
        <x:v>472000</x:v>
      </x:c>
      <x:c r="J940" s="10">
        <x:v>48</x:v>
      </x:c>
      <x:c r="K940" s="10">
        <x:v>11</x:v>
      </x:c>
    </x:row>
    <x:row r="941">
      <x:c r="A941" s="10" t="s">
        <x:v>60</x:v>
      </x:c>
      <x:c r="B941" s="10">
        <x:v>6745</x:v>
      </x:c>
      <x:c r="C941" s="10">
        <x:v>14309</x:v>
      </x:c>
      <x:c r="D941" s="10" t="s">
        <x:v>5</x:v>
      </x:c>
      <x:c r="E941" s="10" t="s">
        <x:v>56</x:v>
      </x:c>
      <x:c r="F941" s="10">
        <x:v>0</x:v>
      </x:c>
      <x:c r="G941" s="10">
        <x:v>174</x:v>
      </x:c>
      <x:c r="H941" s="22">
        <x:f t="shared" si="14"/>
        <x:v>2636.7816091954023</x:v>
      </x:c>
      <x:c r="I941" s="22">
        <x:v>458800</x:v>
      </x:c>
      <x:c r="J941" s="10">
        <x:v>48</x:v>
      </x:c>
      <x:c r="K941" s="10">
        <x:v>12</x:v>
      </x:c>
    </x:row>
    <x:row r="942">
      <x:c r="A942" s="10" t="s">
        <x:v>60</x:v>
      </x:c>
      <x:c r="B942" s="10">
        <x:v>6749</x:v>
      </x:c>
      <x:c r="C942" s="10">
        <x:v>14310</x:v>
      </x:c>
      <x:c r="D942" s="10" t="s">
        <x:v>5</x:v>
      </x:c>
      <x:c r="E942" s="10" t="s">
        <x:v>56</x:v>
      </x:c>
      <x:c r="F942" s="10">
        <x:v>0</x:v>
      </x:c>
      <x:c r="G942" s="10">
        <x:v>146</x:v>
      </x:c>
      <x:c r="H942" s="22">
        <x:f t="shared" si="14"/>
        <x:v>2912.3287671232879</x:v>
      </x:c>
      <x:c r="I942" s="22">
        <x:v>425200</x:v>
      </x:c>
      <x:c r="J942" s="10">
        <x:v>48</x:v>
      </x:c>
      <x:c r="K942" s="10">
        <x:v>13</x:v>
      </x:c>
    </x:row>
    <x:row r="943">
      <x:c r="A943" s="10" t="s">
        <x:v>60</x:v>
      </x:c>
      <x:c r="B943" s="10">
        <x:v>6744</x:v>
      </x:c>
      <x:c r="C943" s="10">
        <x:v>14311</x:v>
      </x:c>
      <x:c r="D943" s="10" t="s">
        <x:v>5</x:v>
      </x:c>
      <x:c r="E943" s="10" t="s">
        <x:v>56</x:v>
      </x:c>
      <x:c r="F943" s="10">
        <x:v>0</x:v>
      </x:c>
      <x:c r="G943" s="10">
        <x:v>156</x:v>
      </x:c>
      <x:c r="H943" s="22">
        <x:f t="shared" si="14"/>
        <x:v>2802.5641025641025</x:v>
      </x:c>
      <x:c r="I943" s="22">
        <x:v>437200</x:v>
      </x:c>
      <x:c r="J943" s="10">
        <x:v>48</x:v>
      </x:c>
      <x:c r="K943" s="10">
        <x:v>14</x:v>
      </x:c>
    </x:row>
    <x:row r="944">
      <x:c r="A944" s="10" t="s">
        <x:v>60</x:v>
      </x:c>
      <x:c r="B944" s="10">
        <x:v>10615</x:v>
      </x:c>
      <x:c r="C944" s="10">
        <x:v>14312</x:v>
      </x:c>
      <x:c r="D944" s="10" t="s">
        <x:v>0</x:v>
      </x:c>
      <x:c r="E944" s="10" t="s">
        <x:v>22</x:v>
      </x:c>
      <x:c r="F944" s="10">
        <x:v>38</x:v>
      </x:c>
      <x:c r="G944" s="10">
        <x:v>201</x:v>
      </x:c>
      <x:c r="H944" s="22">
        <x:f t="shared" si="14"/>
        <x:v>8287.8034054029849</x:v>
      </x:c>
      <x:c r="I944" s="22">
        <x:v>1665848.4844859999</x:v>
      </x:c>
      <x:c r="J944" s="10">
        <x:v>49</x:v>
      </x:c>
      <x:c r="K944" s="10">
        <x:v>1</x:v>
      </x:c>
    </x:row>
    <x:row r="945">
      <x:c r="A945" s="10" t="s">
        <x:v>60</x:v>
      </x:c>
      <x:c r="B945" s="10">
        <x:v>10665</x:v>
      </x:c>
      <x:c r="C945" s="10">
        <x:v>14313</x:v>
      </x:c>
      <x:c r="D945" s="10" t="s">
        <x:v>0</x:v>
      </x:c>
      <x:c r="E945" s="10" t="s">
        <x:v>22</x:v>
      </x:c>
      <x:c r="F945" s="10">
        <x:v>33</x:v>
      </x:c>
      <x:c r="G945" s="10">
        <x:v>192</x:v>
      </x:c>
      <x:c r="H945" s="22">
        <x:f t="shared" si="14"/>
        <x:v>8676.2941900312489</x:v>
      </x:c>
      <x:c r="I945" s="22">
        <x:v>1665848.4844859999</x:v>
      </x:c>
      <x:c r="J945" s="10">
        <x:v>49</x:v>
      </x:c>
      <x:c r="K945" s="10">
        <x:v>2</x:v>
      </x:c>
    </x:row>
    <x:row r="946">
      <x:c r="A946" s="10" t="s">
        <x:v>60</x:v>
      </x:c>
      <x:c r="B946" s="10">
        <x:v>10804</x:v>
      </x:c>
      <x:c r="C946" s="10">
        <x:v>14314</x:v>
      </x:c>
      <x:c r="D946" s="10" t="s">
        <x:v>0</x:v>
      </x:c>
      <x:c r="E946" s="10" t="s">
        <x:v>22</x:v>
      </x:c>
      <x:c r="F946" s="10">
        <x:v>32</x:v>
      </x:c>
      <x:c r="G946" s="10">
        <x:v>192</x:v>
      </x:c>
      <x:c r="H946" s="22">
        <x:f t="shared" si="14"/>
        <x:v>8676.2941900312489</x:v>
      </x:c>
      <x:c r="I946" s="22">
        <x:v>1665848.4844859999</x:v>
      </x:c>
      <x:c r="J946" s="10">
        <x:v>49</x:v>
      </x:c>
      <x:c r="K946" s="10">
        <x:v>3</x:v>
      </x:c>
    </x:row>
    <x:row r="947">
      <x:c r="A947" s="10" t="s">
        <x:v>60</x:v>
      </x:c>
      <x:c r="B947" s="10">
        <x:v>10831</x:v>
      </x:c>
      <x:c r="C947" s="10">
        <x:v>14315</x:v>
      </x:c>
      <x:c r="D947" s="10" t="s">
        <x:v>0</x:v>
      </x:c>
      <x:c r="E947" s="10" t="s">
        <x:v>37</x:v>
      </x:c>
      <x:c r="F947" s="10">
        <x:v>43</x:v>
      </x:c>
      <x:c r="G947" s="10">
        <x:v>194</x:v>
      </x:c>
      <x:c r="H947" s="22">
        <x:f t="shared" si="14"/>
        <x:v>8586.847858175257</x:v>
      </x:c>
      <x:c r="I947" s="22">
        <x:v>1665848.4844859999</x:v>
      </x:c>
      <x:c r="J947" s="10">
        <x:v>49</x:v>
      </x:c>
      <x:c r="K947" s="10">
        <x:v>4</x:v>
      </x:c>
    </x:row>
    <x:row r="948">
      <x:c r="A948" s="10" t="s">
        <x:v>60</x:v>
      </x:c>
      <x:c r="B948" s="10">
        <x:v>6863</x:v>
      </x:c>
      <x:c r="C948" s="10">
        <x:v>14316</x:v>
      </x:c>
      <x:c r="D948" s="10" t="s">
        <x:v>0</x:v>
      </x:c>
      <x:c r="E948" s="10" t="s">
        <x:v>22</x:v>
      </x:c>
      <x:c r="F948" s="10">
        <x:v>32</x:v>
      </x:c>
      <x:c r="G948" s="10">
        <x:v>192</x:v>
      </x:c>
      <x:c r="H948" s="22">
        <x:f t="shared" si="14"/>
        <x:v>10652.978656003646</x:v>
      </x:c>
      <x:c r="I948" s="22">
        <x:v>2045371.9019527</x:v>
      </x:c>
      <x:c r="J948" s="10">
        <x:v>49</x:v>
      </x:c>
      <x:c r="K948" s="10">
        <x:v>5</x:v>
      </x:c>
    </x:row>
    <x:row r="949">
      <x:c r="A949" s="10" t="s">
        <x:v>60</x:v>
      </x:c>
      <x:c r="B949" s="10">
        <x:v>6982</x:v>
      </x:c>
      <x:c r="C949" s="10">
        <x:v>14317</x:v>
      </x:c>
      <x:c r="D949" s="10" t="s">
        <x:v>0</x:v>
      </x:c>
      <x:c r="E949" s="10" t="s">
        <x:v>42</x:v>
      </x:c>
      <x:c r="F949" s="10">
        <x:v>22</x:v>
      </x:c>
      <x:c r="G949" s="10">
        <x:v>96</x:v>
      </x:c>
      <x:c r="H949" s="22">
        <x:f t="shared" si="14"/>
        <x:v>10652.978656004167</x:v>
      </x:c>
      <x:c r="I949" s="22">
        <x:v>1022685.9509764001</x:v>
      </x:c>
      <x:c r="J949" s="10">
        <x:v>49</x:v>
      </x:c>
      <x:c r="K949" s="10">
        <x:v>6</x:v>
      </x:c>
    </x:row>
    <x:row r="950">
      <x:c r="A950" s="10" t="s">
        <x:v>60</x:v>
      </x:c>
      <x:c r="B950" s="10">
        <x:v>10815</x:v>
      </x:c>
      <x:c r="C950" s="10">
        <x:v>14318</x:v>
      </x:c>
      <x:c r="D950" s="10" t="s">
        <x:v>0</x:v>
      </x:c>
      <x:c r="E950" s="10" t="s">
        <x:v>22</x:v>
      </x:c>
      <x:c r="F950" s="10">
        <x:v>36</x:v>
      </x:c>
      <x:c r="G950" s="10">
        <x:v>195</x:v>
      </x:c>
      <x:c r="H950" s="22">
        <x:f t="shared" si="14"/>
        <x:v>8542.8127409538465</x:v>
      </x:c>
      <x:c r="I950" s="22">
        <x:v>1665848.4844859999</x:v>
      </x:c>
      <x:c r="J950" s="10">
        <x:v>49</x:v>
      </x:c>
      <x:c r="K950" s="10">
        <x:v>7</x:v>
      </x:c>
    </x:row>
    <x:row r="951">
      <x:c r="A951" s="10" t="s">
        <x:v>60</x:v>
      </x:c>
      <x:c r="B951" s="10">
        <x:v>10805</x:v>
      </x:c>
      <x:c r="C951" s="10">
        <x:v>14319</x:v>
      </x:c>
      <x:c r="D951" s="10" t="s">
        <x:v>0</x:v>
      </x:c>
      <x:c r="E951" s="10" t="s">
        <x:v>22</x:v>
      </x:c>
      <x:c r="F951" s="10">
        <x:v>29</x:v>
      </x:c>
      <x:c r="G951" s="10">
        <x:v>197</x:v>
      </x:c>
      <x:c r="H951" s="22">
        <x:f t="shared" si="14"/>
        <x:v>8456.0836775939079</x:v>
      </x:c>
      <x:c r="I951" s="22">
        <x:v>1665848.4844859999</x:v>
      </x:c>
      <x:c r="J951" s="10">
        <x:v>49</x:v>
      </x:c>
      <x:c r="K951" s="10">
        <x:v>8</x:v>
      </x:c>
    </x:row>
    <x:row r="952">
      <x:c r="A952" s="10" t="s">
        <x:v>60</x:v>
      </x:c>
      <x:c r="B952" s="10">
        <x:v>9588</x:v>
      </x:c>
      <x:c r="C952" s="10">
        <x:v>14320</x:v>
      </x:c>
      <x:c r="D952" s="10" t="s">
        <x:v>0</x:v>
      </x:c>
      <x:c r="E952" s="10" t="s">
        <x:v>0</x:v>
      </x:c>
      <x:c r="F952" s="10">
        <x:v>79</x:v>
      </x:c>
      <x:c r="G952" s="10">
        <x:v>361</x:v>
      </x:c>
      <x:c r="H952" s="22">
        <x:f t="shared" si="14"/>
        <x:v>13000</x:v>
      </x:c>
      <x:c r="I952" s="22">
        <x:v>4693000</x:v>
      </x:c>
      <x:c r="J952" s="10">
        <x:v>49</x:v>
      </x:c>
      <x:c r="K952" s="10">
        <x:v>9</x:v>
      </x:c>
    </x:row>
    <x:row r="953">
      <x:c r="A953" s="10" t="s">
        <x:v>60</x:v>
      </x:c>
      <x:c r="B953" s="10">
        <x:v>8772</x:v>
      </x:c>
      <x:c r="C953" s="10">
        <x:v>14321</x:v>
      </x:c>
      <x:c r="D953" s="10" t="s">
        <x:v>0</x:v>
      </x:c>
      <x:c r="E953" s="10" t="s">
        <x:v>0</x:v>
      </x:c>
      <x:c r="F953" s="10">
        <x:v>84</x:v>
      </x:c>
      <x:c r="G953" s="10">
        <x:v>361</x:v>
      </x:c>
      <x:c r="H953" s="22">
        <x:f t="shared" si="14"/>
        <x:v>13000</x:v>
      </x:c>
      <x:c r="I953" s="22">
        <x:v>4693000</x:v>
      </x:c>
      <x:c r="J953" s="10">
        <x:v>49</x:v>
      </x:c>
      <x:c r="K953" s="10">
        <x:v>10</x:v>
      </x:c>
    </x:row>
    <x:row r="954">
      <x:c r="A954" s="10" t="s">
        <x:v>60</x:v>
      </x:c>
      <x:c r="B954" s="10">
        <x:v>9312</x:v>
      </x:c>
      <x:c r="C954" s="10">
        <x:v>14322</x:v>
      </x:c>
      <x:c r="D954" s="10" t="s">
        <x:v>0</x:v>
      </x:c>
      <x:c r="E954" s="10" t="s">
        <x:v>0</x:v>
      </x:c>
      <x:c r="F954" s="10">
        <x:v>69</x:v>
      </x:c>
      <x:c r="G954" s="10">
        <x:v>373</x:v>
      </x:c>
      <x:c r="H954" s="22">
        <x:f t="shared" si="14"/>
        <x:v>13000</x:v>
      </x:c>
      <x:c r="I954" s="22">
        <x:v>4849000</x:v>
      </x:c>
      <x:c r="J954" s="10">
        <x:v>49</x:v>
      </x:c>
      <x:c r="K954" s="10">
        <x:v>11</x:v>
      </x:c>
    </x:row>
    <x:row r="955">
      <x:c r="A955" s="10" t="s">
        <x:v>60</x:v>
      </x:c>
      <x:c r="B955" s="10">
        <x:v>9559</x:v>
      </x:c>
      <x:c r="C955" s="10">
        <x:v>14323</x:v>
      </x:c>
      <x:c r="D955" s="10" t="s">
        <x:v>0</x:v>
      </x:c>
      <x:c r="E955" s="10" t="s">
        <x:v>0</x:v>
      </x:c>
      <x:c r="F955" s="10">
        <x:v>84</x:v>
      </x:c>
      <x:c r="G955" s="10">
        <x:v>395</x:v>
      </x:c>
      <x:c r="H955" s="22">
        <x:f t="shared" si="14"/>
        <x:v>13000</x:v>
      </x:c>
      <x:c r="I955" s="22">
        <x:v>5135000</x:v>
      </x:c>
      <x:c r="J955" s="10">
        <x:v>49</x:v>
      </x:c>
      <x:c r="K955" s="10">
        <x:v>12</x:v>
      </x:c>
    </x:row>
    <x:row r="956">
      <x:c r="A956" s="10" t="s">
        <x:v>60</x:v>
      </x:c>
      <x:c r="B956" s="10">
        <x:v>8899</x:v>
      </x:c>
      <x:c r="C956" s="10">
        <x:v>14324</x:v>
      </x:c>
      <x:c r="D956" s="10" t="s">
        <x:v>0</x:v>
      </x:c>
      <x:c r="E956" s="10" t="s">
        <x:v>0</x:v>
      </x:c>
      <x:c r="F956" s="10">
        <x:v>67</x:v>
      </x:c>
      <x:c r="G956" s="10">
        <x:v>372</x:v>
      </x:c>
      <x:c r="H956" s="22">
        <x:f t="shared" si="14"/>
        <x:v>13000</x:v>
      </x:c>
      <x:c r="I956" s="22">
        <x:v>4836000</x:v>
      </x:c>
      <x:c r="J956" s="10">
        <x:v>49</x:v>
      </x:c>
      <x:c r="K956" s="10">
        <x:v>13</x:v>
      </x:c>
    </x:row>
    <x:row r="957">
      <x:c r="A957" s="10" t="s">
        <x:v>60</x:v>
      </x:c>
      <x:c r="B957" s="10">
        <x:v>6997</x:v>
      </x:c>
      <x:c r="C957" s="10">
        <x:v>14325</x:v>
      </x:c>
      <x:c r="D957" s="10" t="s">
        <x:v>0</x:v>
      </x:c>
      <x:c r="E957" s="10" t="s">
        <x:v>23</x:v>
      </x:c>
      <x:c r="F957" s="10">
        <x:v>34</x:v>
      </x:c>
      <x:c r="G957" s="10">
        <x:v>208</x:v>
      </x:c>
      <x:c r="H957" s="22">
        <x:f t="shared" si="14"/>
        <x:v>9545.0572209264428</x:v>
      </x:c>
      <x:c r="I957" s="22">
        <x:v>1985371.9019527</x:v>
      </x:c>
      <x:c r="J957" s="10">
        <x:v>50</x:v>
      </x:c>
      <x:c r="K957" s="10">
        <x:v>1</x:v>
      </x:c>
    </x:row>
    <x:row r="958">
      <x:c r="A958" s="10" t="s">
        <x:v>60</x:v>
      </x:c>
      <x:c r="B958" s="10">
        <x:v>8982</x:v>
      </x:c>
      <x:c r="C958" s="10">
        <x:v>14326</x:v>
      </x:c>
      <x:c r="D958" s="10" t="s">
        <x:v>0</x:v>
      </x:c>
      <x:c r="E958" s="10" t="s">
        <x:v>0</x:v>
      </x:c>
      <x:c r="F958" s="10">
        <x:v>64</x:v>
      </x:c>
      <x:c r="G958" s="10">
        <x:v>371</x:v>
      </x:c>
      <x:c r="H958" s="22">
        <x:f t="shared" si="14"/>
        <x:v>13000</x:v>
      </x:c>
      <x:c r="I958" s="22">
        <x:v>4823000</x:v>
      </x:c>
      <x:c r="J958" s="10">
        <x:v>50</x:v>
      </x:c>
      <x:c r="K958" s="10">
        <x:v>2</x:v>
      </x:c>
    </x:row>
    <x:row r="959">
      <x:c r="A959" s="10" t="s">
        <x:v>60</x:v>
      </x:c>
      <x:c r="B959" s="10">
        <x:v>9251</x:v>
      </x:c>
      <x:c r="C959" s="10">
        <x:v>14327</x:v>
      </x:c>
      <x:c r="D959" s="10" t="s">
        <x:v>0</x:v>
      </x:c>
      <x:c r="E959" s="10" t="s">
        <x:v>0</x:v>
      </x:c>
      <x:c r="F959" s="10">
        <x:v>16</x:v>
      </x:c>
      <x:c r="G959" s="10">
        <x:v>99</x:v>
      </x:c>
      <x:c r="H959" s="22">
        <x:f t="shared" si="14"/>
        <x:v>13000</x:v>
      </x:c>
      <x:c r="I959" s="22">
        <x:v>1287000</x:v>
      </x:c>
      <x:c r="J959" s="10">
        <x:v>50</x:v>
      </x:c>
      <x:c r="K959" s="10">
        <x:v>3</x:v>
      </x:c>
    </x:row>
    <x:row r="960">
      <x:c r="A960" s="10" t="s">
        <x:v>60</x:v>
      </x:c>
      <x:c r="B960" s="10">
        <x:v>9255</x:v>
      </x:c>
      <x:c r="C960" s="10">
        <x:v>14328</x:v>
      </x:c>
      <x:c r="D960" s="10" t="s">
        <x:v>0</x:v>
      </x:c>
      <x:c r="E960" s="10" t="s">
        <x:v>0</x:v>
      </x:c>
      <x:c r="F960" s="10">
        <x:v>15</x:v>
      </x:c>
      <x:c r="G960" s="10">
        <x:v>177</x:v>
      </x:c>
      <x:c r="H960" s="22">
        <x:f t="shared" si="14"/>
        <x:v>13000</x:v>
      </x:c>
      <x:c r="I960" s="22">
        <x:v>2301000</x:v>
      </x:c>
      <x:c r="J960" s="10">
        <x:v>50</x:v>
      </x:c>
      <x:c r="K960" s="10">
        <x:v>4</x:v>
      </x:c>
    </x:row>
    <x:row r="961">
      <x:c r="A961" s="10" t="s">
        <x:v>60</x:v>
      </x:c>
      <x:c r="B961" s="10">
        <x:v>9091</x:v>
      </x:c>
      <x:c r="C961" s="10">
        <x:v>14329</x:v>
      </x:c>
      <x:c r="D961" s="10" t="s">
        <x:v>0</x:v>
      </x:c>
      <x:c r="E961" s="10" t="s">
        <x:v>0</x:v>
      </x:c>
      <x:c r="F961" s="10">
        <x:v>16</x:v>
      </x:c>
      <x:c r="G961" s="10">
        <x:v>95</x:v>
      </x:c>
      <x:c r="H961" s="22">
        <x:f t="shared" si="14"/>
        <x:v>13000</x:v>
      </x:c>
      <x:c r="I961" s="22">
        <x:v>1235000</x:v>
      </x:c>
      <x:c r="J961" s="10">
        <x:v>50</x:v>
      </x:c>
      <x:c r="K961" s="10">
        <x:v>5</x:v>
      </x:c>
    </x:row>
    <x:row r="962">
      <x:c r="A962" s="10" t="s">
        <x:v>60</x:v>
      </x:c>
      <x:c r="B962" s="10">
        <x:v>8786</x:v>
      </x:c>
      <x:c r="C962" s="10">
        <x:v>14330</x:v>
      </x:c>
      <x:c r="D962" s="10" t="s">
        <x:v>0</x:v>
      </x:c>
      <x:c r="E962" s="10" t="s">
        <x:v>0</x:v>
      </x:c>
      <x:c r="F962" s="10">
        <x:v>31</x:v>
      </x:c>
      <x:c r="G962" s="10">
        <x:v>166</x:v>
      </x:c>
      <x:c r="H962" s="22">
        <x:f t="shared" si="14"/>
        <x:v>13000</x:v>
      </x:c>
      <x:c r="I962" s="22">
        <x:v>2158000</x:v>
      </x:c>
      <x:c r="J962" s="10">
        <x:v>50</x:v>
      </x:c>
      <x:c r="K962" s="10">
        <x:v>6</x:v>
      </x:c>
    </x:row>
    <x:row r="963">
      <x:c r="A963" s="10" t="s">
        <x:v>60</x:v>
      </x:c>
      <x:c r="B963" s="10">
        <x:v>9587</x:v>
      </x:c>
      <x:c r="C963" s="10">
        <x:v>14331</x:v>
      </x:c>
      <x:c r="D963" s="10" t="s">
        <x:v>0</x:v>
      </x:c>
      <x:c r="E963" s="10" t="s">
        <x:v>0</x:v>
      </x:c>
      <x:c r="F963" s="10">
        <x:v>86</x:v>
      </x:c>
      <x:c r="G963" s="10">
        <x:v>367</x:v>
      </x:c>
      <x:c r="H963" s="22" t="n">
        <x:f t="shared" ref="H963:H976" si="15">I963/G963</x:f>
        <x:v>13000</x:v>
      </x:c>
      <x:c r="I963" s="22">
        <x:v>4771000</x:v>
      </x:c>
      <x:c r="J963" s="10">
        <x:v>50</x:v>
      </x:c>
      <x:c r="K963" s="10">
        <x:v>7</x:v>
      </x:c>
    </x:row>
    <x:row r="964">
      <x:c r="A964" s="10" t="s">
        <x:v>60</x:v>
      </x:c>
      <x:c r="B964" s="10">
        <x:v>10530</x:v>
      </x:c>
      <x:c r="C964" s="10">
        <x:v>14332</x:v>
      </x:c>
      <x:c r="D964" s="10" t="s">
        <x:v>0</x:v>
      </x:c>
      <x:c r="E964" s="10" t="s">
        <x:v>32</x:v>
      </x:c>
      <x:c r="F964" s="10">
        <x:v>29</x:v>
      </x:c>
      <x:c r="G964" s="10">
        <x:v>192</x:v>
      </x:c>
      <x:c r="H964" s="22">
        <x:f t="shared" si="15"/>
        <x:v>8650.2525233645829</x:v>
      </x:c>
      <x:c r="I964" s="22">
        <x:v>1660848.4844859999</x:v>
      </x:c>
      <x:c r="J964" s="10">
        <x:v>50</x:v>
      </x:c>
      <x:c r="K964" s="10">
        <x:v>8</x:v>
      </x:c>
    </x:row>
    <x:row r="965">
      <x:c r="A965" s="10" t="s">
        <x:v>60</x:v>
      </x:c>
      <x:c r="B965" s="10">
        <x:v>3133</x:v>
      </x:c>
      <x:c r="C965" s="10">
        <x:v>14333</x:v>
      </x:c>
      <x:c r="D965" s="10" t="s">
        <x:v>0</x:v>
      </x:c>
      <x:c r="E965" s="10" t="s">
        <x:v>24</x:v>
      </x:c>
      <x:c r="F965" s="10">
        <x:v>15</x:v>
      </x:c>
      <x:c r="G965" s="10">
        <x:v>96</x:v>
      </x:c>
      <x:c r="H965" s="22">
        <x:f t="shared" si="15"/>
        <x:v>10652.978656004167</x:v>
      </x:c>
      <x:c r="I965" s="22">
        <x:v>1022685.9509764001</x:v>
      </x:c>
      <x:c r="J965" s="10">
        <x:v>50</x:v>
      </x:c>
      <x:c r="K965" s="10">
        <x:v>9</x:v>
      </x:c>
    </x:row>
    <x:row r="966">
      <x:c r="A966" s="10" t="s">
        <x:v>60</x:v>
      </x:c>
      <x:c r="B966" s="10">
        <x:v>8894</x:v>
      </x:c>
      <x:c r="C966" s="10">
        <x:v>14334</x:v>
      </x:c>
      <x:c r="D966" s="10" t="s">
        <x:v>0</x:v>
      </x:c>
      <x:c r="E966" s="10" t="s">
        <x:v>0</x:v>
      </x:c>
      <x:c r="F966" s="10">
        <x:v>50</x:v>
      </x:c>
      <x:c r="G966" s="10">
        <x:v>304</x:v>
      </x:c>
      <x:c r="H966" s="22">
        <x:f t="shared" si="15"/>
        <x:v>13000</x:v>
      </x:c>
      <x:c r="I966" s="22">
        <x:v>3952000</x:v>
      </x:c>
      <x:c r="J966" s="10">
        <x:v>50</x:v>
      </x:c>
      <x:c r="K966" s="10">
        <x:v>10</x:v>
      </x:c>
    </x:row>
    <x:row r="967">
      <x:c r="A967" s="10" t="s">
        <x:v>60</x:v>
      </x:c>
      <x:c r="B967" s="10">
        <x:v>9554</x:v>
      </x:c>
      <x:c r="C967" s="10">
        <x:v>14335</x:v>
      </x:c>
      <x:c r="D967" s="10" t="s">
        <x:v>0</x:v>
      </x:c>
      <x:c r="E967" s="10" t="s">
        <x:v>0</x:v>
      </x:c>
      <x:c r="F967" s="10">
        <x:v>91</x:v>
      </x:c>
      <x:c r="G967" s="10">
        <x:v>361</x:v>
      </x:c>
      <x:c r="H967" s="22">
        <x:f t="shared" si="15"/>
        <x:v>13000</x:v>
      </x:c>
      <x:c r="I967" s="22">
        <x:v>4693000</x:v>
      </x:c>
      <x:c r="J967" s="10">
        <x:v>50</x:v>
      </x:c>
      <x:c r="K967" s="10">
        <x:v>11</x:v>
      </x:c>
    </x:row>
    <x:row r="968">
      <x:c r="A968" s="10" t="s">
        <x:v>60</x:v>
      </x:c>
      <x:c r="B968" s="10">
        <x:v>9583</x:v>
      </x:c>
      <x:c r="C968" s="10">
        <x:v>14336</x:v>
      </x:c>
      <x:c r="D968" s="10" t="s">
        <x:v>0</x:v>
      </x:c>
      <x:c r="E968" s="10" t="s">
        <x:v>0</x:v>
      </x:c>
      <x:c r="F968" s="10">
        <x:v>73</x:v>
      </x:c>
      <x:c r="G968" s="10">
        <x:v>375</x:v>
      </x:c>
      <x:c r="H968" s="22">
        <x:f t="shared" si="15"/>
        <x:v>13000</x:v>
      </x:c>
      <x:c r="I968" s="22">
        <x:v>4875000</x:v>
      </x:c>
      <x:c r="J968" s="10">
        <x:v>50</x:v>
      </x:c>
      <x:c r="K968" s="10">
        <x:v>12</x:v>
      </x:c>
    </x:row>
    <x:row r="969">
      <x:c r="A969" s="10" t="s">
        <x:v>60</x:v>
      </x:c>
      <x:c r="B969" s="10">
        <x:v>8959</x:v>
      </x:c>
      <x:c r="C969" s="10">
        <x:v>14337</x:v>
      </x:c>
      <x:c r="D969" s="10" t="s">
        <x:v>0</x:v>
      </x:c>
      <x:c r="E969" s="10" t="s">
        <x:v>0</x:v>
      </x:c>
      <x:c r="F969" s="10">
        <x:v>26</x:v>
      </x:c>
      <x:c r="G969" s="10">
        <x:v>176</x:v>
      </x:c>
      <x:c r="H969" s="22">
        <x:f t="shared" si="15"/>
        <x:v>13000</x:v>
      </x:c>
      <x:c r="I969" s="22">
        <x:v>2288000</x:v>
      </x:c>
      <x:c r="J969" s="10">
        <x:v>50</x:v>
      </x:c>
      <x:c r="K969" s="10">
        <x:v>13</x:v>
      </x:c>
    </x:row>
    <x:row r="970">
      <x:c r="A970" s="10" t="s">
        <x:v>60</x:v>
      </x:c>
      <x:c r="B970" s="10">
        <x:v>9287</x:v>
      </x:c>
      <x:c r="C970" s="10">
        <x:v>14338</x:v>
      </x:c>
      <x:c r="D970" s="10" t="s">
        <x:v>0</x:v>
      </x:c>
      <x:c r="E970" s="10" t="s">
        <x:v>0</x:v>
      </x:c>
      <x:c r="F970" s="10">
        <x:v>17</x:v>
      </x:c>
      <x:c r="G970" s="10">
        <x:v>94</x:v>
      </x:c>
      <x:c r="H970" s="22">
        <x:f t="shared" si="15"/>
        <x:v>13000</x:v>
      </x:c>
      <x:c r="I970" s="22">
        <x:v>1222000</x:v>
      </x:c>
      <x:c r="J970" s="10">
        <x:v>50</x:v>
      </x:c>
      <x:c r="K970" s="10">
        <x:v>14</x:v>
      </x:c>
    </x:row>
    <x:row r="971">
      <x:c r="A971" s="10" t="s">
        <x:v>60</x:v>
      </x:c>
      <x:c r="B971" s="10">
        <x:v>9368</x:v>
      </x:c>
      <x:c r="C971" s="10">
        <x:v>14339</x:v>
      </x:c>
      <x:c r="D971" s="10" t="s">
        <x:v>0</x:v>
      </x:c>
      <x:c r="E971" s="10" t="s">
        <x:v>0</x:v>
      </x:c>
      <x:c r="F971" s="10">
        <x:v>17</x:v>
      </x:c>
      <x:c r="G971" s="10">
        <x:v>97</x:v>
      </x:c>
      <x:c r="H971" s="22">
        <x:f t="shared" si="15"/>
        <x:v>13000</x:v>
      </x:c>
      <x:c r="I971" s="22">
        <x:v>1261000</x:v>
      </x:c>
      <x:c r="J971" s="10">
        <x:v>50</x:v>
      </x:c>
      <x:c r="K971" s="10">
        <x:v>15</x:v>
      </x:c>
    </x:row>
    <x:row r="972">
      <x:c r="A972" s="10" t="s">
        <x:v>60</x:v>
      </x:c>
      <x:c r="B972" s="10">
        <x:v>6977</x:v>
      </x:c>
      <x:c r="C972" s="10">
        <x:v>14340</x:v>
      </x:c>
      <x:c r="D972" s="10" t="s">
        <x:v>0</x:v>
      </x:c>
      <x:c r="E972" s="10" t="s">
        <x:v>24</x:v>
      </x:c>
      <x:c r="F972" s="10">
        <x:v>26</x:v>
      </x:c>
      <x:c r="G972" s="10">
        <x:v>193</x:v>
      </x:c>
      <x:c r="H972" s="22">
        <x:f t="shared" si="15"/>
        <x:v>10597.78187540259</x:v>
      </x:c>
      <x:c r="I972" s="22">
        <x:v>2045371.9019527</x:v>
      </x:c>
      <x:c r="J972" s="10">
        <x:v>50</x:v>
      </x:c>
      <x:c r="K972" s="10">
        <x:v>16</x:v>
      </x:c>
    </x:row>
    <x:row r="973">
      <x:c r="A973" s="10" t="s">
        <x:v>60</x:v>
      </x:c>
      <x:c r="B973" s="10">
        <x:v>6970</x:v>
      </x:c>
      <x:c r="C973" s="10">
        <x:v>14341</x:v>
      </x:c>
      <x:c r="D973" s="10" t="s">
        <x:v>0</x:v>
      </x:c>
      <x:c r="E973" s="10" t="s">
        <x:v>24</x:v>
      </x:c>
      <x:c r="F973" s="10">
        <x:v>28</x:v>
      </x:c>
      <x:c r="G973" s="10">
        <x:v>192</x:v>
      </x:c>
      <x:c r="H973" s="22">
        <x:f t="shared" si="15"/>
        <x:v>10652.978656003646</x:v>
      </x:c>
      <x:c r="I973" s="22">
        <x:v>2045371.9019527</x:v>
      </x:c>
      <x:c r="J973" s="10">
        <x:v>50</x:v>
      </x:c>
      <x:c r="K973" s="10">
        <x:v>17</x:v>
      </x:c>
    </x:row>
    <x:row r="974">
      <x:c r="A974" s="10" t="s">
        <x:v>60</x:v>
      </x:c>
      <x:c r="B974" s="10">
        <x:v>6995</x:v>
      </x:c>
      <x:c r="C974" s="10">
        <x:v>14342</x:v>
      </x:c>
      <x:c r="D974" s="10" t="s">
        <x:v>0</x:v>
      </x:c>
      <x:c r="E974" s="10" t="s">
        <x:v>23</x:v>
      </x:c>
      <x:c r="F974" s="10">
        <x:v>34</x:v>
      </x:c>
      <x:c r="G974" s="10">
        <x:v>208</x:v>
      </x:c>
      <x:c r="H974" s="22">
        <x:f t="shared" si="15"/>
        <x:v>9314.2879901572123</x:v>
      </x:c>
      <x:c r="I974" s="22">
        <x:v>1937371.9019527</x:v>
      </x:c>
      <x:c r="J974" s="10">
        <x:v>50</x:v>
      </x:c>
      <x:c r="K974" s="10">
        <x:v>18</x:v>
      </x:c>
    </x:row>
    <x:row r="975">
      <x:c r="A975" s="10" t="s">
        <x:v>60</x:v>
      </x:c>
      <x:c r="B975" s="10">
        <x:v>10795</x:v>
      </x:c>
      <x:c r="C975" s="10">
        <x:v>14343</x:v>
      </x:c>
      <x:c r="D975" s="10" t="s">
        <x:v>0</x:v>
      </x:c>
      <x:c r="E975" s="10" t="s">
        <x:v>32</x:v>
      </x:c>
      <x:c r="F975" s="10">
        <x:v>30</x:v>
      </x:c>
      <x:c r="G975" s="10">
        <x:v>192</x:v>
      </x:c>
      <x:c r="H975" s="22">
        <x:f t="shared" si="15"/>
        <x:v>8676.2941900312489</x:v>
      </x:c>
      <x:c r="I975" s="22">
        <x:v>1665848.4844859999</x:v>
      </x:c>
      <x:c r="J975" s="10">
        <x:v>50</x:v>
      </x:c>
      <x:c r="K975" s="10">
        <x:v>19</x:v>
      </x:c>
    </x:row>
    <x:row r="976">
      <x:c r="A976" s="10" t="s">
        <x:v>60</x:v>
      </x:c>
      <x:c r="B976" s="10">
        <x:v>10786</x:v>
      </x:c>
      <x:c r="C976" s="10">
        <x:v>14344</x:v>
      </x:c>
      <x:c r="D976" s="10" t="s">
        <x:v>0</x:v>
      </x:c>
      <x:c r="E976" s="10" t="s">
        <x:v>32</x:v>
      </x:c>
      <x:c r="F976" s="10">
        <x:v>27</x:v>
      </x:c>
      <x:c r="G976" s="10">
        <x:v>192</x:v>
      </x:c>
      <x:c r="H976" s="22">
        <x:f t="shared" si="15"/>
        <x:v>8676.2941900312489</x:v>
      </x:c>
      <x:c r="I976" s="22">
        <x:v>1665848.4844859999</x:v>
      </x:c>
      <x:c r="J976" s="10">
        <x:v>50</x:v>
      </x:c>
      <x:c r="K976" s="10">
        <x:v>20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5"/>
  <x:cols>
    <x:col min="2" max="2" width="8.453125" customWidth="1"/>
    <x:col min="4" max="4" width="16.1796875" customWidth="1"/>
    <x:col min="7" max="7" width="12.1796875" customWidth="1"/>
    <x:col min="8" max="8" width="10" customWidth="1"/>
    <x:col min="9" max="9" width="9.1796875" customWidth="1"/>
  </x:cols>
  <x:sheetData>
    <x:row r="1">
      <x:c r="A1" s="1" t="s">
        <x:v>11</x:v>
      </x:c>
      <x:c r="B1" s="1" t="s">
        <x:v>12</x:v>
      </x:c>
      <x:c r="C1" s="1" t="s">
        <x:v>13</x:v>
      </x:c>
      <x:c r="D1" s="1" t="s">
        <x:v>14</x:v>
      </x:c>
      <x:c r="E1" s="1" t="s">
        <x:v>15</x:v>
      </x:c>
      <x:c r="F1" s="1" t="s">
        <x:v>16</x:v>
      </x:c>
      <x:c r="G1" s="5" t="s">
        <x:v>17</x:v>
      </x:c>
      <x:c r="H1" s="5" t="s">
        <x:v>18</x:v>
      </x:c>
      <x:c r="I1" s="19" t="s">
        <x:v>58</x:v>
      </x:c>
    </x:row>
    <x:row r="2">
      <x:c r="A2" s="2" t="s">
        <x:v>60</x:v>
      </x:c>
      <x:c r="B2" s="13">
        <x:v>2277</x:v>
      </x:c>
      <x:c r="C2" s="2">
        <x:v>14350</x:v>
      </x:c>
      <x:c r="D2" s="2" t="s">
        <x:v>7</x:v>
      </x:c>
      <x:c r="E2" s="14">
        <x:v>0</x:v>
      </x:c>
      <x:c r="F2" s="2">
        <x:v>119</x:v>
      </x:c>
      <x:c r="G2" s="4" t="n">
        <x:f>H2/F2</x:f>
        <x:v>5197.4789915966385</x:v>
      </x:c>
      <x:c r="H2" s="3">
        <x:v>618500</x:v>
      </x:c>
      <x:c r="I2" s="2" t="s">
        <x:v>71</x:v>
      </x:c>
    </x:row>
    <x:row r="3">
      <x:c r="A3" s="2" t="s">
        <x:v>60</x:v>
      </x:c>
      <x:c r="B3" s="13">
        <x:v>2350</x:v>
      </x:c>
      <x:c r="C3" s="2">
        <x:v>14351</x:v>
      </x:c>
      <x:c r="D3" s="2" t="s">
        <x:v>7</x:v>
      </x:c>
      <x:c r="E3" s="14">
        <x:v>0</x:v>
      </x:c>
      <x:c r="F3" s="2">
        <x:v>86</x:v>
      </x:c>
      <x:c r="G3" s="4" t="n">
        <x:f t="shared" ref="G3:G66" si="0">H3/F3</x:f>
        <x:v>5593.023255813953</x:v>
      </x:c>
      <x:c r="H3" s="3">
        <x:v>481000</x:v>
      </x:c>
      <x:c r="I3" s="2" t="s">
        <x:v>71</x:v>
      </x:c>
    </x:row>
    <x:row r="4">
      <x:c r="A4" s="2" t="s">
        <x:v>60</x:v>
      </x:c>
      <x:c r="B4" s="13">
        <x:v>2358</x:v>
      </x:c>
      <x:c r="C4" s="2">
        <x:v>14352</x:v>
      </x:c>
      <x:c r="D4" s="2" t="s">
        <x:v>7</x:v>
      </x:c>
      <x:c r="E4" s="14">
        <x:v>0</x:v>
      </x:c>
      <x:c r="F4" s="2">
        <x:v>86</x:v>
      </x:c>
      <x:c r="G4" s="4">
        <x:f t="shared" si="0"/>
        <x:v>6151.1627906976746</x:v>
      </x:c>
      <x:c r="H4" s="3">
        <x:v>529000</x:v>
      </x:c>
      <x:c r="I4" s="2" t="s">
        <x:v>71</x:v>
      </x:c>
    </x:row>
    <x:row r="5">
      <x:c r="A5" s="2" t="s">
        <x:v>60</x:v>
      </x:c>
      <x:c r="B5" s="13">
        <x:v>2417</x:v>
      </x:c>
      <x:c r="C5" s="2">
        <x:v>14353</x:v>
      </x:c>
      <x:c r="D5" s="2" t="s">
        <x:v>7</x:v>
      </x:c>
      <x:c r="E5" s="14">
        <x:v>0</x:v>
      </x:c>
      <x:c r="F5" s="2">
        <x:v>76</x:v>
      </x:c>
      <x:c r="G5" s="4">
        <x:f t="shared" si="0"/>
        <x:v>6131.5789473684208</x:v>
      </x:c>
      <x:c r="H5" s="3">
        <x:v>466000</x:v>
      </x:c>
      <x:c r="I5" s="2" t="s">
        <x:v>71</x:v>
      </x:c>
    </x:row>
    <x:row r="6">
      <x:c r="A6" s="2" t="s">
        <x:v>60</x:v>
      </x:c>
      <x:c r="B6" s="13">
        <x:v>2710</x:v>
      </x:c>
      <x:c r="C6" s="2">
        <x:v>14354</x:v>
      </x:c>
      <x:c r="D6" s="2" t="s">
        <x:v>7</x:v>
      </x:c>
      <x:c r="E6" s="14">
        <x:v>0</x:v>
      </x:c>
      <x:c r="F6" s="2">
        <x:v>80</x:v>
      </x:c>
      <x:c r="G6" s="4">
        <x:f t="shared" si="0"/>
        <x:v>19680.9573120075</x:v>
      </x:c>
      <x:c r="H6" s="3">
        <x:v>1574476.5849605999</x:v>
      </x:c>
      <x:c r="I6" s="2" t="s">
        <x:v>71</x:v>
      </x:c>
    </x:row>
    <x:row r="7">
      <x:c r="A7" s="2" t="s">
        <x:v>60</x:v>
      </x:c>
      <x:c r="B7" s="13">
        <x:v>2711</x:v>
      </x:c>
      <x:c r="C7" s="2">
        <x:v>14355</x:v>
      </x:c>
      <x:c r="D7" s="2" t="s">
        <x:v>7</x:v>
      </x:c>
      <x:c r="E7" s="14">
        <x:v>0</x:v>
      </x:c>
      <x:c r="F7" s="2">
        <x:v>98</x:v>
      </x:c>
      <x:c r="G7" s="4">
        <x:f t="shared" si="0"/>
        <x:v>16341.597805720407</x:v>
      </x:c>
      <x:c r="H7" s="3">
        <x:v>1601476.5849605999</x:v>
      </x:c>
      <x:c r="I7" s="2" t="s">
        <x:v>71</x:v>
      </x:c>
    </x:row>
    <x:row r="8">
      <x:c r="A8" s="2" t="s">
        <x:v>60</x:v>
      </x:c>
      <x:c r="B8" s="13">
        <x:v>2774</x:v>
      </x:c>
      <x:c r="C8" s="2">
        <x:v>14356</x:v>
      </x:c>
      <x:c r="D8" s="2" t="s">
        <x:v>7</x:v>
      </x:c>
      <x:c r="E8" s="14">
        <x:v>0</x:v>
      </x:c>
      <x:c r="F8" s="2">
        <x:v>57</x:v>
      </x:c>
      <x:c r="G8" s="4">
        <x:f t="shared" si="0"/>
        <x:v>14258.566534742104</x:v>
      </x:c>
      <x:c r="H8" s="3">
        <x:v>812738.29248029995</x:v>
      </x:c>
      <x:c r="I8" s="2" t="s">
        <x:v>71</x:v>
      </x:c>
    </x:row>
    <x:row r="9">
      <x:c r="A9" s="2" t="s">
        <x:v>60</x:v>
      </x:c>
      <x:c r="B9" s="13">
        <x:v>2775</x:v>
      </x:c>
      <x:c r="C9" s="2">
        <x:v>14357</x:v>
      </x:c>
      <x:c r="D9" s="2" t="s">
        <x:v>7</x:v>
      </x:c>
      <x:c r="E9" s="14">
        <x:v>0</x:v>
      </x:c>
      <x:c r="F9" s="2">
        <x:v>41</x:v>
      </x:c>
      <x:c r="G9" s="4">
        <x:f t="shared" si="0"/>
        <x:v>19237.519328787803</x:v>
      </x:c>
      <x:c r="H9" s="3">
        <x:v>788738.29248029995</x:v>
      </x:c>
      <x:c r="I9" s="2" t="s">
        <x:v>71</x:v>
      </x:c>
    </x:row>
    <x:row r="10">
      <x:c r="A10" s="2" t="s">
        <x:v>60</x:v>
      </x:c>
      <x:c r="B10" s="13">
        <x:v>2780</x:v>
      </x:c>
      <x:c r="C10" s="2">
        <x:v>14358</x:v>
      </x:c>
      <x:c r="D10" s="2" t="s">
        <x:v>7</x:v>
      </x:c>
      <x:c r="E10" s="14">
        <x:v>0</x:v>
      </x:c>
      <x:c r="F10" s="2">
        <x:v>38</x:v>
      </x:c>
      <x:c r="G10" s="4">
        <x:f t="shared" si="0"/>
        <x:v>16810.279841690528</x:v>
      </x:c>
      <x:c r="H10" s="3">
        <x:v>638790.63398424</x:v>
      </x:c>
      <x:c r="I10" s="2" t="s">
        <x:v>71</x:v>
      </x:c>
    </x:row>
    <x:row r="11">
      <x:c r="A11" s="2" t="s">
        <x:v>60</x:v>
      </x:c>
      <x:c r="B11" s="13">
        <x:v>2817</x:v>
      </x:c>
      <x:c r="C11" s="2">
        <x:v>14359</x:v>
      </x:c>
      <x:c r="D11" s="2" t="s">
        <x:v>7</x:v>
      </x:c>
      <x:c r="E11" s="14">
        <x:v>0</x:v>
      </x:c>
      <x:c r="F11" s="2">
        <x:v>93</x:v>
      </x:c>
      <x:c r="G11" s="4">
        <x:f t="shared" si="0"/>
        <x:v>17139.533171619354</x:v>
      </x:c>
      <x:c r="H11" s="3">
        <x:v>1593976.5849605999</x:v>
      </x:c>
      <x:c r="I11" s="2" t="s">
        <x:v>71</x:v>
      </x:c>
    </x:row>
    <x:row r="12">
      <x:c r="A12" s="2" t="s">
        <x:v>60</x:v>
      </x:c>
      <x:c r="B12" s="13">
        <x:v>2875</x:v>
      </x:c>
      <x:c r="C12" s="2">
        <x:v>14360</x:v>
      </x:c>
      <x:c r="D12" s="2" t="s">
        <x:v>7</x:v>
      </x:c>
      <x:c r="E12" s="14">
        <x:v>0</x:v>
      </x:c>
      <x:c r="F12" s="2">
        <x:v>56</x:v>
      </x:c>
      <x:c r="G12" s="4">
        <x:f t="shared" si="0"/>
        <x:v>14486.398080005356</x:v>
      </x:c>
      <x:c r="H12" s="3">
        <x:v>811238.29248029995</x:v>
      </x:c>
      <x:c r="I12" s="2" t="s">
        <x:v>71</x:v>
      </x:c>
    </x:row>
    <x:row r="13">
      <x:c r="A13" s="2" t="s">
        <x:v>60</x:v>
      </x:c>
      <x:c r="B13" s="13">
        <x:v>3303</x:v>
      </x:c>
      <x:c r="C13" s="2">
        <x:v>14361</x:v>
      </x:c>
      <x:c r="D13" s="2" t="s">
        <x:v>44</x:v>
      </x:c>
      <x:c r="E13" s="14">
        <x:v>100</x:v>
      </x:c>
      <x:c r="F13" s="2">
        <x:v>494</x:v>
      </x:c>
      <x:c r="G13" s="4">
        <x:f t="shared" si="0"/>
        <x:v>10897.631082756681</x:v>
      </x:c>
      <x:c r="H13" s="3">
        <x:v>5383429.7548818002</x:v>
      </x:c>
      <x:c r="I13" s="2" t="s">
        <x:v>71</x:v>
      </x:c>
    </x:row>
    <x:row r="14">
      <x:c r="A14" s="2" t="s">
        <x:v>60</x:v>
      </x:c>
      <x:c r="B14" s="13">
        <x:v>5936</x:v>
      </x:c>
      <x:c r="C14" s="2">
        <x:v>14362</x:v>
      </x:c>
      <x:c r="D14" s="2" t="s">
        <x:v>63</x:v>
      </x:c>
      <x:c r="E14" s="14">
        <x:v>32</x:v>
      </x:c>
      <x:c r="F14" s="2">
        <x:v>198</x:v>
      </x:c>
      <x:c r="G14" s="4">
        <x:f t="shared" si="0"/>
        <x:v>10330.161120973233</x:v>
      </x:c>
      <x:c r="H14" s="3">
        <x:v>2045371.9019527</x:v>
      </x:c>
      <x:c r="I14" s="2" t="s">
        <x:v>71</x:v>
      </x:c>
    </x:row>
    <x:row r="15">
      <x:c r="A15" s="2" t="s">
        <x:v>60</x:v>
      </x:c>
      <x:c r="B15" s="13">
        <x:v>5938</x:v>
      </x:c>
      <x:c r="C15" s="2">
        <x:v>14363</x:v>
      </x:c>
      <x:c r="D15" s="2" t="s">
        <x:v>63</x:v>
      </x:c>
      <x:c r="E15" s="14">
        <x:v>31</x:v>
      </x:c>
      <x:c r="F15" s="2">
        <x:v>192</x:v>
      </x:c>
      <x:c r="G15" s="4">
        <x:f t="shared" si="0"/>
        <x:v>10652.978656003646</x:v>
      </x:c>
      <x:c r="H15" s="3">
        <x:v>2045371.9019527</x:v>
      </x:c>
      <x:c r="I15" s="2" t="s">
        <x:v>71</x:v>
      </x:c>
    </x:row>
    <x:row r="16">
      <x:c r="A16" s="2" t="s">
        <x:v>60</x:v>
      </x:c>
      <x:c r="B16" s="13">
        <x:v>5947</x:v>
      </x:c>
      <x:c r="C16" s="2">
        <x:v>14364</x:v>
      </x:c>
      <x:c r="D16" s="2" t="s">
        <x:v>63</x:v>
      </x:c>
      <x:c r="E16" s="14">
        <x:v>32</x:v>
      </x:c>
      <x:c r="F16" s="2">
        <x:v>193</x:v>
      </x:c>
      <x:c r="G16" s="4">
        <x:f t="shared" si="0"/>
        <x:v>10597.78187540259</x:v>
      </x:c>
      <x:c r="H16" s="3">
        <x:v>2045371.9019527</x:v>
      </x:c>
      <x:c r="I16" s="2" t="s">
        <x:v>71</x:v>
      </x:c>
    </x:row>
    <x:row r="17">
      <x:c r="A17" s="2" t="s">
        <x:v>60</x:v>
      </x:c>
      <x:c r="B17" s="13">
        <x:v>6041</x:v>
      </x:c>
      <x:c r="C17" s="2">
        <x:v>14365</x:v>
      </x:c>
      <x:c r="D17" s="2" t="s">
        <x:v>34</x:v>
      </x:c>
      <x:c r="E17" s="14">
        <x:v>31</x:v>
      </x:c>
      <x:c r="F17" s="2">
        <x:v>182</x:v>
      </x:c>
      <x:c r="G17" s="4">
        <x:f t="shared" si="0"/>
        <x:v>11238.307153586264</x:v>
      </x:c>
      <x:c r="H17" s="3">
        <x:v>2045371.9019527</x:v>
      </x:c>
      <x:c r="I17" s="2" t="s">
        <x:v>71</x:v>
      </x:c>
    </x:row>
    <x:row r="18">
      <x:c r="A18" s="2" t="s">
        <x:v>60</x:v>
      </x:c>
      <x:c r="B18" s="13">
        <x:v>6049</x:v>
      </x:c>
      <x:c r="C18" s="2">
        <x:v>14366</x:v>
      </x:c>
      <x:c r="D18" s="2" t="s">
        <x:v>63</x:v>
      </x:c>
      <x:c r="E18" s="14">
        <x:v>34</x:v>
      </x:c>
      <x:c r="F18" s="2">
        <x:v>192</x:v>
      </x:c>
      <x:c r="G18" s="4">
        <x:f t="shared" si="0"/>
        <x:v>10652.978656003646</x:v>
      </x:c>
      <x:c r="H18" s="3">
        <x:v>2045371.9019527</x:v>
      </x:c>
      <x:c r="I18" s="2" t="s">
        <x:v>71</x:v>
      </x:c>
    </x:row>
    <x:row r="19">
      <x:c r="A19" s="2" t="s">
        <x:v>60</x:v>
      </x:c>
      <x:c r="B19" s="13">
        <x:v>6051</x:v>
      </x:c>
      <x:c r="C19" s="2">
        <x:v>14367</x:v>
      </x:c>
      <x:c r="D19" s="2" t="s">
        <x:v>63</x:v>
      </x:c>
      <x:c r="E19" s="14">
        <x:v>32</x:v>
      </x:c>
      <x:c r="F19" s="2">
        <x:v>192</x:v>
      </x:c>
      <x:c r="G19" s="4">
        <x:f t="shared" si="0"/>
        <x:v>10652.978656003646</x:v>
      </x:c>
      <x:c r="H19" s="3">
        <x:v>2045371.9019527</x:v>
      </x:c>
      <x:c r="I19" s="2" t="s">
        <x:v>71</x:v>
      </x:c>
    </x:row>
    <x:row r="20">
      <x:c r="A20" s="2" t="s">
        <x:v>60</x:v>
      </x:c>
      <x:c r="B20" s="13">
        <x:v>6057</x:v>
      </x:c>
      <x:c r="C20" s="2">
        <x:v>14368</x:v>
      </x:c>
      <x:c r="D20" s="2" t="s">
        <x:v>63</x:v>
      </x:c>
      <x:c r="E20" s="14">
        <x:v>33</x:v>
      </x:c>
      <x:c r="F20" s="2">
        <x:v>192</x:v>
      </x:c>
      <x:c r="G20" s="4">
        <x:f t="shared" si="0"/>
        <x:v>10652.978656003646</x:v>
      </x:c>
      <x:c r="H20" s="3">
        <x:v>2045371.9019527</x:v>
      </x:c>
      <x:c r="I20" s="2" t="s">
        <x:v>71</x:v>
      </x:c>
    </x:row>
    <x:row r="21">
      <x:c r="A21" s="2" t="s">
        <x:v>60</x:v>
      </x:c>
      <x:c r="B21" s="13">
        <x:v>6059</x:v>
      </x:c>
      <x:c r="C21" s="2">
        <x:v>14369</x:v>
      </x:c>
      <x:c r="D21" s="2" t="s">
        <x:v>63</x:v>
      </x:c>
      <x:c r="E21" s="14">
        <x:v>34</x:v>
      </x:c>
      <x:c r="F21" s="2">
        <x:v>192</x:v>
      </x:c>
      <x:c r="G21" s="4">
        <x:f t="shared" si="0"/>
        <x:v>10652.978656003646</x:v>
      </x:c>
      <x:c r="H21" s="3">
        <x:v>2045371.9019527</x:v>
      </x:c>
      <x:c r="I21" s="2" t="s">
        <x:v>71</x:v>
      </x:c>
    </x:row>
    <x:row r="22">
      <x:c r="A22" s="2" t="s">
        <x:v>60</x:v>
      </x:c>
      <x:c r="B22" s="13">
        <x:v>6065</x:v>
      </x:c>
      <x:c r="C22" s="2">
        <x:v>14370</x:v>
      </x:c>
      <x:c r="D22" s="2" t="s">
        <x:v>62</x:v>
      </x:c>
      <x:c r="E22" s="14">
        <x:v>46</x:v>
      </x:c>
      <x:c r="F22" s="2">
        <x:v>192</x:v>
      </x:c>
      <x:c r="G22" s="4">
        <x:f t="shared" si="0"/>
        <x:v>10652.978656003646</x:v>
      </x:c>
      <x:c r="H22" s="3">
        <x:v>2045371.9019527</x:v>
      </x:c>
      <x:c r="I22" s="2" t="s">
        <x:v>71</x:v>
      </x:c>
    </x:row>
    <x:row r="23">
      <x:c r="A23" s="2" t="s">
        <x:v>60</x:v>
      </x:c>
      <x:c r="B23" s="13">
        <x:v>6800</x:v>
      </x:c>
      <x:c r="C23" s="2">
        <x:v>14371</x:v>
      </x:c>
      <x:c r="D23" s="2" t="s">
        <x:v>22</x:v>
      </x:c>
      <x:c r="E23" s="14">
        <x:v>34</x:v>
      </x:c>
      <x:c r="F23" s="2">
        <x:v>192</x:v>
      </x:c>
      <x:c r="G23" s="4">
        <x:f t="shared" si="0"/>
        <x:v>10652.978656003646</x:v>
      </x:c>
      <x:c r="H23" s="3">
        <x:v>2045371.9019527</x:v>
      </x:c>
      <x:c r="I23" s="2" t="s">
        <x:v>71</x:v>
      </x:c>
    </x:row>
    <x:row r="24">
      <x:c r="A24" s="2" t="s">
        <x:v>60</x:v>
      </x:c>
      <x:c r="B24" s="13">
        <x:v>6829</x:v>
      </x:c>
      <x:c r="C24" s="2">
        <x:v>14372</x:v>
      </x:c>
      <x:c r="D24" s="2" t="s">
        <x:v>24</x:v>
      </x:c>
      <x:c r="E24" s="14">
        <x:v>28</x:v>
      </x:c>
      <x:c r="F24" s="2">
        <x:v>192</x:v>
      </x:c>
      <x:c r="G24" s="4">
        <x:f t="shared" si="0"/>
        <x:v>10626.936989336979</x:v>
      </x:c>
      <x:c r="H24" s="3">
        <x:v>2040371.9019527</x:v>
      </x:c>
      <x:c r="I24" s="2" t="s">
        <x:v>71</x:v>
      </x:c>
    </x:row>
    <x:row r="25">
      <x:c r="A25" s="2" t="s">
        <x:v>60</x:v>
      </x:c>
      <x:c r="B25" s="13">
        <x:v>6874</x:v>
      </x:c>
      <x:c r="C25" s="2">
        <x:v>14373</x:v>
      </x:c>
      <x:c r="D25" s="2" t="s">
        <x:v>24</x:v>
      </x:c>
      <x:c r="E25" s="14">
        <x:v>28</x:v>
      </x:c>
      <x:c r="F25" s="2">
        <x:v>192</x:v>
      </x:c>
      <x:c r="G25" s="4">
        <x:f t="shared" si="0"/>
        <x:v>10652.978656003646</x:v>
      </x:c>
      <x:c r="H25" s="3">
        <x:v>2045371.9019527</x:v>
      </x:c>
      <x:c r="I25" s="2" t="s">
        <x:v>71</x:v>
      </x:c>
    </x:row>
    <x:row r="26">
      <x:c r="A26" s="2" t="s">
        <x:v>60</x:v>
      </x:c>
      <x:c r="B26" s="13">
        <x:v>6905</x:v>
      </x:c>
      <x:c r="C26" s="2">
        <x:v>14374</x:v>
      </x:c>
      <x:c r="D26" s="2" t="s">
        <x:v>66</x:v>
      </x:c>
      <x:c r="E26" s="14">
        <x:v>36</x:v>
      </x:c>
      <x:c r="F26" s="2">
        <x:v>214</x:v>
      </x:c>
      <x:c r="G26" s="4">
        <x:f t="shared" si="0"/>
        <x:v>9277.4387941714958</x:v>
      </x:c>
      <x:c r="H26" s="3">
        <x:v>1985371.9019527</x:v>
      </x:c>
      <x:c r="I26" s="2" t="s">
        <x:v>71</x:v>
      </x:c>
    </x:row>
    <x:row r="27">
      <x:c r="A27" s="2" t="s">
        <x:v>60</x:v>
      </x:c>
      <x:c r="B27" s="13">
        <x:v>6910</x:v>
      </x:c>
      <x:c r="C27" s="2">
        <x:v>14375</x:v>
      </x:c>
      <x:c r="D27" s="2" t="s">
        <x:v>23</x:v>
      </x:c>
      <x:c r="E27" s="14">
        <x:v>34</x:v>
      </x:c>
      <x:c r="F27" s="2">
        <x:v>209</x:v>
      </x:c>
      <x:c r="G27" s="4">
        <x:f t="shared" si="0"/>
        <x:v>9499.3870906827742</x:v>
      </x:c>
      <x:c r="H27" s="3">
        <x:v>1985371.9019527</x:v>
      </x:c>
      <x:c r="I27" s="2" t="s">
        <x:v>71</x:v>
      </x:c>
    </x:row>
    <x:row r="28">
      <x:c r="A28" s="2" t="s">
        <x:v>60</x:v>
      </x:c>
      <x:c r="B28" s="13">
        <x:v>6928</x:v>
      </x:c>
      <x:c r="C28" s="2">
        <x:v>14376</x:v>
      </x:c>
      <x:c r="D28" s="2" t="s">
        <x:v>54</x:v>
      </x:c>
      <x:c r="E28" s="14">
        <x:v>19</x:v>
      </x:c>
      <x:c r="F28" s="2">
        <x:v>85</x:v>
      </x:c>
      <x:c r="G28" s="4">
        <x:f t="shared" si="0"/>
        <x:v>11899.246482075294</x:v>
      </x:c>
      <x:c r="H28" s="3">
        <x:v>1011435.9509764001</x:v>
      </x:c>
      <x:c r="I28" s="2" t="s">
        <x:v>71</x:v>
      </x:c>
    </x:row>
    <x:row r="29">
      <x:c r="A29" s="2" t="s">
        <x:v>60</x:v>
      </x:c>
      <x:c r="B29" s="13">
        <x:v>6929</x:v>
      </x:c>
      <x:c r="C29" s="2">
        <x:v>14377</x:v>
      </x:c>
      <x:c r="D29" s="2" t="s">
        <x:v>54</x:v>
      </x:c>
      <x:c r="E29" s="14">
        <x:v>19</x:v>
      </x:c>
      <x:c r="F29" s="2">
        <x:v>92</x:v>
      </x:c>
      <x:c r="G29" s="4">
        <x:f t="shared" si="0"/>
        <x:v>11116.151641047827</x:v>
      </x:c>
      <x:c r="H29" s="3">
        <x:v>1022685.9509764001</x:v>
      </x:c>
      <x:c r="I29" s="2" t="s">
        <x:v>71</x:v>
      </x:c>
    </x:row>
    <x:row r="30">
      <x:c r="A30" s="2" t="s">
        <x:v>60</x:v>
      </x:c>
      <x:c r="B30" s="13">
        <x:v>6955</x:v>
      </x:c>
      <x:c r="C30" s="2">
        <x:v>14378</x:v>
      </x:c>
      <x:c r="D30" s="2" t="s">
        <x:v>22</x:v>
      </x:c>
      <x:c r="E30" s="14">
        <x:v>34</x:v>
      </x:c>
      <x:c r="F30" s="2">
        <x:v>192</x:v>
      </x:c>
      <x:c r="G30" s="4">
        <x:f t="shared" si="0"/>
        <x:v>10652.978656003646</x:v>
      </x:c>
      <x:c r="H30" s="3">
        <x:v>2045371.9019527</x:v>
      </x:c>
      <x:c r="I30" s="2" t="s">
        <x:v>71</x:v>
      </x:c>
    </x:row>
    <x:row r="31">
      <x:c r="A31" s="2" t="s">
        <x:v>60</x:v>
      </x:c>
      <x:c r="B31" s="13">
        <x:v>6967</x:v>
      </x:c>
      <x:c r="C31" s="2">
        <x:v>14379</x:v>
      </x:c>
      <x:c r="D31" s="2" t="s">
        <x:v>24</x:v>
      </x:c>
      <x:c r="E31" s="14">
        <x:v>28</x:v>
      </x:c>
      <x:c r="F31" s="2">
        <x:v>192</x:v>
      </x:c>
      <x:c r="G31" s="4">
        <x:f t="shared" si="0"/>
        <x:v>10652.978656003646</x:v>
      </x:c>
      <x:c r="H31" s="3">
        <x:v>2045371.9019527</x:v>
      </x:c>
      <x:c r="I31" s="2" t="s">
        <x:v>71</x:v>
      </x:c>
    </x:row>
    <x:row r="32">
      <x:c r="A32" s="2" t="s">
        <x:v>60</x:v>
      </x:c>
      <x:c r="B32" s="13">
        <x:v>8516</x:v>
      </x:c>
      <x:c r="C32" s="2">
        <x:v>14380</x:v>
      </x:c>
      <x:c r="D32" s="2" t="s">
        <x:v>9</x:v>
      </x:c>
      <x:c r="E32" s="14">
        <x:v>52</x:v>
      </x:c>
      <x:c r="F32" s="2">
        <x:v>197</x:v>
      </x:c>
      <x:c r="G32" s="4">
        <x:f t="shared" si="0"/>
        <x:v>9000</x:v>
      </x:c>
      <x:c r="H32" s="3">
        <x:v>1773000</x:v>
      </x:c>
      <x:c r="I32" s="2" t="s">
        <x:v>71</x:v>
      </x:c>
    </x:row>
    <x:row r="33">
      <x:c r="A33" s="2" t="s">
        <x:v>60</x:v>
      </x:c>
      <x:c r="B33" s="13">
        <x:v>8538</x:v>
      </x:c>
      <x:c r="C33" s="2">
        <x:v>14381</x:v>
      </x:c>
      <x:c r="D33" s="2" t="s">
        <x:v>9</x:v>
      </x:c>
      <x:c r="E33" s="14">
        <x:v>44</x:v>
      </x:c>
      <x:c r="F33" s="2">
        <x:v>200</x:v>
      </x:c>
      <x:c r="G33" s="4">
        <x:f t="shared" si="0"/>
        <x:v>9000</x:v>
      </x:c>
      <x:c r="H33" s="3">
        <x:v>1800000</x:v>
      </x:c>
      <x:c r="I33" s="2" t="s">
        <x:v>71</x:v>
      </x:c>
    </x:row>
    <x:row r="34">
      <x:c r="A34" s="2" t="s">
        <x:v>60</x:v>
      </x:c>
      <x:c r="B34" s="13">
        <x:v>8552</x:v>
      </x:c>
      <x:c r="C34" s="2">
        <x:v>14382</x:v>
      </x:c>
      <x:c r="D34" s="2" t="s">
        <x:v>9</x:v>
      </x:c>
      <x:c r="E34" s="14">
        <x:v>50</x:v>
      </x:c>
      <x:c r="F34" s="2">
        <x:v>200</x:v>
      </x:c>
      <x:c r="G34" s="4">
        <x:f t="shared" si="0"/>
        <x:v>9000</x:v>
      </x:c>
      <x:c r="H34" s="3">
        <x:v>1800000</x:v>
      </x:c>
      <x:c r="I34" s="2" t="s">
        <x:v>71</x:v>
      </x:c>
    </x:row>
    <x:row r="35">
      <x:c r="A35" s="2" t="s">
        <x:v>60</x:v>
      </x:c>
      <x:c r="B35" s="13">
        <x:v>8560</x:v>
      </x:c>
      <x:c r="C35" s="2">
        <x:v>14383</x:v>
      </x:c>
      <x:c r="D35" s="2" t="s">
        <x:v>9</x:v>
      </x:c>
      <x:c r="E35" s="14">
        <x:v>46</x:v>
      </x:c>
      <x:c r="F35" s="2">
        <x:v>200</x:v>
      </x:c>
      <x:c r="G35" s="4">
        <x:f t="shared" si="0"/>
        <x:v>9000</x:v>
      </x:c>
      <x:c r="H35" s="3">
        <x:v>1800000</x:v>
      </x:c>
      <x:c r="I35" s="2" t="s">
        <x:v>71</x:v>
      </x:c>
    </x:row>
    <x:row r="36">
      <x:c r="A36" s="2" t="s">
        <x:v>60</x:v>
      </x:c>
      <x:c r="B36" s="13">
        <x:v>8564</x:v>
      </x:c>
      <x:c r="C36" s="2">
        <x:v>14384</x:v>
      </x:c>
      <x:c r="D36" s="2" t="s">
        <x:v>9</x:v>
      </x:c>
      <x:c r="E36" s="14">
        <x:v>35</x:v>
      </x:c>
      <x:c r="F36" s="2">
        <x:v>199</x:v>
      </x:c>
      <x:c r="G36" s="4">
        <x:f t="shared" si="0"/>
        <x:v>9000</x:v>
      </x:c>
      <x:c r="H36" s="3">
        <x:v>1791000</x:v>
      </x:c>
      <x:c r="I36" s="2" t="s">
        <x:v>71</x:v>
      </x:c>
    </x:row>
    <x:row r="37">
      <x:c r="A37" s="2" t="s">
        <x:v>60</x:v>
      </x:c>
      <x:c r="B37" s="13">
        <x:v>8565</x:v>
      </x:c>
      <x:c r="C37" s="2">
        <x:v>14385</x:v>
      </x:c>
      <x:c r="D37" s="2" t="s">
        <x:v>9</x:v>
      </x:c>
      <x:c r="E37" s="14">
        <x:v>39</x:v>
      </x:c>
      <x:c r="F37" s="2">
        <x:v>201</x:v>
      </x:c>
      <x:c r="G37" s="4">
        <x:f t="shared" si="0"/>
        <x:v>9000</x:v>
      </x:c>
      <x:c r="H37" s="3">
        <x:v>1809000</x:v>
      </x:c>
      <x:c r="I37" s="2" t="s">
        <x:v>71</x:v>
      </x:c>
    </x:row>
    <x:row r="38">
      <x:c r="A38" s="2" t="s">
        <x:v>60</x:v>
      </x:c>
      <x:c r="B38" s="13">
        <x:v>8573</x:v>
      </x:c>
      <x:c r="C38" s="2">
        <x:v>14386</x:v>
      </x:c>
      <x:c r="D38" s="2" t="s">
        <x:v>9</x:v>
      </x:c>
      <x:c r="E38" s="14">
        <x:v>37</x:v>
      </x:c>
      <x:c r="F38" s="2">
        <x:v>199</x:v>
      </x:c>
      <x:c r="G38" s="4">
        <x:f t="shared" si="0"/>
        <x:v>9000</x:v>
      </x:c>
      <x:c r="H38" s="3">
        <x:v>1791000</x:v>
      </x:c>
      <x:c r="I38" s="2" t="s">
        <x:v>71</x:v>
      </x:c>
    </x:row>
    <x:row r="39">
      <x:c r="A39" s="2" t="s">
        <x:v>60</x:v>
      </x:c>
      <x:c r="B39" s="13">
        <x:v>8592</x:v>
      </x:c>
      <x:c r="C39" s="2">
        <x:v>14387</x:v>
      </x:c>
      <x:c r="D39" s="2" t="s">
        <x:v>9</x:v>
      </x:c>
      <x:c r="E39" s="14">
        <x:v>43</x:v>
      </x:c>
      <x:c r="F39" s="2">
        <x:v>202</x:v>
      </x:c>
      <x:c r="G39" s="4">
        <x:f t="shared" si="0"/>
        <x:v>9000</x:v>
      </x:c>
      <x:c r="H39" s="3">
        <x:v>1818000</x:v>
      </x:c>
      <x:c r="I39" s="2" t="s">
        <x:v>71</x:v>
      </x:c>
    </x:row>
    <x:row r="40">
      <x:c r="A40" s="2" t="s">
        <x:v>60</x:v>
      </x:c>
      <x:c r="B40" s="13">
        <x:v>8594</x:v>
      </x:c>
      <x:c r="C40" s="2">
        <x:v>14388</x:v>
      </x:c>
      <x:c r="D40" s="2" t="s">
        <x:v>9</x:v>
      </x:c>
      <x:c r="E40" s="14">
        <x:v>43</x:v>
      </x:c>
      <x:c r="F40" s="2">
        <x:v>200</x:v>
      </x:c>
      <x:c r="G40" s="4">
        <x:f t="shared" si="0"/>
        <x:v>9000</x:v>
      </x:c>
      <x:c r="H40" s="3">
        <x:v>1800000</x:v>
      </x:c>
      <x:c r="I40" s="2" t="s">
        <x:v>71</x:v>
      </x:c>
    </x:row>
    <x:row r="41">
      <x:c r="A41" s="2" t="s">
        <x:v>60</x:v>
      </x:c>
      <x:c r="B41" s="13">
        <x:v>8596</x:v>
      </x:c>
      <x:c r="C41" s="2">
        <x:v>14389</x:v>
      </x:c>
      <x:c r="D41" s="2" t="s">
        <x:v>9</x:v>
      </x:c>
      <x:c r="E41" s="14">
        <x:v>42</x:v>
      </x:c>
      <x:c r="F41" s="2">
        <x:v>200</x:v>
      </x:c>
      <x:c r="G41" s="4">
        <x:f t="shared" si="0"/>
        <x:v>9000</x:v>
      </x:c>
      <x:c r="H41" s="3">
        <x:v>1800000</x:v>
      </x:c>
      <x:c r="I41" s="2" t="s">
        <x:v>71</x:v>
      </x:c>
    </x:row>
    <x:row r="42">
      <x:c r="A42" s="2" t="s">
        <x:v>60</x:v>
      </x:c>
      <x:c r="B42" s="13">
        <x:v>8598</x:v>
      </x:c>
      <x:c r="C42" s="2">
        <x:v>14390</x:v>
      </x:c>
      <x:c r="D42" s="2" t="s">
        <x:v>9</x:v>
      </x:c>
      <x:c r="E42" s="14">
        <x:v>43</x:v>
      </x:c>
      <x:c r="F42" s="2">
        <x:v>201</x:v>
      </x:c>
      <x:c r="G42" s="4">
        <x:f t="shared" si="0"/>
        <x:v>9000</x:v>
      </x:c>
      <x:c r="H42" s="3">
        <x:v>1809000</x:v>
      </x:c>
      <x:c r="I42" s="2" t="s">
        <x:v>71</x:v>
      </x:c>
    </x:row>
    <x:row r="43">
      <x:c r="A43" s="2" t="s">
        <x:v>60</x:v>
      </x:c>
      <x:c r="B43" s="13">
        <x:v>8599</x:v>
      </x:c>
      <x:c r="C43" s="2">
        <x:v>14391</x:v>
      </x:c>
      <x:c r="D43" s="2" t="s">
        <x:v>9</x:v>
      </x:c>
      <x:c r="E43" s="14">
        <x:v>52</x:v>
      </x:c>
      <x:c r="F43" s="2">
        <x:v>202</x:v>
      </x:c>
      <x:c r="G43" s="4">
        <x:f t="shared" si="0"/>
        <x:v>9000</x:v>
      </x:c>
      <x:c r="H43" s="3">
        <x:v>1818000</x:v>
      </x:c>
      <x:c r="I43" s="2" t="s">
        <x:v>71</x:v>
      </x:c>
    </x:row>
    <x:row r="44">
      <x:c r="A44" s="2" t="s">
        <x:v>60</x:v>
      </x:c>
      <x:c r="B44" s="13">
        <x:v>8605</x:v>
      </x:c>
      <x:c r="C44" s="2">
        <x:v>14392</x:v>
      </x:c>
      <x:c r="D44" s="2" t="s">
        <x:v>9</x:v>
      </x:c>
      <x:c r="E44" s="14">
        <x:v>52</x:v>
      </x:c>
      <x:c r="F44" s="2">
        <x:v>201</x:v>
      </x:c>
      <x:c r="G44" s="4">
        <x:f t="shared" si="0"/>
        <x:v>9000</x:v>
      </x:c>
      <x:c r="H44" s="3">
        <x:v>1809000</x:v>
      </x:c>
      <x:c r="I44" s="2" t="s">
        <x:v>71</x:v>
      </x:c>
    </x:row>
    <x:row r="45">
      <x:c r="A45" s="2" t="s">
        <x:v>60</x:v>
      </x:c>
      <x:c r="B45" s="13">
        <x:v>8608</x:v>
      </x:c>
      <x:c r="C45" s="2">
        <x:v>14393</x:v>
      </x:c>
      <x:c r="D45" s="2" t="s">
        <x:v>9</x:v>
      </x:c>
      <x:c r="E45" s="14">
        <x:v>45</x:v>
      </x:c>
      <x:c r="F45" s="2">
        <x:v>198</x:v>
      </x:c>
      <x:c r="G45" s="4">
        <x:f t="shared" si="0"/>
        <x:v>9000</x:v>
      </x:c>
      <x:c r="H45" s="3">
        <x:v>1782000</x:v>
      </x:c>
      <x:c r="I45" s="2" t="s">
        <x:v>71</x:v>
      </x:c>
    </x:row>
    <x:row r="46">
      <x:c r="A46" s="2" t="s">
        <x:v>60</x:v>
      </x:c>
      <x:c r="B46" s="13">
        <x:v>8612</x:v>
      </x:c>
      <x:c r="C46" s="2">
        <x:v>14394</x:v>
      </x:c>
      <x:c r="D46" s="2" t="s">
        <x:v>9</x:v>
      </x:c>
      <x:c r="E46" s="14">
        <x:v>42</x:v>
      </x:c>
      <x:c r="F46" s="2">
        <x:v>201</x:v>
      </x:c>
      <x:c r="G46" s="4">
        <x:f t="shared" si="0"/>
        <x:v>9000</x:v>
      </x:c>
      <x:c r="H46" s="3">
        <x:v>1809000</x:v>
      </x:c>
      <x:c r="I46" s="2" t="s">
        <x:v>71</x:v>
      </x:c>
    </x:row>
    <x:row r="47">
      <x:c r="A47" s="2" t="s">
        <x:v>60</x:v>
      </x:c>
      <x:c r="B47" s="13">
        <x:v>8621</x:v>
      </x:c>
      <x:c r="C47" s="2">
        <x:v>14395</x:v>
      </x:c>
      <x:c r="D47" s="2" t="s">
        <x:v>9</x:v>
      </x:c>
      <x:c r="E47" s="14">
        <x:v>34</x:v>
      </x:c>
      <x:c r="F47" s="2">
        <x:v>201</x:v>
      </x:c>
      <x:c r="G47" s="4">
        <x:f t="shared" si="0"/>
        <x:v>9000</x:v>
      </x:c>
      <x:c r="H47" s="3">
        <x:v>1809000</x:v>
      </x:c>
      <x:c r="I47" s="2" t="s">
        <x:v>71</x:v>
      </x:c>
    </x:row>
    <x:row r="48">
      <x:c r="A48" s="2" t="s">
        <x:v>60</x:v>
      </x:c>
      <x:c r="B48" s="13">
        <x:v>8626</x:v>
      </x:c>
      <x:c r="C48" s="2">
        <x:v>14396</x:v>
      </x:c>
      <x:c r="D48" s="2" t="s">
        <x:v>9</x:v>
      </x:c>
      <x:c r="E48" s="14">
        <x:v>43</x:v>
      </x:c>
      <x:c r="F48" s="2">
        <x:v>198</x:v>
      </x:c>
      <x:c r="G48" s="4">
        <x:f t="shared" si="0"/>
        <x:v>9000</x:v>
      </x:c>
      <x:c r="H48" s="3">
        <x:v>1782000</x:v>
      </x:c>
      <x:c r="I48" s="2" t="s">
        <x:v>71</x:v>
      </x:c>
    </x:row>
    <x:row r="49">
      <x:c r="A49" s="2" t="s">
        <x:v>60</x:v>
      </x:c>
      <x:c r="B49" s="13">
        <x:v>8631</x:v>
      </x:c>
      <x:c r="C49" s="2">
        <x:v>14397</x:v>
      </x:c>
      <x:c r="D49" s="2" t="s">
        <x:v>9</x:v>
      </x:c>
      <x:c r="E49" s="14">
        <x:v>32</x:v>
      </x:c>
      <x:c r="F49" s="2">
        <x:v>186</x:v>
      </x:c>
      <x:c r="G49" s="4">
        <x:f t="shared" si="0"/>
        <x:v>9000</x:v>
      </x:c>
      <x:c r="H49" s="3">
        <x:v>1674000</x:v>
      </x:c>
      <x:c r="I49" s="2" t="s">
        <x:v>71</x:v>
      </x:c>
    </x:row>
    <x:row r="50">
      <x:c r="A50" s="2" t="s">
        <x:v>60</x:v>
      </x:c>
      <x:c r="B50" s="13">
        <x:v>8632</x:v>
      </x:c>
      <x:c r="C50" s="2">
        <x:v>14398</x:v>
      </x:c>
      <x:c r="D50" s="2" t="s">
        <x:v>9</x:v>
      </x:c>
      <x:c r="E50" s="14">
        <x:v>47</x:v>
      </x:c>
      <x:c r="F50" s="2">
        <x:v>200</x:v>
      </x:c>
      <x:c r="G50" s="4">
        <x:f t="shared" si="0"/>
        <x:v>9000</x:v>
      </x:c>
      <x:c r="H50" s="3">
        <x:v>1800000</x:v>
      </x:c>
      <x:c r="I50" s="2" t="s">
        <x:v>71</x:v>
      </x:c>
    </x:row>
    <x:row r="51">
      <x:c r="A51" s="2" t="s">
        <x:v>60</x:v>
      </x:c>
      <x:c r="B51" s="13">
        <x:v>8634</x:v>
      </x:c>
      <x:c r="C51" s="2">
        <x:v>14399</x:v>
      </x:c>
      <x:c r="D51" s="2" t="s">
        <x:v>9</x:v>
      </x:c>
      <x:c r="E51" s="14">
        <x:v>42</x:v>
      </x:c>
      <x:c r="F51" s="2">
        <x:v>200</x:v>
      </x:c>
      <x:c r="G51" s="4">
        <x:f t="shared" si="0"/>
        <x:v>9000</x:v>
      </x:c>
      <x:c r="H51" s="3">
        <x:v>1800000</x:v>
      </x:c>
      <x:c r="I51" s="2" t="s">
        <x:v>71</x:v>
      </x:c>
    </x:row>
    <x:row r="52">
      <x:c r="A52" s="2" t="s">
        <x:v>60</x:v>
      </x:c>
      <x:c r="B52" s="13">
        <x:v>8637</x:v>
      </x:c>
      <x:c r="C52" s="2">
        <x:v>14400</x:v>
      </x:c>
      <x:c r="D52" s="2" t="s">
        <x:v>9</x:v>
      </x:c>
      <x:c r="E52" s="14">
        <x:v>41</x:v>
      </x:c>
      <x:c r="F52" s="2">
        <x:v>201</x:v>
      </x:c>
      <x:c r="G52" s="4">
        <x:f t="shared" si="0"/>
        <x:v>9000</x:v>
      </x:c>
      <x:c r="H52" s="3">
        <x:v>1809000</x:v>
      </x:c>
      <x:c r="I52" s="2" t="s">
        <x:v>71</x:v>
      </x:c>
    </x:row>
    <x:row r="53">
      <x:c r="A53" s="2" t="s">
        <x:v>60</x:v>
      </x:c>
      <x:c r="B53" s="13">
        <x:v>8638</x:v>
      </x:c>
      <x:c r="C53" s="2">
        <x:v>14401</x:v>
      </x:c>
      <x:c r="D53" s="2" t="s">
        <x:v>9</x:v>
      </x:c>
      <x:c r="E53" s="14">
        <x:v>26</x:v>
      </x:c>
      <x:c r="F53" s="2">
        <x:v>189</x:v>
      </x:c>
      <x:c r="G53" s="4">
        <x:f t="shared" si="0"/>
        <x:v>9000</x:v>
      </x:c>
      <x:c r="H53" s="3">
        <x:v>1701000</x:v>
      </x:c>
      <x:c r="I53" s="2" t="s">
        <x:v>71</x:v>
      </x:c>
    </x:row>
    <x:row r="54">
      <x:c r="A54" s="2" t="s">
        <x:v>60</x:v>
      </x:c>
      <x:c r="B54" s="13">
        <x:v>8639</x:v>
      </x:c>
      <x:c r="C54" s="2">
        <x:v>14402</x:v>
      </x:c>
      <x:c r="D54" s="2" t="s">
        <x:v>9</x:v>
      </x:c>
      <x:c r="E54" s="14">
        <x:v>56</x:v>
      </x:c>
      <x:c r="F54" s="2">
        <x:v>201</x:v>
      </x:c>
      <x:c r="G54" s="4">
        <x:f t="shared" si="0"/>
        <x:v>9000</x:v>
      </x:c>
      <x:c r="H54" s="3">
        <x:v>1809000</x:v>
      </x:c>
      <x:c r="I54" s="2" t="s">
        <x:v>71</x:v>
      </x:c>
    </x:row>
    <x:row r="55">
      <x:c r="A55" s="2" t="s">
        <x:v>60</x:v>
      </x:c>
      <x:c r="B55" s="13">
        <x:v>8640</x:v>
      </x:c>
      <x:c r="C55" s="2">
        <x:v>14403</x:v>
      </x:c>
      <x:c r="D55" s="2" t="s">
        <x:v>9</x:v>
      </x:c>
      <x:c r="E55" s="14">
        <x:v>39</x:v>
      </x:c>
      <x:c r="F55" s="2">
        <x:v>200</x:v>
      </x:c>
      <x:c r="G55" s="4">
        <x:f t="shared" si="0"/>
        <x:v>9000</x:v>
      </x:c>
      <x:c r="H55" s="3">
        <x:v>1800000</x:v>
      </x:c>
      <x:c r="I55" s="2" t="s">
        <x:v>71</x:v>
      </x:c>
    </x:row>
    <x:row r="56">
      <x:c r="A56" s="2" t="s">
        <x:v>60</x:v>
      </x:c>
      <x:c r="B56" s="13">
        <x:v>8644</x:v>
      </x:c>
      <x:c r="C56" s="2">
        <x:v>14404</x:v>
      </x:c>
      <x:c r="D56" s="2" t="s">
        <x:v>9</x:v>
      </x:c>
      <x:c r="E56" s="14">
        <x:v>50</x:v>
      </x:c>
      <x:c r="F56" s="2">
        <x:v>200</x:v>
      </x:c>
      <x:c r="G56" s="4">
        <x:f t="shared" si="0"/>
        <x:v>9000</x:v>
      </x:c>
      <x:c r="H56" s="3">
        <x:v>1800000</x:v>
      </x:c>
      <x:c r="I56" s="2" t="s">
        <x:v>71</x:v>
      </x:c>
    </x:row>
    <x:row r="57">
      <x:c r="A57" s="2" t="s">
        <x:v>60</x:v>
      </x:c>
      <x:c r="B57" s="13">
        <x:v>8664</x:v>
      </x:c>
      <x:c r="C57" s="2">
        <x:v>14405</x:v>
      </x:c>
      <x:c r="D57" s="2" t="s">
        <x:v>9</x:v>
      </x:c>
      <x:c r="E57" s="14">
        <x:v>36</x:v>
      </x:c>
      <x:c r="F57" s="2">
        <x:v>192</x:v>
      </x:c>
      <x:c r="G57" s="4">
        <x:f t="shared" si="0"/>
        <x:v>9000</x:v>
      </x:c>
      <x:c r="H57" s="3">
        <x:v>1728000</x:v>
      </x:c>
      <x:c r="I57" s="2" t="s">
        <x:v>71</x:v>
      </x:c>
    </x:row>
    <x:row r="58">
      <x:c r="A58" s="2" t="s">
        <x:v>60</x:v>
      </x:c>
      <x:c r="B58" s="13">
        <x:v>8687</x:v>
      </x:c>
      <x:c r="C58" s="2">
        <x:v>14406</x:v>
      </x:c>
      <x:c r="D58" s="2" t="s">
        <x:v>2</x:v>
      </x:c>
      <x:c r="E58" s="14">
        <x:v>41</x:v>
      </x:c>
      <x:c r="F58" s="2">
        <x:v>201</x:v>
      </x:c>
      <x:c r="G58" s="4">
        <x:f t="shared" si="0"/>
        <x:v>11500</x:v>
      </x:c>
      <x:c r="H58" s="3">
        <x:v>2311500</x:v>
      </x:c>
      <x:c r="I58" s="2" t="s">
        <x:v>71</x:v>
      </x:c>
    </x:row>
    <x:row r="59">
      <x:c r="A59" s="2" t="s">
        <x:v>60</x:v>
      </x:c>
      <x:c r="B59" s="13">
        <x:v>8690</x:v>
      </x:c>
      <x:c r="C59" s="2">
        <x:v>14407</x:v>
      </x:c>
      <x:c r="D59" s="2" t="s">
        <x:v>2</x:v>
      </x:c>
      <x:c r="E59" s="14">
        <x:v>46</x:v>
      </x:c>
      <x:c r="F59" s="2">
        <x:v>200</x:v>
      </x:c>
      <x:c r="G59" s="4">
        <x:f t="shared" si="0"/>
        <x:v>11500</x:v>
      </x:c>
      <x:c r="H59" s="3">
        <x:v>2300000</x:v>
      </x:c>
      <x:c r="I59" s="2" t="s">
        <x:v>71</x:v>
      </x:c>
    </x:row>
    <x:row r="60">
      <x:c r="A60" s="2" t="s">
        <x:v>60</x:v>
      </x:c>
      <x:c r="B60" s="13">
        <x:v>8694</x:v>
      </x:c>
      <x:c r="C60" s="2">
        <x:v>14408</x:v>
      </x:c>
      <x:c r="D60" s="2" t="s">
        <x:v>2</x:v>
      </x:c>
      <x:c r="E60" s="14">
        <x:v>41</x:v>
      </x:c>
      <x:c r="F60" s="2">
        <x:v>201</x:v>
      </x:c>
      <x:c r="G60" s="4">
        <x:f t="shared" si="0"/>
        <x:v>11500</x:v>
      </x:c>
      <x:c r="H60" s="3">
        <x:v>2311500</x:v>
      </x:c>
      <x:c r="I60" s="2" t="s">
        <x:v>71</x:v>
      </x:c>
    </x:row>
    <x:row r="61">
      <x:c r="A61" s="2" t="s">
        <x:v>60</x:v>
      </x:c>
      <x:c r="B61" s="13">
        <x:v>8700</x:v>
      </x:c>
      <x:c r="C61" s="2">
        <x:v>14409</x:v>
      </x:c>
      <x:c r="D61" s="2" t="s">
        <x:v>2</x:v>
      </x:c>
      <x:c r="E61" s="14">
        <x:v>39</x:v>
      </x:c>
      <x:c r="F61" s="2">
        <x:v>202</x:v>
      </x:c>
      <x:c r="G61" s="4">
        <x:f t="shared" si="0"/>
        <x:v>11500</x:v>
      </x:c>
      <x:c r="H61" s="3">
        <x:v>2323000</x:v>
      </x:c>
      <x:c r="I61" s="2" t="s">
        <x:v>71</x:v>
      </x:c>
    </x:row>
    <x:row r="62">
      <x:c r="A62" s="2" t="s">
        <x:v>60</x:v>
      </x:c>
      <x:c r="B62" s="13">
        <x:v>8714</x:v>
      </x:c>
      <x:c r="C62" s="2">
        <x:v>14410</x:v>
      </x:c>
      <x:c r="D62" s="2" t="s">
        <x:v>2</x:v>
      </x:c>
      <x:c r="E62" s="14">
        <x:v>39</x:v>
      </x:c>
      <x:c r="F62" s="2">
        <x:v>197</x:v>
      </x:c>
      <x:c r="G62" s="4">
        <x:f t="shared" si="0"/>
        <x:v>11500</x:v>
      </x:c>
      <x:c r="H62" s="3">
        <x:v>2265500</x:v>
      </x:c>
      <x:c r="I62" s="2" t="s">
        <x:v>71</x:v>
      </x:c>
    </x:row>
    <x:row r="63">
      <x:c r="A63" s="2" t="s">
        <x:v>60</x:v>
      </x:c>
      <x:c r="B63" s="13">
        <x:v>8720</x:v>
      </x:c>
      <x:c r="C63" s="2">
        <x:v>14411</x:v>
      </x:c>
      <x:c r="D63" s="2" t="s">
        <x:v>2</x:v>
      </x:c>
      <x:c r="E63" s="14">
        <x:v>50</x:v>
      </x:c>
      <x:c r="F63" s="2">
        <x:v>249</x:v>
      </x:c>
      <x:c r="G63" s="4">
        <x:f t="shared" si="0"/>
        <x:v>11500</x:v>
      </x:c>
      <x:c r="H63" s="3">
        <x:v>2863500</x:v>
      </x:c>
      <x:c r="I63" s="2" t="s">
        <x:v>71</x:v>
      </x:c>
    </x:row>
    <x:row r="64">
      <x:c r="A64" s="2" t="s">
        <x:v>60</x:v>
      </x:c>
      <x:c r="B64" s="13">
        <x:v>8741</x:v>
      </x:c>
      <x:c r="C64" s="2">
        <x:v>14412</x:v>
      </x:c>
      <x:c r="D64" s="2" t="s">
        <x:v>9</x:v>
      </x:c>
      <x:c r="E64" s="14">
        <x:v>42</x:v>
      </x:c>
      <x:c r="F64" s="2">
        <x:v>200</x:v>
      </x:c>
      <x:c r="G64" s="4">
        <x:f t="shared" si="0"/>
        <x:v>9000</x:v>
      </x:c>
      <x:c r="H64" s="3">
        <x:v>1800000</x:v>
      </x:c>
      <x:c r="I64" s="2" t="s">
        <x:v>71</x:v>
      </x:c>
    </x:row>
    <x:row r="65">
      <x:c r="A65" s="2" t="s">
        <x:v>60</x:v>
      </x:c>
      <x:c r="B65" s="13">
        <x:v>8742</x:v>
      </x:c>
      <x:c r="C65" s="2">
        <x:v>14413</x:v>
      </x:c>
      <x:c r="D65" s="2" t="s">
        <x:v>9</x:v>
      </x:c>
      <x:c r="E65" s="14">
        <x:v>51</x:v>
      </x:c>
      <x:c r="F65" s="2">
        <x:v>204</x:v>
      </x:c>
      <x:c r="G65" s="4">
        <x:f t="shared" si="0"/>
        <x:v>9000</x:v>
      </x:c>
      <x:c r="H65" s="3">
        <x:v>1836000</x:v>
      </x:c>
      <x:c r="I65" s="2" t="s">
        <x:v>71</x:v>
      </x:c>
    </x:row>
    <x:row r="66">
      <x:c r="A66" s="2" t="s">
        <x:v>60</x:v>
      </x:c>
      <x:c r="B66" s="13">
        <x:v>8743</x:v>
      </x:c>
      <x:c r="C66" s="2">
        <x:v>14414</x:v>
      </x:c>
      <x:c r="D66" s="2" t="s">
        <x:v>9</x:v>
      </x:c>
      <x:c r="E66" s="14">
        <x:v>42</x:v>
      </x:c>
      <x:c r="F66" s="2">
        <x:v>192</x:v>
      </x:c>
      <x:c r="G66" s="4">
        <x:f t="shared" si="0"/>
        <x:v>9000</x:v>
      </x:c>
      <x:c r="H66" s="3">
        <x:v>1728000</x:v>
      </x:c>
      <x:c r="I66" s="2" t="s">
        <x:v>71</x:v>
      </x:c>
    </x:row>
    <x:row r="67">
      <x:c r="A67" s="2" t="s">
        <x:v>60</x:v>
      </x:c>
      <x:c r="B67" s="13">
        <x:v>8749</x:v>
      </x:c>
      <x:c r="C67" s="2">
        <x:v>14415</x:v>
      </x:c>
      <x:c r="D67" s="2" t="s">
        <x:v>9</x:v>
      </x:c>
      <x:c r="E67" s="14">
        <x:v>47</x:v>
      </x:c>
      <x:c r="F67" s="2">
        <x:v>201</x:v>
      </x:c>
      <x:c r="G67" s="4" t="n">
        <x:f t="shared" ref="G67:G130" si="1">H67/F67</x:f>
        <x:v>9000</x:v>
      </x:c>
      <x:c r="H67" s="3">
        <x:v>1809000</x:v>
      </x:c>
      <x:c r="I67" s="2" t="s">
        <x:v>71</x:v>
      </x:c>
    </x:row>
    <x:row r="68">
      <x:c r="A68" s="2" t="s">
        <x:v>60</x:v>
      </x:c>
      <x:c r="B68" s="13">
        <x:v>8753</x:v>
      </x:c>
      <x:c r="C68" s="2">
        <x:v>14416</x:v>
      </x:c>
      <x:c r="D68" s="2" t="s">
        <x:v>9</x:v>
      </x:c>
      <x:c r="E68" s="14">
        <x:v>29</x:v>
      </x:c>
      <x:c r="F68" s="2">
        <x:v>194</x:v>
      </x:c>
      <x:c r="G68" s="4">
        <x:f t="shared" si="1"/>
        <x:v>9000</x:v>
      </x:c>
      <x:c r="H68" s="3">
        <x:v>1746000</x:v>
      </x:c>
      <x:c r="I68" s="2" t="s">
        <x:v>71</x:v>
      </x:c>
    </x:row>
    <x:row r="69">
      <x:c r="A69" s="2" t="s">
        <x:v>60</x:v>
      </x:c>
      <x:c r="B69" s="13">
        <x:v>8768</x:v>
      </x:c>
      <x:c r="C69" s="2">
        <x:v>14417</x:v>
      </x:c>
      <x:c r="D69" s="2" t="s">
        <x:v>1</x:v>
      </x:c>
      <x:c r="E69" s="14">
        <x:v>46</x:v>
      </x:c>
      <x:c r="F69" s="2">
        <x:v>206</x:v>
      </x:c>
      <x:c r="G69" s="4">
        <x:f t="shared" si="1"/>
        <x:v>10000</x:v>
      </x:c>
      <x:c r="H69" s="3">
        <x:v>2060000</x:v>
      </x:c>
      <x:c r="I69" s="2" t="s">
        <x:v>71</x:v>
      </x:c>
    </x:row>
    <x:row r="70">
      <x:c r="A70" s="2" t="s">
        <x:v>60</x:v>
      </x:c>
      <x:c r="B70" s="13">
        <x:v>8769</x:v>
      </x:c>
      <x:c r="C70" s="2">
        <x:v>14418</x:v>
      </x:c>
      <x:c r="D70" s="2" t="s">
        <x:v>2</x:v>
      </x:c>
      <x:c r="E70" s="14">
        <x:v>34</x:v>
      </x:c>
      <x:c r="F70" s="2">
        <x:v>164</x:v>
      </x:c>
      <x:c r="G70" s="4">
        <x:f t="shared" si="1"/>
        <x:v>11500</x:v>
      </x:c>
      <x:c r="H70" s="3">
        <x:v>1886000</x:v>
      </x:c>
      <x:c r="I70" s="2" t="s">
        <x:v>71</x:v>
      </x:c>
    </x:row>
    <x:row r="71">
      <x:c r="A71" s="2" t="s">
        <x:v>60</x:v>
      </x:c>
      <x:c r="B71" s="13">
        <x:v>8770</x:v>
      </x:c>
      <x:c r="C71" s="2">
        <x:v>14419</x:v>
      </x:c>
      <x:c r="D71" s="2" t="s">
        <x:v>9</x:v>
      </x:c>
      <x:c r="E71" s="14">
        <x:v>64</x:v>
      </x:c>
      <x:c r="F71" s="2">
        <x:v>204</x:v>
      </x:c>
      <x:c r="G71" s="4">
        <x:f t="shared" si="1"/>
        <x:v>9000</x:v>
      </x:c>
      <x:c r="H71" s="3">
        <x:v>1836000</x:v>
      </x:c>
      <x:c r="I71" s="2" t="s">
        <x:v>71</x:v>
      </x:c>
    </x:row>
    <x:row r="72">
      <x:c r="A72" s="2" t="s">
        <x:v>60</x:v>
      </x:c>
      <x:c r="B72" s="13">
        <x:v>8774</x:v>
      </x:c>
      <x:c r="C72" s="2">
        <x:v>14420</x:v>
      </x:c>
      <x:c r="D72" s="2" t="s">
        <x:v>2</x:v>
      </x:c>
      <x:c r="E72" s="14">
        <x:v>34</x:v>
      </x:c>
      <x:c r="F72" s="2">
        <x:v>177</x:v>
      </x:c>
      <x:c r="G72" s="4">
        <x:f t="shared" si="1"/>
        <x:v>11500</x:v>
      </x:c>
      <x:c r="H72" s="3">
        <x:v>2035500</x:v>
      </x:c>
      <x:c r="I72" s="2" t="s">
        <x:v>71</x:v>
      </x:c>
    </x:row>
    <x:row r="73">
      <x:c r="A73" s="2" t="s">
        <x:v>60</x:v>
      </x:c>
      <x:c r="B73" s="13">
        <x:v>8778</x:v>
      </x:c>
      <x:c r="C73" s="2">
        <x:v>14421</x:v>
      </x:c>
      <x:c r="D73" s="2" t="s">
        <x:v>9</x:v>
      </x:c>
      <x:c r="E73" s="14">
        <x:v>42</x:v>
      </x:c>
      <x:c r="F73" s="2">
        <x:v>211</x:v>
      </x:c>
      <x:c r="G73" s="4">
        <x:f t="shared" si="1"/>
        <x:v>9000</x:v>
      </x:c>
      <x:c r="H73" s="3">
        <x:v>1899000</x:v>
      </x:c>
      <x:c r="I73" s="2" t="s">
        <x:v>71</x:v>
      </x:c>
    </x:row>
    <x:row r="74">
      <x:c r="A74" s="2" t="s">
        <x:v>60</x:v>
      </x:c>
      <x:c r="B74" s="13">
        <x:v>8781</x:v>
      </x:c>
      <x:c r="C74" s="2">
        <x:v>14422</x:v>
      </x:c>
      <x:c r="D74" s="2" t="s">
        <x:v>9</x:v>
      </x:c>
      <x:c r="E74" s="14">
        <x:v>43</x:v>
      </x:c>
      <x:c r="F74" s="2">
        <x:v>201</x:v>
      </x:c>
      <x:c r="G74" s="4">
        <x:f t="shared" si="1"/>
        <x:v>9000</x:v>
      </x:c>
      <x:c r="H74" s="3">
        <x:v>1809000</x:v>
      </x:c>
      <x:c r="I74" s="2" t="s">
        <x:v>71</x:v>
      </x:c>
    </x:row>
    <x:row r="75">
      <x:c r="A75" s="2" t="s">
        <x:v>60</x:v>
      </x:c>
      <x:c r="B75" s="13">
        <x:v>8787</x:v>
      </x:c>
      <x:c r="C75" s="2">
        <x:v>14423</x:v>
      </x:c>
      <x:c r="D75" s="2" t="s">
        <x:v>9</x:v>
      </x:c>
      <x:c r="E75" s="14">
        <x:v>48</x:v>
      </x:c>
      <x:c r="F75" s="2">
        <x:v>197</x:v>
      </x:c>
      <x:c r="G75" s="4">
        <x:f t="shared" si="1"/>
        <x:v>9000</x:v>
      </x:c>
      <x:c r="H75" s="3">
        <x:v>1773000</x:v>
      </x:c>
      <x:c r="I75" s="2" t="s">
        <x:v>71</x:v>
      </x:c>
    </x:row>
    <x:row r="76">
      <x:c r="A76" s="2" t="s">
        <x:v>60</x:v>
      </x:c>
      <x:c r="B76" s="13">
        <x:v>8792</x:v>
      </x:c>
      <x:c r="C76" s="2">
        <x:v>14424</x:v>
      </x:c>
      <x:c r="D76" s="2" t="s">
        <x:v>9</x:v>
      </x:c>
      <x:c r="E76" s="14">
        <x:v>33</x:v>
      </x:c>
      <x:c r="F76" s="2">
        <x:v>204</x:v>
      </x:c>
      <x:c r="G76" s="4">
        <x:f t="shared" si="1"/>
        <x:v>9000</x:v>
      </x:c>
      <x:c r="H76" s="3">
        <x:v>1836000</x:v>
      </x:c>
      <x:c r="I76" s="2" t="s">
        <x:v>71</x:v>
      </x:c>
    </x:row>
    <x:row r="77">
      <x:c r="A77" s="2" t="s">
        <x:v>60</x:v>
      </x:c>
      <x:c r="B77" s="13">
        <x:v>8821</x:v>
      </x:c>
      <x:c r="C77" s="2">
        <x:v>14425</x:v>
      </x:c>
      <x:c r="D77" s="2" t="s">
        <x:v>2</x:v>
      </x:c>
      <x:c r="E77" s="14">
        <x:v>38</x:v>
      </x:c>
      <x:c r="F77" s="2">
        <x:v>181</x:v>
      </x:c>
      <x:c r="G77" s="4">
        <x:f t="shared" si="1"/>
        <x:v>11500</x:v>
      </x:c>
      <x:c r="H77" s="3">
        <x:v>2081500</x:v>
      </x:c>
      <x:c r="I77" s="2" t="s">
        <x:v>71</x:v>
      </x:c>
    </x:row>
    <x:row r="78">
      <x:c r="A78" s="2" t="s">
        <x:v>60</x:v>
      </x:c>
      <x:c r="B78" s="13">
        <x:v>8824</x:v>
      </x:c>
      <x:c r="C78" s="2">
        <x:v>14426</x:v>
      </x:c>
      <x:c r="D78" s="2" t="s">
        <x:v>9</x:v>
      </x:c>
      <x:c r="E78" s="14">
        <x:v>40</x:v>
      </x:c>
      <x:c r="F78" s="2">
        <x:v>176</x:v>
      </x:c>
      <x:c r="G78" s="4">
        <x:f t="shared" si="1"/>
        <x:v>9000</x:v>
      </x:c>
      <x:c r="H78" s="3">
        <x:v>1584000</x:v>
      </x:c>
      <x:c r="I78" s="2" t="s">
        <x:v>71</x:v>
      </x:c>
    </x:row>
    <x:row r="79">
      <x:c r="A79" s="2" t="s">
        <x:v>60</x:v>
      </x:c>
      <x:c r="B79" s="13">
        <x:v>8835</x:v>
      </x:c>
      <x:c r="C79" s="2">
        <x:v>14427</x:v>
      </x:c>
      <x:c r="D79" s="2" t="s">
        <x:v>9</x:v>
      </x:c>
      <x:c r="E79" s="14">
        <x:v>42</x:v>
      </x:c>
      <x:c r="F79" s="2">
        <x:v>198</x:v>
      </x:c>
      <x:c r="G79" s="4">
        <x:f t="shared" si="1"/>
        <x:v>9000</x:v>
      </x:c>
      <x:c r="H79" s="3">
        <x:v>1782000</x:v>
      </x:c>
      <x:c r="I79" s="2" t="s">
        <x:v>71</x:v>
      </x:c>
    </x:row>
    <x:row r="80">
      <x:c r="A80" s="2" t="s">
        <x:v>60</x:v>
      </x:c>
      <x:c r="B80" s="13">
        <x:v>8844</x:v>
      </x:c>
      <x:c r="C80" s="2">
        <x:v>14428</x:v>
      </x:c>
      <x:c r="D80" s="2" t="s">
        <x:v>0</x:v>
      </x:c>
      <x:c r="E80" s="14">
        <x:v>85</x:v>
      </x:c>
      <x:c r="F80" s="2">
        <x:v>386</x:v>
      </x:c>
      <x:c r="G80" s="4">
        <x:f t="shared" si="1"/>
        <x:v>13000</x:v>
      </x:c>
      <x:c r="H80" s="3">
        <x:v>5018000</x:v>
      </x:c>
      <x:c r="I80" s="2" t="s">
        <x:v>71</x:v>
      </x:c>
    </x:row>
    <x:row r="81">
      <x:c r="A81" s="2" t="s">
        <x:v>60</x:v>
      </x:c>
      <x:c r="B81" s="13">
        <x:v>8861</x:v>
      </x:c>
      <x:c r="C81" s="2">
        <x:v>14429</x:v>
      </x:c>
      <x:c r="D81" s="2" t="s">
        <x:v>2</x:v>
      </x:c>
      <x:c r="E81" s="14">
        <x:v>30</x:v>
      </x:c>
      <x:c r="F81" s="2">
        <x:v>198</x:v>
      </x:c>
      <x:c r="G81" s="4">
        <x:f t="shared" si="1"/>
        <x:v>11500</x:v>
      </x:c>
      <x:c r="H81" s="3">
        <x:v>2277000</x:v>
      </x:c>
      <x:c r="I81" s="2" t="s">
        <x:v>71</x:v>
      </x:c>
    </x:row>
    <x:row r="82">
      <x:c r="A82" s="2" t="s">
        <x:v>60</x:v>
      </x:c>
      <x:c r="B82" s="13">
        <x:v>8871</x:v>
      </x:c>
      <x:c r="C82" s="2">
        <x:v>14430</x:v>
      </x:c>
      <x:c r="D82" s="2" t="s">
        <x:v>9</x:v>
      </x:c>
      <x:c r="E82" s="14">
        <x:v>46</x:v>
      </x:c>
      <x:c r="F82" s="2">
        <x:v>200</x:v>
      </x:c>
      <x:c r="G82" s="4">
        <x:f t="shared" si="1"/>
        <x:v>9000</x:v>
      </x:c>
      <x:c r="H82" s="3">
        <x:v>1800000</x:v>
      </x:c>
      <x:c r="I82" s="2" t="s">
        <x:v>71</x:v>
      </x:c>
    </x:row>
    <x:row r="83">
      <x:c r="A83" s="2" t="s">
        <x:v>60</x:v>
      </x:c>
      <x:c r="B83" s="13">
        <x:v>8873</x:v>
      </x:c>
      <x:c r="C83" s="2">
        <x:v>14431</x:v>
      </x:c>
      <x:c r="D83" s="2" t="s">
        <x:v>9</x:v>
      </x:c>
      <x:c r="E83" s="14">
        <x:v>52</x:v>
      </x:c>
      <x:c r="F83" s="2">
        <x:v>199</x:v>
      </x:c>
      <x:c r="G83" s="4">
        <x:f t="shared" si="1"/>
        <x:v>9000</x:v>
      </x:c>
      <x:c r="H83" s="3">
        <x:v>1791000</x:v>
      </x:c>
      <x:c r="I83" s="2" t="s">
        <x:v>71</x:v>
      </x:c>
    </x:row>
    <x:row r="84">
      <x:c r="A84" s="2" t="s">
        <x:v>60</x:v>
      </x:c>
      <x:c r="B84" s="13">
        <x:v>8874</x:v>
      </x:c>
      <x:c r="C84" s="2">
        <x:v>14432</x:v>
      </x:c>
      <x:c r="D84" s="2" t="s">
        <x:v>9</x:v>
      </x:c>
      <x:c r="E84" s="14">
        <x:v>56</x:v>
      </x:c>
      <x:c r="F84" s="2">
        <x:v>200</x:v>
      </x:c>
      <x:c r="G84" s="4">
        <x:f t="shared" si="1"/>
        <x:v>9000</x:v>
      </x:c>
      <x:c r="H84" s="3">
        <x:v>1800000</x:v>
      </x:c>
      <x:c r="I84" s="2" t="s">
        <x:v>71</x:v>
      </x:c>
    </x:row>
    <x:row r="85">
      <x:c r="A85" s="2" t="s">
        <x:v>60</x:v>
      </x:c>
      <x:c r="B85" s="13">
        <x:v>8888</x:v>
      </x:c>
      <x:c r="C85" s="2">
        <x:v>14433</x:v>
      </x:c>
      <x:c r="D85" s="2" t="s">
        <x:v>9</x:v>
      </x:c>
      <x:c r="E85" s="14">
        <x:v>50</x:v>
      </x:c>
      <x:c r="F85" s="2">
        <x:v>203</x:v>
      </x:c>
      <x:c r="G85" s="4">
        <x:f t="shared" si="1"/>
        <x:v>9000</x:v>
      </x:c>
      <x:c r="H85" s="3">
        <x:v>1827000</x:v>
      </x:c>
      <x:c r="I85" s="2" t="s">
        <x:v>71</x:v>
      </x:c>
    </x:row>
    <x:row r="86">
      <x:c r="A86" s="2" t="s">
        <x:v>60</x:v>
      </x:c>
      <x:c r="B86" s="13">
        <x:v>8889</x:v>
      </x:c>
      <x:c r="C86" s="2">
        <x:v>14434</x:v>
      </x:c>
      <x:c r="D86" s="2" t="s">
        <x:v>9</x:v>
      </x:c>
      <x:c r="E86" s="14">
        <x:v>48</x:v>
      </x:c>
      <x:c r="F86" s="2">
        <x:v>199</x:v>
      </x:c>
      <x:c r="G86" s="4">
        <x:f t="shared" si="1"/>
        <x:v>9000</x:v>
      </x:c>
      <x:c r="H86" s="3">
        <x:v>1791000</x:v>
      </x:c>
      <x:c r="I86" s="2" t="s">
        <x:v>71</x:v>
      </x:c>
    </x:row>
    <x:row r="87">
      <x:c r="A87" s="2" t="s">
        <x:v>60</x:v>
      </x:c>
      <x:c r="B87" s="13">
        <x:v>8892</x:v>
      </x:c>
      <x:c r="C87" s="2">
        <x:v>14435</x:v>
      </x:c>
      <x:c r="D87" s="2" t="s">
        <x:v>9</x:v>
      </x:c>
      <x:c r="E87" s="14">
        <x:v>60</x:v>
      </x:c>
      <x:c r="F87" s="2">
        <x:v>202</x:v>
      </x:c>
      <x:c r="G87" s="4">
        <x:f t="shared" si="1"/>
        <x:v>9000</x:v>
      </x:c>
      <x:c r="H87" s="3">
        <x:v>1818000</x:v>
      </x:c>
      <x:c r="I87" s="2" t="s">
        <x:v>71</x:v>
      </x:c>
    </x:row>
    <x:row r="88">
      <x:c r="A88" s="2" t="s">
        <x:v>60</x:v>
      </x:c>
      <x:c r="B88" s="13">
        <x:v>8895</x:v>
      </x:c>
      <x:c r="C88" s="2">
        <x:v>14436</x:v>
      </x:c>
      <x:c r="D88" s="2" t="s">
        <x:v>9</x:v>
      </x:c>
      <x:c r="E88" s="14">
        <x:v>44</x:v>
      </x:c>
      <x:c r="F88" s="2">
        <x:v>207</x:v>
      </x:c>
      <x:c r="G88" s="4">
        <x:f t="shared" si="1"/>
        <x:v>9000</x:v>
      </x:c>
      <x:c r="H88" s="3">
        <x:v>1863000</x:v>
      </x:c>
      <x:c r="I88" s="2" t="s">
        <x:v>71</x:v>
      </x:c>
    </x:row>
    <x:row r="89">
      <x:c r="A89" s="2" t="s">
        <x:v>60</x:v>
      </x:c>
      <x:c r="B89" s="13">
        <x:v>8910</x:v>
      </x:c>
      <x:c r="C89" s="2">
        <x:v>14437</x:v>
      </x:c>
      <x:c r="D89" s="2" t="s">
        <x:v>0</x:v>
      </x:c>
      <x:c r="E89" s="14">
        <x:v>44</x:v>
      </x:c>
      <x:c r="F89" s="2">
        <x:v>318</x:v>
      </x:c>
      <x:c r="G89" s="4">
        <x:f t="shared" si="1"/>
        <x:v>13000</x:v>
      </x:c>
      <x:c r="H89" s="3">
        <x:v>4134000</x:v>
      </x:c>
      <x:c r="I89" s="2" t="s">
        <x:v>71</x:v>
      </x:c>
    </x:row>
    <x:row r="90">
      <x:c r="A90" s="2" t="s">
        <x:v>60</x:v>
      </x:c>
      <x:c r="B90" s="13">
        <x:v>8912</x:v>
      </x:c>
      <x:c r="C90" s="2">
        <x:v>14438</x:v>
      </x:c>
      <x:c r="D90" s="2" t="s">
        <x:v>2</x:v>
      </x:c>
      <x:c r="E90" s="14">
        <x:v>29</x:v>
      </x:c>
      <x:c r="F90" s="2">
        <x:v>167</x:v>
      </x:c>
      <x:c r="G90" s="4">
        <x:f t="shared" si="1"/>
        <x:v>11500</x:v>
      </x:c>
      <x:c r="H90" s="3">
        <x:v>1920500</x:v>
      </x:c>
      <x:c r="I90" s="2" t="s">
        <x:v>71</x:v>
      </x:c>
    </x:row>
    <x:row r="91">
      <x:c r="A91" s="2" t="s">
        <x:v>60</x:v>
      </x:c>
      <x:c r="B91" s="13">
        <x:v>8927</x:v>
      </x:c>
      <x:c r="C91" s="2">
        <x:v>14439</x:v>
      </x:c>
      <x:c r="D91" s="2" t="s">
        <x:v>0</x:v>
      </x:c>
      <x:c r="E91" s="14">
        <x:v>75</x:v>
      </x:c>
      <x:c r="F91" s="2">
        <x:v>391</x:v>
      </x:c>
      <x:c r="G91" s="4">
        <x:f t="shared" si="1"/>
        <x:v>13000</x:v>
      </x:c>
      <x:c r="H91" s="3">
        <x:v>5083000</x:v>
      </x:c>
      <x:c r="I91" s="2" t="s">
        <x:v>71</x:v>
      </x:c>
    </x:row>
    <x:row r="92">
      <x:c r="A92" s="2" t="s">
        <x:v>60</x:v>
      </x:c>
      <x:c r="B92" s="13">
        <x:v>8930</x:v>
      </x:c>
      <x:c r="C92" s="2">
        <x:v>14440</x:v>
      </x:c>
      <x:c r="D92" s="2" t="s">
        <x:v>0</x:v>
      </x:c>
      <x:c r="E92" s="14">
        <x:v>73</x:v>
      </x:c>
      <x:c r="F92" s="2">
        <x:v>375</x:v>
      </x:c>
      <x:c r="G92" s="4">
        <x:f t="shared" si="1"/>
        <x:v>13000</x:v>
      </x:c>
      <x:c r="H92" s="3">
        <x:v>4875000</x:v>
      </x:c>
      <x:c r="I92" s="2" t="s">
        <x:v>71</x:v>
      </x:c>
    </x:row>
    <x:row r="93">
      <x:c r="A93" s="2" t="s">
        <x:v>60</x:v>
      </x:c>
      <x:c r="B93" s="13">
        <x:v>8935</x:v>
      </x:c>
      <x:c r="C93" s="2">
        <x:v>14441</x:v>
      </x:c>
      <x:c r="D93" s="2" t="s">
        <x:v>9</x:v>
      </x:c>
      <x:c r="E93" s="14">
        <x:v>60</x:v>
      </x:c>
      <x:c r="F93" s="2">
        <x:v>369</x:v>
      </x:c>
      <x:c r="G93" s="4">
        <x:f t="shared" si="1"/>
        <x:v>9000</x:v>
      </x:c>
      <x:c r="H93" s="3">
        <x:v>3321000</x:v>
      </x:c>
      <x:c r="I93" s="2" t="s">
        <x:v>71</x:v>
      </x:c>
    </x:row>
    <x:row r="94">
      <x:c r="A94" s="2" t="s">
        <x:v>60</x:v>
      </x:c>
      <x:c r="B94" s="13">
        <x:v>8942</x:v>
      </x:c>
      <x:c r="C94" s="2">
        <x:v>14442</x:v>
      </x:c>
      <x:c r="D94" s="2" t="s">
        <x:v>9</x:v>
      </x:c>
      <x:c r="E94" s="14">
        <x:v>37</x:v>
      </x:c>
      <x:c r="F94" s="2">
        <x:v>166</x:v>
      </x:c>
      <x:c r="G94" s="4">
        <x:f t="shared" si="1"/>
        <x:v>9000</x:v>
      </x:c>
      <x:c r="H94" s="3">
        <x:v>1494000</x:v>
      </x:c>
      <x:c r="I94" s="2" t="s">
        <x:v>71</x:v>
      </x:c>
    </x:row>
    <x:row r="95">
      <x:c r="A95" s="2" t="s">
        <x:v>60</x:v>
      </x:c>
      <x:c r="B95" s="13">
        <x:v>8948</x:v>
      </x:c>
      <x:c r="C95" s="2">
        <x:v>14443</x:v>
      </x:c>
      <x:c r="D95" s="2" t="s">
        <x:v>9</x:v>
      </x:c>
      <x:c r="E95" s="14">
        <x:v>34</x:v>
      </x:c>
      <x:c r="F95" s="2">
        <x:v>206</x:v>
      </x:c>
      <x:c r="G95" s="4">
        <x:f t="shared" si="1"/>
        <x:v>9000</x:v>
      </x:c>
      <x:c r="H95" s="3">
        <x:v>1854000</x:v>
      </x:c>
      <x:c r="I95" s="2" t="s">
        <x:v>71</x:v>
      </x:c>
    </x:row>
    <x:row r="96">
      <x:c r="A96" s="2" t="s">
        <x:v>60</x:v>
      </x:c>
      <x:c r="B96" s="13">
        <x:v>8954</x:v>
      </x:c>
      <x:c r="C96" s="2">
        <x:v>14444</x:v>
      </x:c>
      <x:c r="D96" s="2" t="s">
        <x:v>9</x:v>
      </x:c>
      <x:c r="E96" s="14">
        <x:v>62</x:v>
      </x:c>
      <x:c r="F96" s="2">
        <x:v>352</x:v>
      </x:c>
      <x:c r="G96" s="4">
        <x:f t="shared" si="1"/>
        <x:v>9000</x:v>
      </x:c>
      <x:c r="H96" s="3">
        <x:v>3168000</x:v>
      </x:c>
      <x:c r="I96" s="2" t="s">
        <x:v>71</x:v>
      </x:c>
    </x:row>
    <x:row r="97">
      <x:c r="A97" s="2" t="s">
        <x:v>60</x:v>
      </x:c>
      <x:c r="B97" s="13">
        <x:v>8958</x:v>
      </x:c>
      <x:c r="C97" s="2">
        <x:v>14445</x:v>
      </x:c>
      <x:c r="D97" s="2" t="s">
        <x:v>2</x:v>
      </x:c>
      <x:c r="E97" s="14">
        <x:v>39</x:v>
      </x:c>
      <x:c r="F97" s="2">
        <x:v>209</x:v>
      </x:c>
      <x:c r="G97" s="4">
        <x:f t="shared" si="1"/>
        <x:v>11500</x:v>
      </x:c>
      <x:c r="H97" s="3">
        <x:v>2403500</x:v>
      </x:c>
      <x:c r="I97" s="2" t="s">
        <x:v>71</x:v>
      </x:c>
    </x:row>
    <x:row r="98">
      <x:c r="A98" s="2" t="s">
        <x:v>60</x:v>
      </x:c>
      <x:c r="B98" s="13">
        <x:v>8960</x:v>
      </x:c>
      <x:c r="C98" s="2">
        <x:v>14446</x:v>
      </x:c>
      <x:c r="D98" s="2" t="s">
        <x:v>9</x:v>
      </x:c>
      <x:c r="E98" s="14">
        <x:v>62</x:v>
      </x:c>
      <x:c r="F98" s="2">
        <x:v>268</x:v>
      </x:c>
      <x:c r="G98" s="4">
        <x:f t="shared" si="1"/>
        <x:v>9000</x:v>
      </x:c>
      <x:c r="H98" s="3">
        <x:v>2412000</x:v>
      </x:c>
      <x:c r="I98" s="2" t="s">
        <x:v>71</x:v>
      </x:c>
    </x:row>
    <x:row r="99">
      <x:c r="A99" s="2" t="s">
        <x:v>60</x:v>
      </x:c>
      <x:c r="B99" s="13">
        <x:v>8961</x:v>
      </x:c>
      <x:c r="C99" s="2">
        <x:v>14447</x:v>
      </x:c>
      <x:c r="D99" s="2" t="s">
        <x:v>9</x:v>
      </x:c>
      <x:c r="E99" s="14">
        <x:v>28</x:v>
      </x:c>
      <x:c r="F99" s="2">
        <x:v>92</x:v>
      </x:c>
      <x:c r="G99" s="4">
        <x:f t="shared" si="1"/>
        <x:v>9000</x:v>
      </x:c>
      <x:c r="H99" s="3">
        <x:v>828000</x:v>
      </x:c>
      <x:c r="I99" s="2" t="s">
        <x:v>71</x:v>
      </x:c>
    </x:row>
    <x:row r="100">
      <x:c r="A100" s="2" t="s">
        <x:v>60</x:v>
      </x:c>
      <x:c r="B100" s="13">
        <x:v>8976</x:v>
      </x:c>
      <x:c r="C100" s="2">
        <x:v>14448</x:v>
      </x:c>
      <x:c r="D100" s="2" t="s">
        <x:v>9</x:v>
      </x:c>
      <x:c r="E100" s="14">
        <x:v>22</x:v>
      </x:c>
      <x:c r="F100" s="2">
        <x:v>94</x:v>
      </x:c>
      <x:c r="G100" s="4">
        <x:f t="shared" si="1"/>
        <x:v>9000</x:v>
      </x:c>
      <x:c r="H100" s="3">
        <x:v>846000</x:v>
      </x:c>
      <x:c r="I100" s="2" t="s">
        <x:v>71</x:v>
      </x:c>
    </x:row>
    <x:row r="101">
      <x:c r="A101" s="2" t="s">
        <x:v>60</x:v>
      </x:c>
      <x:c r="B101" s="13">
        <x:v>8994</x:v>
      </x:c>
      <x:c r="C101" s="2">
        <x:v>14449</x:v>
      </x:c>
      <x:c r="D101" s="2" t="s">
        <x:v>0</x:v>
      </x:c>
      <x:c r="E101" s="14">
        <x:v>60</x:v>
      </x:c>
      <x:c r="F101" s="2">
        <x:v>348</x:v>
      </x:c>
      <x:c r="G101" s="4">
        <x:f t="shared" si="1"/>
        <x:v>13000</x:v>
      </x:c>
      <x:c r="H101" s="3">
        <x:v>4524000</x:v>
      </x:c>
      <x:c r="I101" s="2" t="s">
        <x:v>71</x:v>
      </x:c>
    </x:row>
    <x:row r="102">
      <x:c r="A102" s="2" t="s">
        <x:v>60</x:v>
      </x:c>
      <x:c r="B102" s="13">
        <x:v>9009</x:v>
      </x:c>
      <x:c r="C102" s="2">
        <x:v>14450</x:v>
      </x:c>
      <x:c r="D102" s="2" t="s">
        <x:v>2</x:v>
      </x:c>
      <x:c r="E102" s="14">
        <x:v>30</x:v>
      </x:c>
      <x:c r="F102" s="2">
        <x:v>165</x:v>
      </x:c>
      <x:c r="G102" s="4">
        <x:f t="shared" si="1"/>
        <x:v>11500</x:v>
      </x:c>
      <x:c r="H102" s="3">
        <x:v>1897500</x:v>
      </x:c>
      <x:c r="I102" s="2" t="s">
        <x:v>71</x:v>
      </x:c>
    </x:row>
    <x:row r="103">
      <x:c r="A103" s="2" t="s">
        <x:v>60</x:v>
      </x:c>
      <x:c r="B103" s="13">
        <x:v>9029</x:v>
      </x:c>
      <x:c r="C103" s="2">
        <x:v>14451</x:v>
      </x:c>
      <x:c r="D103" s="2" t="s">
        <x:v>2</x:v>
      </x:c>
      <x:c r="E103" s="14">
        <x:v>36</x:v>
      </x:c>
      <x:c r="F103" s="2">
        <x:v>182</x:v>
      </x:c>
      <x:c r="G103" s="4">
        <x:f t="shared" si="1"/>
        <x:v>11500</x:v>
      </x:c>
      <x:c r="H103" s="3">
        <x:v>2093000</x:v>
      </x:c>
      <x:c r="I103" s="2" t="s">
        <x:v>71</x:v>
      </x:c>
    </x:row>
    <x:row r="104">
      <x:c r="A104" s="2" t="s">
        <x:v>60</x:v>
      </x:c>
      <x:c r="B104" s="13">
        <x:v>9033</x:v>
      </x:c>
      <x:c r="C104" s="2">
        <x:v>14452</x:v>
      </x:c>
      <x:c r="D104" s="2" t="s">
        <x:v>9</x:v>
      </x:c>
      <x:c r="E104" s="14">
        <x:v>33</x:v>
      </x:c>
      <x:c r="F104" s="2">
        <x:v>162</x:v>
      </x:c>
      <x:c r="G104" s="4">
        <x:f t="shared" si="1"/>
        <x:v>9000</x:v>
      </x:c>
      <x:c r="H104" s="3">
        <x:v>1458000</x:v>
      </x:c>
      <x:c r="I104" s="2" t="s">
        <x:v>71</x:v>
      </x:c>
    </x:row>
    <x:row r="105">
      <x:c r="A105" s="2" t="s">
        <x:v>60</x:v>
      </x:c>
      <x:c r="B105" s="13">
        <x:v>9037</x:v>
      </x:c>
      <x:c r="C105" s="2">
        <x:v>14453</x:v>
      </x:c>
      <x:c r="D105" s="2" t="s">
        <x:v>9</x:v>
      </x:c>
      <x:c r="E105" s="14">
        <x:v>40</x:v>
      </x:c>
      <x:c r="F105" s="2">
        <x:v>187</x:v>
      </x:c>
      <x:c r="G105" s="4">
        <x:f t="shared" si="1"/>
        <x:v>9000</x:v>
      </x:c>
      <x:c r="H105" s="3">
        <x:v>1683000</x:v>
      </x:c>
      <x:c r="I105" s="2" t="s">
        <x:v>71</x:v>
      </x:c>
    </x:row>
    <x:row r="106">
      <x:c r="A106" s="2" t="s">
        <x:v>60</x:v>
      </x:c>
      <x:c r="B106" s="13">
        <x:v>9060</x:v>
      </x:c>
      <x:c r="C106" s="2">
        <x:v>14454</x:v>
      </x:c>
      <x:c r="D106" s="2" t="s">
        <x:v>1</x:v>
      </x:c>
      <x:c r="E106" s="14">
        <x:v>37</x:v>
      </x:c>
      <x:c r="F106" s="2">
        <x:v>187</x:v>
      </x:c>
      <x:c r="G106" s="4">
        <x:f t="shared" si="1"/>
        <x:v>10000</x:v>
      </x:c>
      <x:c r="H106" s="3">
        <x:v>1870000</x:v>
      </x:c>
      <x:c r="I106" s="2" t="s">
        <x:v>71</x:v>
      </x:c>
    </x:row>
    <x:row r="107">
      <x:c r="A107" s="2" t="s">
        <x:v>60</x:v>
      </x:c>
      <x:c r="B107" s="13">
        <x:v>9061</x:v>
      </x:c>
      <x:c r="C107" s="2">
        <x:v>14455</x:v>
      </x:c>
      <x:c r="D107" s="2" t="s">
        <x:v>9</x:v>
      </x:c>
      <x:c r="E107" s="14">
        <x:v>15</x:v>
      </x:c>
      <x:c r="F107" s="2">
        <x:v>78</x:v>
      </x:c>
      <x:c r="G107" s="4">
        <x:f t="shared" si="1"/>
        <x:v>9000</x:v>
      </x:c>
      <x:c r="H107" s="3">
        <x:v>702000</x:v>
      </x:c>
      <x:c r="I107" s="2" t="s">
        <x:v>71</x:v>
      </x:c>
    </x:row>
    <x:row r="108">
      <x:c r="A108" s="2" t="s">
        <x:v>60</x:v>
      </x:c>
      <x:c r="B108" s="13">
        <x:v>9064</x:v>
      </x:c>
      <x:c r="C108" s="2">
        <x:v>14456</x:v>
      </x:c>
      <x:c r="D108" s="2" t="s">
        <x:v>9</x:v>
      </x:c>
      <x:c r="E108" s="14">
        <x:v>19</x:v>
      </x:c>
      <x:c r="F108" s="2">
        <x:v>85</x:v>
      </x:c>
      <x:c r="G108" s="4">
        <x:f t="shared" si="1"/>
        <x:v>9000</x:v>
      </x:c>
      <x:c r="H108" s="3">
        <x:v>765000</x:v>
      </x:c>
      <x:c r="I108" s="2" t="s">
        <x:v>71</x:v>
      </x:c>
    </x:row>
    <x:row r="109">
      <x:c r="A109" s="2" t="s">
        <x:v>60</x:v>
      </x:c>
      <x:c r="B109" s="13">
        <x:v>9066</x:v>
      </x:c>
      <x:c r="C109" s="2">
        <x:v>14457</x:v>
      </x:c>
      <x:c r="D109" s="2" t="s">
        <x:v>9</x:v>
      </x:c>
      <x:c r="E109" s="14">
        <x:v>15</x:v>
      </x:c>
      <x:c r="F109" s="2">
        <x:v>85</x:v>
      </x:c>
      <x:c r="G109" s="4">
        <x:f t="shared" si="1"/>
        <x:v>9000</x:v>
      </x:c>
      <x:c r="H109" s="3">
        <x:v>765000</x:v>
      </x:c>
      <x:c r="I109" s="2" t="s">
        <x:v>71</x:v>
      </x:c>
    </x:row>
    <x:row r="110">
      <x:c r="A110" s="2" t="s">
        <x:v>60</x:v>
      </x:c>
      <x:c r="B110" s="13">
        <x:v>9067</x:v>
      </x:c>
      <x:c r="C110" s="2">
        <x:v>14458</x:v>
      </x:c>
      <x:c r="D110" s="2" t="s">
        <x:v>9</x:v>
      </x:c>
      <x:c r="E110" s="14">
        <x:v>17</x:v>
      </x:c>
      <x:c r="F110" s="2">
        <x:v>78</x:v>
      </x:c>
      <x:c r="G110" s="4">
        <x:f t="shared" si="1"/>
        <x:v>9000</x:v>
      </x:c>
      <x:c r="H110" s="3">
        <x:v>702000</x:v>
      </x:c>
      <x:c r="I110" s="2" t="s">
        <x:v>71</x:v>
      </x:c>
    </x:row>
    <x:row r="111">
      <x:c r="A111" s="2" t="s">
        <x:v>60</x:v>
      </x:c>
      <x:c r="B111" s="13">
        <x:v>9068</x:v>
      </x:c>
      <x:c r="C111" s="2">
        <x:v>14459</x:v>
      </x:c>
      <x:c r="D111" s="2" t="s">
        <x:v>9</x:v>
      </x:c>
      <x:c r="E111" s="14">
        <x:v>18</x:v>
      </x:c>
      <x:c r="F111" s="2">
        <x:v>86</x:v>
      </x:c>
      <x:c r="G111" s="4">
        <x:f t="shared" si="1"/>
        <x:v>9000</x:v>
      </x:c>
      <x:c r="H111" s="3">
        <x:v>774000</x:v>
      </x:c>
      <x:c r="I111" s="2" t="s">
        <x:v>71</x:v>
      </x:c>
    </x:row>
    <x:row r="112">
      <x:c r="A112" s="2" t="s">
        <x:v>60</x:v>
      </x:c>
      <x:c r="B112" s="13">
        <x:v>9074</x:v>
      </x:c>
      <x:c r="C112" s="2">
        <x:v>14460</x:v>
      </x:c>
      <x:c r="D112" s="2" t="s">
        <x:v>9</x:v>
      </x:c>
      <x:c r="E112" s="14">
        <x:v>17</x:v>
      </x:c>
      <x:c r="F112" s="2">
        <x:v>78</x:v>
      </x:c>
      <x:c r="G112" s="4">
        <x:f t="shared" si="1"/>
        <x:v>9000</x:v>
      </x:c>
      <x:c r="H112" s="3">
        <x:v>702000</x:v>
      </x:c>
      <x:c r="I112" s="2" t="s">
        <x:v>71</x:v>
      </x:c>
    </x:row>
    <x:row r="113">
      <x:c r="A113" s="2" t="s">
        <x:v>60</x:v>
      </x:c>
      <x:c r="B113" s="13">
        <x:v>9075</x:v>
      </x:c>
      <x:c r="C113" s="2">
        <x:v>14461</x:v>
      </x:c>
      <x:c r="D113" s="2" t="s">
        <x:v>9</x:v>
      </x:c>
      <x:c r="E113" s="14">
        <x:v>14</x:v>
      </x:c>
      <x:c r="F113" s="2">
        <x:v>89</x:v>
      </x:c>
      <x:c r="G113" s="4">
        <x:f t="shared" si="1"/>
        <x:v>9000</x:v>
      </x:c>
      <x:c r="H113" s="3">
        <x:v>801000</x:v>
      </x:c>
      <x:c r="I113" s="2" t="s">
        <x:v>71</x:v>
      </x:c>
    </x:row>
    <x:row r="114">
      <x:c r="A114" s="2" t="s">
        <x:v>60</x:v>
      </x:c>
      <x:c r="B114" s="13">
        <x:v>9076</x:v>
      </x:c>
      <x:c r="C114" s="2">
        <x:v>14462</x:v>
      </x:c>
      <x:c r="D114" s="2" t="s">
        <x:v>9</x:v>
      </x:c>
      <x:c r="E114" s="14">
        <x:v>14</x:v>
      </x:c>
      <x:c r="F114" s="2">
        <x:v>89</x:v>
      </x:c>
      <x:c r="G114" s="4">
        <x:f t="shared" si="1"/>
        <x:v>9000</x:v>
      </x:c>
      <x:c r="H114" s="3">
        <x:v>801000</x:v>
      </x:c>
      <x:c r="I114" s="2" t="s">
        <x:v>71</x:v>
      </x:c>
    </x:row>
    <x:row r="115">
      <x:c r="A115" s="2" t="s">
        <x:v>60</x:v>
      </x:c>
      <x:c r="B115" s="13">
        <x:v>9077</x:v>
      </x:c>
      <x:c r="C115" s="2">
        <x:v>14463</x:v>
      </x:c>
      <x:c r="D115" s="2" t="s">
        <x:v>9</x:v>
      </x:c>
      <x:c r="E115" s="14">
        <x:v>13</x:v>
      </x:c>
      <x:c r="F115" s="2">
        <x:v>87</x:v>
      </x:c>
      <x:c r="G115" s="4">
        <x:f t="shared" si="1"/>
        <x:v>9000</x:v>
      </x:c>
      <x:c r="H115" s="3">
        <x:v>783000</x:v>
      </x:c>
      <x:c r="I115" s="2" t="s">
        <x:v>71</x:v>
      </x:c>
    </x:row>
    <x:row r="116">
      <x:c r="A116" s="2" t="s">
        <x:v>60</x:v>
      </x:c>
      <x:c r="B116" s="13">
        <x:v>9078</x:v>
      </x:c>
      <x:c r="C116" s="2">
        <x:v>14464</x:v>
      </x:c>
      <x:c r="D116" s="2" t="s">
        <x:v>0</x:v>
      </x:c>
      <x:c r="E116" s="14">
        <x:v>28</x:v>
      </x:c>
      <x:c r="F116" s="2">
        <x:v>185</x:v>
      </x:c>
      <x:c r="G116" s="4">
        <x:f t="shared" si="1"/>
        <x:v>13000</x:v>
      </x:c>
      <x:c r="H116" s="3">
        <x:v>2405000</x:v>
      </x:c>
      <x:c r="I116" s="2" t="s">
        <x:v>71</x:v>
      </x:c>
    </x:row>
    <x:row r="117">
      <x:c r="A117" s="2" t="s">
        <x:v>60</x:v>
      </x:c>
      <x:c r="B117" s="13">
        <x:v>9079</x:v>
      </x:c>
      <x:c r="C117" s="2">
        <x:v>14465</x:v>
      </x:c>
      <x:c r="D117" s="2" t="s">
        <x:v>2</x:v>
      </x:c>
      <x:c r="E117" s="14">
        <x:v>28</x:v>
      </x:c>
      <x:c r="F117" s="2">
        <x:v>179</x:v>
      </x:c>
      <x:c r="G117" s="4">
        <x:f t="shared" si="1"/>
        <x:v>11500</x:v>
      </x:c>
      <x:c r="H117" s="3">
        <x:v>2058500</x:v>
      </x:c>
      <x:c r="I117" s="2" t="s">
        <x:v>71</x:v>
      </x:c>
    </x:row>
    <x:row r="118">
      <x:c r="A118" s="2" t="s">
        <x:v>60</x:v>
      </x:c>
      <x:c r="B118" s="13">
        <x:v>9080</x:v>
      </x:c>
      <x:c r="C118" s="2">
        <x:v>14466</x:v>
      </x:c>
      <x:c r="D118" s="2" t="s">
        <x:v>2</x:v>
      </x:c>
      <x:c r="E118" s="14">
        <x:v>35</x:v>
      </x:c>
      <x:c r="F118" s="2">
        <x:v>231</x:v>
      </x:c>
      <x:c r="G118" s="4">
        <x:f t="shared" si="1"/>
        <x:v>11500</x:v>
      </x:c>
      <x:c r="H118" s="3">
        <x:v>2656500</x:v>
      </x:c>
      <x:c r="I118" s="2" t="s">
        <x:v>71</x:v>
      </x:c>
    </x:row>
    <x:row r="119">
      <x:c r="A119" s="2" t="s">
        <x:v>60</x:v>
      </x:c>
      <x:c r="B119" s="13">
        <x:v>9081</x:v>
      </x:c>
      <x:c r="C119" s="2">
        <x:v>14467</x:v>
      </x:c>
      <x:c r="D119" s="2" t="s">
        <x:v>9</x:v>
      </x:c>
      <x:c r="E119" s="14">
        <x:v>14</x:v>
      </x:c>
      <x:c r="F119" s="2">
        <x:v>82</x:v>
      </x:c>
      <x:c r="G119" s="4">
        <x:f t="shared" si="1"/>
        <x:v>9000</x:v>
      </x:c>
      <x:c r="H119" s="3">
        <x:v>738000</x:v>
      </x:c>
      <x:c r="I119" s="2" t="s">
        <x:v>71</x:v>
      </x:c>
    </x:row>
    <x:row r="120">
      <x:c r="A120" s="2" t="s">
        <x:v>60</x:v>
      </x:c>
      <x:c r="B120" s="13">
        <x:v>9085</x:v>
      </x:c>
      <x:c r="C120" s="2">
        <x:v>14468</x:v>
      </x:c>
      <x:c r="D120" s="2" t="s">
        <x:v>9</x:v>
      </x:c>
      <x:c r="E120" s="14">
        <x:v>23</x:v>
      </x:c>
      <x:c r="F120" s="2">
        <x:v>109</x:v>
      </x:c>
      <x:c r="G120" s="4">
        <x:f t="shared" si="1"/>
        <x:v>9000</x:v>
      </x:c>
      <x:c r="H120" s="3">
        <x:v>981000</x:v>
      </x:c>
      <x:c r="I120" s="2" t="s">
        <x:v>71</x:v>
      </x:c>
    </x:row>
    <x:row r="121">
      <x:c r="A121" s="2" t="s">
        <x:v>60</x:v>
      </x:c>
      <x:c r="B121" s="13">
        <x:v>9086</x:v>
      </x:c>
      <x:c r="C121" s="2">
        <x:v>14469</x:v>
      </x:c>
      <x:c r="D121" s="2" t="s">
        <x:v>9</x:v>
      </x:c>
      <x:c r="E121" s="14">
        <x:v>15</x:v>
      </x:c>
      <x:c r="F121" s="2">
        <x:v>93</x:v>
      </x:c>
      <x:c r="G121" s="4">
        <x:f t="shared" si="1"/>
        <x:v>9000</x:v>
      </x:c>
      <x:c r="H121" s="3">
        <x:v>837000</x:v>
      </x:c>
      <x:c r="I121" s="2" t="s">
        <x:v>71</x:v>
      </x:c>
    </x:row>
    <x:row r="122">
      <x:c r="A122" s="2" t="s">
        <x:v>60</x:v>
      </x:c>
      <x:c r="B122" s="13">
        <x:v>9093</x:v>
      </x:c>
      <x:c r="C122" s="2">
        <x:v>14470</x:v>
      </x:c>
      <x:c r="D122" s="2" t="s">
        <x:v>0</x:v>
      </x:c>
      <x:c r="E122" s="14">
        <x:v>17</x:v>
      </x:c>
      <x:c r="F122" s="2">
        <x:v>94</x:v>
      </x:c>
      <x:c r="G122" s="4">
        <x:f t="shared" si="1"/>
        <x:v>13000</x:v>
      </x:c>
      <x:c r="H122" s="3">
        <x:v>1222000</x:v>
      </x:c>
      <x:c r="I122" s="2" t="s">
        <x:v>71</x:v>
      </x:c>
    </x:row>
    <x:row r="123">
      <x:c r="A123" s="2" t="s">
        <x:v>60</x:v>
      </x:c>
      <x:c r="B123" s="13">
        <x:v>9095</x:v>
      </x:c>
      <x:c r="C123" s="2">
        <x:v>14471</x:v>
      </x:c>
      <x:c r="D123" s="2" t="s">
        <x:v>0</x:v>
      </x:c>
      <x:c r="E123" s="14">
        <x:v>17</x:v>
      </x:c>
      <x:c r="F123" s="2">
        <x:v>95</x:v>
      </x:c>
      <x:c r="G123" s="4">
        <x:f t="shared" si="1"/>
        <x:v>13000</x:v>
      </x:c>
      <x:c r="H123" s="3">
        <x:v>1235000</x:v>
      </x:c>
      <x:c r="I123" s="2" t="s">
        <x:v>71</x:v>
      </x:c>
    </x:row>
    <x:row r="124">
      <x:c r="A124" s="2" t="s">
        <x:v>60</x:v>
      </x:c>
      <x:c r="B124" s="13">
        <x:v>9101</x:v>
      </x:c>
      <x:c r="C124" s="2">
        <x:v>14472</x:v>
      </x:c>
      <x:c r="D124" s="2" t="s">
        <x:v>9</x:v>
      </x:c>
      <x:c r="E124" s="14">
        <x:v>20</x:v>
      </x:c>
      <x:c r="F124" s="2">
        <x:v>90</x:v>
      </x:c>
      <x:c r="G124" s="4">
        <x:f t="shared" si="1"/>
        <x:v>9000</x:v>
      </x:c>
      <x:c r="H124" s="3">
        <x:v>810000</x:v>
      </x:c>
      <x:c r="I124" s="2" t="s">
        <x:v>71</x:v>
      </x:c>
    </x:row>
    <x:row r="125">
      <x:c r="A125" s="2" t="s">
        <x:v>60</x:v>
      </x:c>
      <x:c r="B125" s="13">
        <x:v>9117</x:v>
      </x:c>
      <x:c r="C125" s="2">
        <x:v>14473</x:v>
      </x:c>
      <x:c r="D125" s="2" t="s">
        <x:v>9</x:v>
      </x:c>
      <x:c r="E125" s="14">
        <x:v>34</x:v>
      </x:c>
      <x:c r="F125" s="2">
        <x:v>183</x:v>
      </x:c>
      <x:c r="G125" s="4">
        <x:f t="shared" si="1"/>
        <x:v>9000</x:v>
      </x:c>
      <x:c r="H125" s="3">
        <x:v>1647000</x:v>
      </x:c>
      <x:c r="I125" s="2" t="s">
        <x:v>71</x:v>
      </x:c>
    </x:row>
    <x:row r="126">
      <x:c r="A126" s="2" t="s">
        <x:v>60</x:v>
      </x:c>
      <x:c r="B126" s="13">
        <x:v>9124</x:v>
      </x:c>
      <x:c r="C126" s="2">
        <x:v>14474</x:v>
      </x:c>
      <x:c r="D126" s="2" t="s">
        <x:v>9</x:v>
      </x:c>
      <x:c r="E126" s="14">
        <x:v>15</x:v>
      </x:c>
      <x:c r="F126" s="2">
        <x:v>78</x:v>
      </x:c>
      <x:c r="G126" s="4">
        <x:f t="shared" si="1"/>
        <x:v>9000</x:v>
      </x:c>
      <x:c r="H126" s="3">
        <x:v>702000</x:v>
      </x:c>
      <x:c r="I126" s="2" t="s">
        <x:v>71</x:v>
      </x:c>
    </x:row>
    <x:row r="127">
      <x:c r="A127" s="2" t="s">
        <x:v>60</x:v>
      </x:c>
      <x:c r="B127" s="13">
        <x:v>9125</x:v>
      </x:c>
      <x:c r="C127" s="2">
        <x:v>14475</x:v>
      </x:c>
      <x:c r="D127" s="2" t="s">
        <x:v>9</x:v>
      </x:c>
      <x:c r="E127" s="14">
        <x:v>15</x:v>
      </x:c>
      <x:c r="F127" s="2">
        <x:v>88</x:v>
      </x:c>
      <x:c r="G127" s="4">
        <x:f t="shared" si="1"/>
        <x:v>9000</x:v>
      </x:c>
      <x:c r="H127" s="3">
        <x:v>792000</x:v>
      </x:c>
      <x:c r="I127" s="2" t="s">
        <x:v>71</x:v>
      </x:c>
    </x:row>
    <x:row r="128">
      <x:c r="A128" s="2" t="s">
        <x:v>60</x:v>
      </x:c>
      <x:c r="B128" s="13">
        <x:v>9137</x:v>
      </x:c>
      <x:c r="C128" s="2">
        <x:v>14476</x:v>
      </x:c>
      <x:c r="D128" s="2" t="s">
        <x:v>9</x:v>
      </x:c>
      <x:c r="E128" s="14">
        <x:v>15</x:v>
      </x:c>
      <x:c r="F128" s="2">
        <x:v>86</x:v>
      </x:c>
      <x:c r="G128" s="4">
        <x:f t="shared" si="1"/>
        <x:v>9000</x:v>
      </x:c>
      <x:c r="H128" s="3">
        <x:v>774000</x:v>
      </x:c>
      <x:c r="I128" s="2" t="s">
        <x:v>71</x:v>
      </x:c>
    </x:row>
    <x:row r="129">
      <x:c r="A129" s="2" t="s">
        <x:v>60</x:v>
      </x:c>
      <x:c r="B129" s="13">
        <x:v>9138</x:v>
      </x:c>
      <x:c r="C129" s="2">
        <x:v>14477</x:v>
      </x:c>
      <x:c r="D129" s="2" t="s">
        <x:v>9</x:v>
      </x:c>
      <x:c r="E129" s="14">
        <x:v>17</x:v>
      </x:c>
      <x:c r="F129" s="2">
        <x:v>86</x:v>
      </x:c>
      <x:c r="G129" s="4">
        <x:f t="shared" si="1"/>
        <x:v>9000</x:v>
      </x:c>
      <x:c r="H129" s="3">
        <x:v>774000</x:v>
      </x:c>
      <x:c r="I129" s="2" t="s">
        <x:v>71</x:v>
      </x:c>
    </x:row>
    <x:row r="130">
      <x:c r="A130" s="2" t="s">
        <x:v>60</x:v>
      </x:c>
      <x:c r="B130" s="13">
        <x:v>9152</x:v>
      </x:c>
      <x:c r="C130" s="2">
        <x:v>14478</x:v>
      </x:c>
      <x:c r="D130" s="2" t="s">
        <x:v>9</x:v>
      </x:c>
      <x:c r="E130" s="14">
        <x:v>15</x:v>
      </x:c>
      <x:c r="F130" s="2">
        <x:v>74</x:v>
      </x:c>
      <x:c r="G130" s="4">
        <x:f t="shared" si="1"/>
        <x:v>9000</x:v>
      </x:c>
      <x:c r="H130" s="3">
        <x:v>666000</x:v>
      </x:c>
      <x:c r="I130" s="2" t="s">
        <x:v>71</x:v>
      </x:c>
    </x:row>
    <x:row r="131">
      <x:c r="A131" s="2" t="s">
        <x:v>60</x:v>
      </x:c>
      <x:c r="B131" s="13">
        <x:v>9171</x:v>
      </x:c>
      <x:c r="C131" s="2">
        <x:v>14479</x:v>
      </x:c>
      <x:c r="D131" s="2" t="s">
        <x:v>9</x:v>
      </x:c>
      <x:c r="E131" s="14">
        <x:v>29</x:v>
      </x:c>
      <x:c r="F131" s="2">
        <x:v>189</x:v>
      </x:c>
      <x:c r="G131" s="4" t="n">
        <x:f t="shared" ref="G131:G194" si="2">H131/F131</x:f>
        <x:v>9000</x:v>
      </x:c>
      <x:c r="H131" s="3">
        <x:v>1701000</x:v>
      </x:c>
      <x:c r="I131" s="2" t="s">
        <x:v>71</x:v>
      </x:c>
    </x:row>
    <x:row r="132">
      <x:c r="A132" s="2" t="s">
        <x:v>60</x:v>
      </x:c>
      <x:c r="B132" s="13">
        <x:v>9172</x:v>
      </x:c>
      <x:c r="C132" s="2">
        <x:v>14480</x:v>
      </x:c>
      <x:c r="D132" s="2" t="s">
        <x:v>9</x:v>
      </x:c>
      <x:c r="E132" s="14">
        <x:v>30</x:v>
      </x:c>
      <x:c r="F132" s="2">
        <x:v>181</x:v>
      </x:c>
      <x:c r="G132" s="4">
        <x:f t="shared" si="2"/>
        <x:v>9000</x:v>
      </x:c>
      <x:c r="H132" s="3">
        <x:v>1629000</x:v>
      </x:c>
      <x:c r="I132" s="2" t="s">
        <x:v>71</x:v>
      </x:c>
    </x:row>
    <x:row r="133">
      <x:c r="A133" s="2" t="s">
        <x:v>60</x:v>
      </x:c>
      <x:c r="B133" s="13">
        <x:v>9174</x:v>
      </x:c>
      <x:c r="C133" s="2">
        <x:v>14481</x:v>
      </x:c>
      <x:c r="D133" s="2" t="s">
        <x:v>9</x:v>
      </x:c>
      <x:c r="E133" s="14">
        <x:v>29</x:v>
      </x:c>
      <x:c r="F133" s="2">
        <x:v>183</x:v>
      </x:c>
      <x:c r="G133" s="4">
        <x:f t="shared" si="2"/>
        <x:v>9000</x:v>
      </x:c>
      <x:c r="H133" s="3">
        <x:v>1647000</x:v>
      </x:c>
      <x:c r="I133" s="2" t="s">
        <x:v>71</x:v>
      </x:c>
    </x:row>
    <x:row r="134">
      <x:c r="A134" s="2" t="s">
        <x:v>60</x:v>
      </x:c>
      <x:c r="B134" s="13">
        <x:v>9180</x:v>
      </x:c>
      <x:c r="C134" s="2">
        <x:v>14482</x:v>
      </x:c>
      <x:c r="D134" s="2" t="s">
        <x:v>0</x:v>
      </x:c>
      <x:c r="E134" s="14">
        <x:v>16</x:v>
      </x:c>
      <x:c r="F134" s="2">
        <x:v>96</x:v>
      </x:c>
      <x:c r="G134" s="4">
        <x:f t="shared" si="2"/>
        <x:v>13000</x:v>
      </x:c>
      <x:c r="H134" s="3">
        <x:v>1248000</x:v>
      </x:c>
      <x:c r="I134" s="2" t="s">
        <x:v>71</x:v>
      </x:c>
    </x:row>
    <x:row r="135">
      <x:c r="A135" s="2" t="s">
        <x:v>60</x:v>
      </x:c>
      <x:c r="B135" s="13">
        <x:v>9205</x:v>
      </x:c>
      <x:c r="C135" s="2">
        <x:v>14483</x:v>
      </x:c>
      <x:c r="D135" s="2" t="s">
        <x:v>9</x:v>
      </x:c>
      <x:c r="E135" s="14">
        <x:v>18</x:v>
      </x:c>
      <x:c r="F135" s="2">
        <x:v>90</x:v>
      </x:c>
      <x:c r="G135" s="4">
        <x:f t="shared" si="2"/>
        <x:v>9000</x:v>
      </x:c>
      <x:c r="H135" s="3">
        <x:v>810000</x:v>
      </x:c>
      <x:c r="I135" s="2" t="s">
        <x:v>71</x:v>
      </x:c>
    </x:row>
    <x:row r="136">
      <x:c r="A136" s="2" t="s">
        <x:v>60</x:v>
      </x:c>
      <x:c r="B136" s="13">
        <x:v>9210</x:v>
      </x:c>
      <x:c r="C136" s="2">
        <x:v>14484</x:v>
      </x:c>
      <x:c r="D136" s="2" t="s">
        <x:v>9</x:v>
      </x:c>
      <x:c r="E136" s="14">
        <x:v>28</x:v>
      </x:c>
      <x:c r="F136" s="2">
        <x:v>181</x:v>
      </x:c>
      <x:c r="G136" s="4">
        <x:f t="shared" si="2"/>
        <x:v>9000</x:v>
      </x:c>
      <x:c r="H136" s="3">
        <x:v>1629000</x:v>
      </x:c>
      <x:c r="I136" s="2" t="s">
        <x:v>71</x:v>
      </x:c>
    </x:row>
    <x:row r="137">
      <x:c r="A137" s="2" t="s">
        <x:v>60</x:v>
      </x:c>
      <x:c r="B137" s="13">
        <x:v>9217</x:v>
      </x:c>
      <x:c r="C137" s="2">
        <x:v>14485</x:v>
      </x:c>
      <x:c r="D137" s="2" t="s">
        <x:v>9</x:v>
      </x:c>
      <x:c r="E137" s="14">
        <x:v>30</x:v>
      </x:c>
      <x:c r="F137" s="2">
        <x:v>188</x:v>
      </x:c>
      <x:c r="G137" s="4">
        <x:f t="shared" si="2"/>
        <x:v>9000</x:v>
      </x:c>
      <x:c r="H137" s="3">
        <x:v>1692000</x:v>
      </x:c>
      <x:c r="I137" s="2" t="s">
        <x:v>71</x:v>
      </x:c>
    </x:row>
    <x:row r="138">
      <x:c r="A138" s="2" t="s">
        <x:v>60</x:v>
      </x:c>
      <x:c r="B138" s="13">
        <x:v>9221</x:v>
      </x:c>
      <x:c r="C138" s="2">
        <x:v>14486</x:v>
      </x:c>
      <x:c r="D138" s="2" t="s">
        <x:v>9</x:v>
      </x:c>
      <x:c r="E138" s="14">
        <x:v>34</x:v>
      </x:c>
      <x:c r="F138" s="2">
        <x:v>181</x:v>
      </x:c>
      <x:c r="G138" s="4">
        <x:f t="shared" si="2"/>
        <x:v>9000</x:v>
      </x:c>
      <x:c r="H138" s="3">
        <x:v>1629000</x:v>
      </x:c>
      <x:c r="I138" s="2" t="s">
        <x:v>71</x:v>
      </x:c>
    </x:row>
    <x:row r="139">
      <x:c r="A139" s="2" t="s">
        <x:v>60</x:v>
      </x:c>
      <x:c r="B139" s="13">
        <x:v>9225</x:v>
      </x:c>
      <x:c r="C139" s="2">
        <x:v>14487</x:v>
      </x:c>
      <x:c r="D139" s="2" t="s">
        <x:v>9</x:v>
      </x:c>
      <x:c r="E139" s="14">
        <x:v>31</x:v>
      </x:c>
      <x:c r="F139" s="2">
        <x:v>194</x:v>
      </x:c>
      <x:c r="G139" s="4">
        <x:f t="shared" si="2"/>
        <x:v>9000</x:v>
      </x:c>
      <x:c r="H139" s="3">
        <x:v>1746000</x:v>
      </x:c>
      <x:c r="I139" s="2" t="s">
        <x:v>71</x:v>
      </x:c>
    </x:row>
    <x:row r="140">
      <x:c r="A140" s="2" t="s">
        <x:v>60</x:v>
      </x:c>
      <x:c r="B140" s="13">
        <x:v>9230</x:v>
      </x:c>
      <x:c r="C140" s="2">
        <x:v>14488</x:v>
      </x:c>
      <x:c r="D140" s="2" t="s">
        <x:v>9</x:v>
      </x:c>
      <x:c r="E140" s="14">
        <x:v>16</x:v>
      </x:c>
      <x:c r="F140" s="2">
        <x:v>86</x:v>
      </x:c>
      <x:c r="G140" s="4">
        <x:f t="shared" si="2"/>
        <x:v>9000</x:v>
      </x:c>
      <x:c r="H140" s="3">
        <x:v>774000</x:v>
      </x:c>
      <x:c r="I140" s="2" t="s">
        <x:v>71</x:v>
      </x:c>
    </x:row>
    <x:row r="141">
      <x:c r="A141" s="2" t="s">
        <x:v>60</x:v>
      </x:c>
      <x:c r="B141" s="13">
        <x:v>9232</x:v>
      </x:c>
      <x:c r="C141" s="2">
        <x:v>14489</x:v>
      </x:c>
      <x:c r="D141" s="2" t="s">
        <x:v>9</x:v>
      </x:c>
      <x:c r="E141" s="14">
        <x:v>31</x:v>
      </x:c>
      <x:c r="F141" s="2">
        <x:v>179</x:v>
      </x:c>
      <x:c r="G141" s="4">
        <x:f t="shared" si="2"/>
        <x:v>9000</x:v>
      </x:c>
      <x:c r="H141" s="3">
        <x:v>1611000</x:v>
      </x:c>
      <x:c r="I141" s="2" t="s">
        <x:v>71</x:v>
      </x:c>
    </x:row>
    <x:row r="142">
      <x:c r="A142" s="2" t="s">
        <x:v>60</x:v>
      </x:c>
      <x:c r="B142" s="13">
        <x:v>9241</x:v>
      </x:c>
      <x:c r="C142" s="2">
        <x:v>14490</x:v>
      </x:c>
      <x:c r="D142" s="2" t="s">
        <x:v>9</x:v>
      </x:c>
      <x:c r="E142" s="14">
        <x:v>32</x:v>
      </x:c>
      <x:c r="F142" s="2">
        <x:v>191</x:v>
      </x:c>
      <x:c r="G142" s="4">
        <x:f t="shared" si="2"/>
        <x:v>9000</x:v>
      </x:c>
      <x:c r="H142" s="3">
        <x:v>1719000</x:v>
      </x:c>
      <x:c r="I142" s="2" t="s">
        <x:v>71</x:v>
      </x:c>
    </x:row>
    <x:row r="143">
      <x:c r="A143" s="2" t="s">
        <x:v>60</x:v>
      </x:c>
      <x:c r="B143" s="13">
        <x:v>9256</x:v>
      </x:c>
      <x:c r="C143" s="2">
        <x:v>14491</x:v>
      </x:c>
      <x:c r="D143" s="2" t="s">
        <x:v>0</x:v>
      </x:c>
      <x:c r="E143" s="14">
        <x:v>42</x:v>
      </x:c>
      <x:c r="F143" s="2">
        <x:v>192</x:v>
      </x:c>
      <x:c r="G143" s="4">
        <x:f t="shared" si="2"/>
        <x:v>13000</x:v>
      </x:c>
      <x:c r="H143" s="3">
        <x:v>2496000</x:v>
      </x:c>
      <x:c r="I143" s="2" t="s">
        <x:v>71</x:v>
      </x:c>
    </x:row>
    <x:row r="144">
      <x:c r="A144" s="2" t="s">
        <x:v>60</x:v>
      </x:c>
      <x:c r="B144" s="13">
        <x:v>9271</x:v>
      </x:c>
      <x:c r="C144" s="2">
        <x:v>14492</x:v>
      </x:c>
      <x:c r="D144" s="2" t="s">
        <x:v>9</x:v>
      </x:c>
      <x:c r="E144" s="14">
        <x:v>27</x:v>
      </x:c>
      <x:c r="F144" s="2">
        <x:v>180</x:v>
      </x:c>
      <x:c r="G144" s="4">
        <x:f t="shared" si="2"/>
        <x:v>9000</x:v>
      </x:c>
      <x:c r="H144" s="3">
        <x:v>1620000</x:v>
      </x:c>
      <x:c r="I144" s="2" t="s">
        <x:v>71</x:v>
      </x:c>
    </x:row>
    <x:row r="145">
      <x:c r="A145" s="2" t="s">
        <x:v>60</x:v>
      </x:c>
      <x:c r="B145" s="13">
        <x:v>9273</x:v>
      </x:c>
      <x:c r="C145" s="2">
        <x:v>14493</x:v>
      </x:c>
      <x:c r="D145" s="2" t="s">
        <x:v>0</x:v>
      </x:c>
      <x:c r="E145" s="14">
        <x:v>17</x:v>
      </x:c>
      <x:c r="F145" s="2">
        <x:v>97</x:v>
      </x:c>
      <x:c r="G145" s="4">
        <x:f t="shared" si="2"/>
        <x:v>13000</x:v>
      </x:c>
      <x:c r="H145" s="3">
        <x:v>1261000</x:v>
      </x:c>
      <x:c r="I145" s="2" t="s">
        <x:v>71</x:v>
      </x:c>
    </x:row>
    <x:row r="146">
      <x:c r="A146" s="2" t="s">
        <x:v>60</x:v>
      </x:c>
      <x:c r="B146" s="13">
        <x:v>9293</x:v>
      </x:c>
      <x:c r="C146" s="2">
        <x:v>14494</x:v>
      </x:c>
      <x:c r="D146" s="2" t="s">
        <x:v>2</x:v>
      </x:c>
      <x:c r="E146" s="14">
        <x:v>18</x:v>
      </x:c>
      <x:c r="F146" s="2">
        <x:v>98</x:v>
      </x:c>
      <x:c r="G146" s="4">
        <x:f t="shared" si="2"/>
        <x:v>11500</x:v>
      </x:c>
      <x:c r="H146" s="3">
        <x:v>1127000</x:v>
      </x:c>
      <x:c r="I146" s="2" t="s">
        <x:v>71</x:v>
      </x:c>
    </x:row>
    <x:row r="147">
      <x:c r="A147" s="2" t="s">
        <x:v>60</x:v>
      </x:c>
      <x:c r="B147" s="13">
        <x:v>9298</x:v>
      </x:c>
      <x:c r="C147" s="2">
        <x:v>14495</x:v>
      </x:c>
      <x:c r="D147" s="2" t="s">
        <x:v>9</x:v>
      </x:c>
      <x:c r="E147" s="14">
        <x:v>15</x:v>
      </x:c>
      <x:c r="F147" s="2">
        <x:v>82</x:v>
      </x:c>
      <x:c r="G147" s="4">
        <x:f t="shared" si="2"/>
        <x:v>9000</x:v>
      </x:c>
      <x:c r="H147" s="3">
        <x:v>738000</x:v>
      </x:c>
      <x:c r="I147" s="2" t="s">
        <x:v>71</x:v>
      </x:c>
    </x:row>
    <x:row r="148">
      <x:c r="A148" s="2" t="s">
        <x:v>60</x:v>
      </x:c>
      <x:c r="B148" s="13">
        <x:v>9306</x:v>
      </x:c>
      <x:c r="C148" s="2">
        <x:v>14496</x:v>
      </x:c>
      <x:c r="D148" s="2" t="s">
        <x:v>9</x:v>
      </x:c>
      <x:c r="E148" s="14">
        <x:v>28</x:v>
      </x:c>
      <x:c r="F148" s="2">
        <x:v>180</x:v>
      </x:c>
      <x:c r="G148" s="4">
        <x:f t="shared" si="2"/>
        <x:v>9000</x:v>
      </x:c>
      <x:c r="H148" s="3">
        <x:v>1620000</x:v>
      </x:c>
      <x:c r="I148" s="2" t="s">
        <x:v>71</x:v>
      </x:c>
    </x:row>
    <x:row r="149">
      <x:c r="A149" s="2" t="s">
        <x:v>60</x:v>
      </x:c>
      <x:c r="B149" s="13">
        <x:v>9310</x:v>
      </x:c>
      <x:c r="C149" s="2">
        <x:v>14497</x:v>
      </x:c>
      <x:c r="D149" s="2" t="s">
        <x:v>2</x:v>
      </x:c>
      <x:c r="E149" s="14">
        <x:v>47</x:v>
      </x:c>
      <x:c r="F149" s="2">
        <x:v>186</x:v>
      </x:c>
      <x:c r="G149" s="4">
        <x:f t="shared" si="2"/>
        <x:v>11500</x:v>
      </x:c>
      <x:c r="H149" s="3">
        <x:v>2139000</x:v>
      </x:c>
      <x:c r="I149" s="2" t="s">
        <x:v>71</x:v>
      </x:c>
    </x:row>
    <x:row r="150">
      <x:c r="A150" s="2" t="s">
        <x:v>60</x:v>
      </x:c>
      <x:c r="B150" s="13">
        <x:v>9311</x:v>
      </x:c>
      <x:c r="C150" s="2">
        <x:v>14498</x:v>
      </x:c>
      <x:c r="D150" s="2" t="s">
        <x:v>2</x:v>
      </x:c>
      <x:c r="E150" s="14">
        <x:v>31</x:v>
      </x:c>
      <x:c r="F150" s="2">
        <x:v>169</x:v>
      </x:c>
      <x:c r="G150" s="4">
        <x:f t="shared" si="2"/>
        <x:v>11500</x:v>
      </x:c>
      <x:c r="H150" s="3">
        <x:v>1943500</x:v>
      </x:c>
      <x:c r="I150" s="2" t="s">
        <x:v>71</x:v>
      </x:c>
    </x:row>
    <x:row r="151">
      <x:c r="A151" s="2" t="s">
        <x:v>60</x:v>
      </x:c>
      <x:c r="B151" s="13">
        <x:v>9313</x:v>
      </x:c>
      <x:c r="C151" s="2">
        <x:v>14499</x:v>
      </x:c>
      <x:c r="D151" s="2" t="s">
        <x:v>9</x:v>
      </x:c>
      <x:c r="E151" s="14">
        <x:v>15</x:v>
      </x:c>
      <x:c r="F151" s="2">
        <x:v>97</x:v>
      </x:c>
      <x:c r="G151" s="4">
        <x:f t="shared" si="2"/>
        <x:v>9000</x:v>
      </x:c>
      <x:c r="H151" s="3">
        <x:v>873000</x:v>
      </x:c>
      <x:c r="I151" s="2" t="s">
        <x:v>71</x:v>
      </x:c>
    </x:row>
    <x:row r="152">
      <x:c r="A152" s="2" t="s">
        <x:v>60</x:v>
      </x:c>
      <x:c r="B152" s="13">
        <x:v>9314</x:v>
      </x:c>
      <x:c r="C152" s="2">
        <x:v>14500</x:v>
      </x:c>
      <x:c r="D152" s="2" t="s">
        <x:v>9</x:v>
      </x:c>
      <x:c r="E152" s="14">
        <x:v>22</x:v>
      </x:c>
      <x:c r="F152" s="2">
        <x:v>95</x:v>
      </x:c>
      <x:c r="G152" s="4">
        <x:f t="shared" si="2"/>
        <x:v>9000</x:v>
      </x:c>
      <x:c r="H152" s="3">
        <x:v>855000</x:v>
      </x:c>
      <x:c r="I152" s="2" t="s">
        <x:v>71</x:v>
      </x:c>
    </x:row>
    <x:row r="153">
      <x:c r="A153" s="2" t="s">
        <x:v>60</x:v>
      </x:c>
      <x:c r="B153" s="13">
        <x:v>9315</x:v>
      </x:c>
      <x:c r="C153" s="2">
        <x:v>14501</x:v>
      </x:c>
      <x:c r="D153" s="2" t="s">
        <x:v>9</x:v>
      </x:c>
      <x:c r="E153" s="14">
        <x:v>0</x:v>
      </x:c>
      <x:c r="F153" s="2">
        <x:v>86</x:v>
      </x:c>
      <x:c r="G153" s="4">
        <x:f t="shared" si="2"/>
        <x:v>9000</x:v>
      </x:c>
      <x:c r="H153" s="3">
        <x:v>774000</x:v>
      </x:c>
      <x:c r="I153" s="2" t="s">
        <x:v>71</x:v>
      </x:c>
    </x:row>
    <x:row r="154">
      <x:c r="A154" s="2" t="s">
        <x:v>60</x:v>
      </x:c>
      <x:c r="B154" s="13">
        <x:v>9317</x:v>
      </x:c>
      <x:c r="C154" s="2">
        <x:v>14502</x:v>
      </x:c>
      <x:c r="D154" s="2" t="s">
        <x:v>9</x:v>
      </x:c>
      <x:c r="E154" s="14">
        <x:v>0</x:v>
      </x:c>
      <x:c r="F154" s="2">
        <x:v>86</x:v>
      </x:c>
      <x:c r="G154" s="4">
        <x:f t="shared" si="2"/>
        <x:v>9000</x:v>
      </x:c>
      <x:c r="H154" s="3">
        <x:v>774000</x:v>
      </x:c>
      <x:c r="I154" s="2" t="s">
        <x:v>71</x:v>
      </x:c>
    </x:row>
    <x:row r="155">
      <x:c r="A155" s="2" t="s">
        <x:v>60</x:v>
      </x:c>
      <x:c r="B155" s="13">
        <x:v>9329</x:v>
      </x:c>
      <x:c r="C155" s="2">
        <x:v>14503</x:v>
      </x:c>
      <x:c r="D155" s="2" t="s">
        <x:v>9</x:v>
      </x:c>
      <x:c r="E155" s="14">
        <x:v>0</x:v>
      </x:c>
      <x:c r="F155" s="2">
        <x:v>42</x:v>
      </x:c>
      <x:c r="G155" s="4">
        <x:f t="shared" si="2"/>
        <x:v>9000</x:v>
      </x:c>
      <x:c r="H155" s="3">
        <x:v>378000</x:v>
      </x:c>
      <x:c r="I155" s="2" t="s">
        <x:v>71</x:v>
      </x:c>
    </x:row>
    <x:row r="156">
      <x:c r="A156" s="2" t="s">
        <x:v>60</x:v>
      </x:c>
      <x:c r="B156" s="13">
        <x:v>9330</x:v>
      </x:c>
      <x:c r="C156" s="2">
        <x:v>14504</x:v>
      </x:c>
      <x:c r="D156" s="2" t="s">
        <x:v>9</x:v>
      </x:c>
      <x:c r="E156" s="14">
        <x:v>0</x:v>
      </x:c>
      <x:c r="F156" s="2">
        <x:v>110</x:v>
      </x:c>
      <x:c r="G156" s="4">
        <x:f t="shared" si="2"/>
        <x:v>9000</x:v>
      </x:c>
      <x:c r="H156" s="3">
        <x:v>990000</x:v>
      </x:c>
      <x:c r="I156" s="2" t="s">
        <x:v>71</x:v>
      </x:c>
    </x:row>
    <x:row r="157">
      <x:c r="A157" s="2" t="s">
        <x:v>60</x:v>
      </x:c>
      <x:c r="B157" s="13">
        <x:v>9332</x:v>
      </x:c>
      <x:c r="C157" s="2">
        <x:v>14505</x:v>
      </x:c>
      <x:c r="D157" s="2" t="s">
        <x:v>9</x:v>
      </x:c>
      <x:c r="E157" s="14">
        <x:v>0</x:v>
      </x:c>
      <x:c r="F157" s="2">
        <x:v>97</x:v>
      </x:c>
      <x:c r="G157" s="4">
        <x:f t="shared" si="2"/>
        <x:v>9000</x:v>
      </x:c>
      <x:c r="H157" s="3">
        <x:v>873000</x:v>
      </x:c>
      <x:c r="I157" s="2" t="s">
        <x:v>71</x:v>
      </x:c>
    </x:row>
    <x:row r="158">
      <x:c r="A158" s="2" t="s">
        <x:v>60</x:v>
      </x:c>
      <x:c r="B158" s="13">
        <x:v>9333</x:v>
      </x:c>
      <x:c r="C158" s="2">
        <x:v>14506</x:v>
      </x:c>
      <x:c r="D158" s="2" t="s">
        <x:v>9</x:v>
      </x:c>
      <x:c r="E158" s="14">
        <x:v>0</x:v>
      </x:c>
      <x:c r="F158" s="2">
        <x:v>103</x:v>
      </x:c>
      <x:c r="G158" s="4">
        <x:f t="shared" si="2"/>
        <x:v>9000</x:v>
      </x:c>
      <x:c r="H158" s="3">
        <x:v>927000</x:v>
      </x:c>
      <x:c r="I158" s="2" t="s">
        <x:v>71</x:v>
      </x:c>
    </x:row>
    <x:row r="159">
      <x:c r="A159" s="2" t="s">
        <x:v>60</x:v>
      </x:c>
      <x:c r="B159" s="13">
        <x:v>9334</x:v>
      </x:c>
      <x:c r="C159" s="2">
        <x:v>14507</x:v>
      </x:c>
      <x:c r="D159" s="2" t="s">
        <x:v>9</x:v>
      </x:c>
      <x:c r="E159" s="14">
        <x:v>0</x:v>
      </x:c>
      <x:c r="F159" s="2">
        <x:v>89</x:v>
      </x:c>
      <x:c r="G159" s="4">
        <x:f t="shared" si="2"/>
        <x:v>9000</x:v>
      </x:c>
      <x:c r="H159" s="3">
        <x:v>801000</x:v>
      </x:c>
      <x:c r="I159" s="2" t="s">
        <x:v>71</x:v>
      </x:c>
    </x:row>
    <x:row r="160">
      <x:c r="A160" s="2" t="s">
        <x:v>60</x:v>
      </x:c>
      <x:c r="B160" s="13">
        <x:v>9336</x:v>
      </x:c>
      <x:c r="C160" s="2">
        <x:v>14508</x:v>
      </x:c>
      <x:c r="D160" s="2" t="s">
        <x:v>9</x:v>
      </x:c>
      <x:c r="E160" s="14">
        <x:v>0</x:v>
      </x:c>
      <x:c r="F160" s="2">
        <x:v>79</x:v>
      </x:c>
      <x:c r="G160" s="4">
        <x:f t="shared" si="2"/>
        <x:v>9000</x:v>
      </x:c>
      <x:c r="H160" s="3">
        <x:v>711000</x:v>
      </x:c>
      <x:c r="I160" s="2" t="s">
        <x:v>71</x:v>
      </x:c>
    </x:row>
    <x:row r="161">
      <x:c r="A161" s="2" t="s">
        <x:v>60</x:v>
      </x:c>
      <x:c r="B161" s="13">
        <x:v>9339</x:v>
      </x:c>
      <x:c r="C161" s="2">
        <x:v>14509</x:v>
      </x:c>
      <x:c r="D161" s="2" t="s">
        <x:v>9</x:v>
      </x:c>
      <x:c r="E161" s="14">
        <x:v>31</x:v>
      </x:c>
      <x:c r="F161" s="2">
        <x:v>187</x:v>
      </x:c>
      <x:c r="G161" s="4">
        <x:f t="shared" si="2"/>
        <x:v>9000</x:v>
      </x:c>
      <x:c r="H161" s="3">
        <x:v>1683000</x:v>
      </x:c>
      <x:c r="I161" s="2" t="s">
        <x:v>71</x:v>
      </x:c>
    </x:row>
    <x:row r="162">
      <x:c r="A162" s="2" t="s">
        <x:v>60</x:v>
      </x:c>
      <x:c r="B162" s="13">
        <x:v>9342</x:v>
      </x:c>
      <x:c r="C162" s="2">
        <x:v>14510</x:v>
      </x:c>
      <x:c r="D162" s="2" t="s">
        <x:v>9</x:v>
      </x:c>
      <x:c r="E162" s="14">
        <x:v>17</x:v>
      </x:c>
      <x:c r="F162" s="2">
        <x:v>84</x:v>
      </x:c>
      <x:c r="G162" s="4">
        <x:f t="shared" si="2"/>
        <x:v>9000</x:v>
      </x:c>
      <x:c r="H162" s="3">
        <x:v>756000</x:v>
      </x:c>
      <x:c r="I162" s="2" t="s">
        <x:v>71</x:v>
      </x:c>
    </x:row>
    <x:row r="163">
      <x:c r="A163" s="2" t="s">
        <x:v>60</x:v>
      </x:c>
      <x:c r="B163" s="13">
        <x:v>9343</x:v>
      </x:c>
      <x:c r="C163" s="2">
        <x:v>14511</x:v>
      </x:c>
      <x:c r="D163" s="2" t="s">
        <x:v>9</x:v>
      </x:c>
      <x:c r="E163" s="14">
        <x:v>17</x:v>
      </x:c>
      <x:c r="F163" s="2">
        <x:v>86</x:v>
      </x:c>
      <x:c r="G163" s="4">
        <x:f t="shared" si="2"/>
        <x:v>9000</x:v>
      </x:c>
      <x:c r="H163" s="3">
        <x:v>774000</x:v>
      </x:c>
      <x:c r="I163" s="2" t="s">
        <x:v>71</x:v>
      </x:c>
    </x:row>
    <x:row r="164">
      <x:c r="A164" s="2" t="s">
        <x:v>60</x:v>
      </x:c>
      <x:c r="B164" s="13">
        <x:v>9345</x:v>
      </x:c>
      <x:c r="C164" s="2">
        <x:v>14512</x:v>
      </x:c>
      <x:c r="D164" s="2" t="s">
        <x:v>0</x:v>
      </x:c>
      <x:c r="E164" s="14">
        <x:v>31</x:v>
      </x:c>
      <x:c r="F164" s="2">
        <x:v>163</x:v>
      </x:c>
      <x:c r="G164" s="4">
        <x:f t="shared" si="2"/>
        <x:v>13000</x:v>
      </x:c>
      <x:c r="H164" s="3">
        <x:v>2119000</x:v>
      </x:c>
      <x:c r="I164" s="2" t="s">
        <x:v>71</x:v>
      </x:c>
    </x:row>
    <x:row r="165">
      <x:c r="A165" s="2" t="s">
        <x:v>60</x:v>
      </x:c>
      <x:c r="B165" s="13">
        <x:v>9346</x:v>
      </x:c>
      <x:c r="C165" s="2">
        <x:v>14513</x:v>
      </x:c>
      <x:c r="D165" s="2" t="s">
        <x:v>0</x:v>
      </x:c>
      <x:c r="E165" s="14">
        <x:v>39</x:v>
      </x:c>
      <x:c r="F165" s="2">
        <x:v>177</x:v>
      </x:c>
      <x:c r="G165" s="4">
        <x:f t="shared" si="2"/>
        <x:v>13000</x:v>
      </x:c>
      <x:c r="H165" s="3">
        <x:v>2301000</x:v>
      </x:c>
      <x:c r="I165" s="2" t="s">
        <x:v>71</x:v>
      </x:c>
    </x:row>
    <x:row r="166">
      <x:c r="A166" s="2" t="s">
        <x:v>60</x:v>
      </x:c>
      <x:c r="B166" s="13">
        <x:v>9348</x:v>
      </x:c>
      <x:c r="C166" s="2">
        <x:v>14514</x:v>
      </x:c>
      <x:c r="D166" s="2" t="s">
        <x:v>9</x:v>
      </x:c>
      <x:c r="E166" s="14">
        <x:v>15</x:v>
      </x:c>
      <x:c r="F166" s="2">
        <x:v>80</x:v>
      </x:c>
      <x:c r="G166" s="4">
        <x:f t="shared" si="2"/>
        <x:v>9000</x:v>
      </x:c>
      <x:c r="H166" s="3">
        <x:v>720000</x:v>
      </x:c>
      <x:c r="I166" s="2" t="s">
        <x:v>71</x:v>
      </x:c>
    </x:row>
    <x:row r="167">
      <x:c r="A167" s="2" t="s">
        <x:v>60</x:v>
      </x:c>
      <x:c r="B167" s="13">
        <x:v>9361</x:v>
      </x:c>
      <x:c r="C167" s="2">
        <x:v>14515</x:v>
      </x:c>
      <x:c r="D167" s="2" t="s">
        <x:v>1</x:v>
      </x:c>
      <x:c r="E167" s="14">
        <x:v>23</x:v>
      </x:c>
      <x:c r="F167" s="2">
        <x:v>102</x:v>
      </x:c>
      <x:c r="G167" s="4">
        <x:f t="shared" si="2"/>
        <x:v>10000</x:v>
      </x:c>
      <x:c r="H167" s="3">
        <x:v>1020000</x:v>
      </x:c>
      <x:c r="I167" s="2" t="s">
        <x:v>71</x:v>
      </x:c>
    </x:row>
    <x:row r="168">
      <x:c r="A168" s="2" t="s">
        <x:v>60</x:v>
      </x:c>
      <x:c r="B168" s="13">
        <x:v>9364</x:v>
      </x:c>
      <x:c r="C168" s="2">
        <x:v>14516</x:v>
      </x:c>
      <x:c r="D168" s="2" t="s">
        <x:v>0</x:v>
      </x:c>
      <x:c r="E168" s="14">
        <x:v>16</x:v>
      </x:c>
      <x:c r="F168" s="2">
        <x:v>95</x:v>
      </x:c>
      <x:c r="G168" s="4">
        <x:f t="shared" si="2"/>
        <x:v>13000</x:v>
      </x:c>
      <x:c r="H168" s="3">
        <x:v>1235000</x:v>
      </x:c>
      <x:c r="I168" s="2" t="s">
        <x:v>71</x:v>
      </x:c>
    </x:row>
    <x:row r="169">
      <x:c r="A169" s="2" t="s">
        <x:v>60</x:v>
      </x:c>
      <x:c r="B169" s="13">
        <x:v>9365</x:v>
      </x:c>
      <x:c r="C169" s="2">
        <x:v>14517</x:v>
      </x:c>
      <x:c r="D169" s="2" t="s">
        <x:v>9</x:v>
      </x:c>
      <x:c r="E169" s="14">
        <x:v>29</x:v>
      </x:c>
      <x:c r="F169" s="2">
        <x:v>178</x:v>
      </x:c>
      <x:c r="G169" s="4">
        <x:f t="shared" si="2"/>
        <x:v>9000</x:v>
      </x:c>
      <x:c r="H169" s="3">
        <x:v>1602000</x:v>
      </x:c>
      <x:c r="I169" s="2" t="s">
        <x:v>71</x:v>
      </x:c>
    </x:row>
    <x:row r="170">
      <x:c r="A170" s="2" t="s">
        <x:v>60</x:v>
      </x:c>
      <x:c r="B170" s="13">
        <x:v>9366</x:v>
      </x:c>
      <x:c r="C170" s="2">
        <x:v>14518</x:v>
      </x:c>
      <x:c r="D170" s="2" t="s">
        <x:v>9</x:v>
      </x:c>
      <x:c r="E170" s="14">
        <x:v>27</x:v>
      </x:c>
      <x:c r="F170" s="2">
        <x:v>179</x:v>
      </x:c>
      <x:c r="G170" s="4">
        <x:f t="shared" si="2"/>
        <x:v>9000</x:v>
      </x:c>
      <x:c r="H170" s="3">
        <x:v>1611000</x:v>
      </x:c>
      <x:c r="I170" s="2" t="s">
        <x:v>71</x:v>
      </x:c>
    </x:row>
    <x:row r="171">
      <x:c r="A171" s="2" t="s">
        <x:v>60</x:v>
      </x:c>
      <x:c r="B171" s="13">
        <x:v>9384</x:v>
      </x:c>
      <x:c r="C171" s="2">
        <x:v>14519</x:v>
      </x:c>
      <x:c r="D171" s="2" t="s">
        <x:v>9</x:v>
      </x:c>
      <x:c r="E171" s="14">
        <x:v>29</x:v>
      </x:c>
      <x:c r="F171" s="2">
        <x:v>184</x:v>
      </x:c>
      <x:c r="G171" s="4">
        <x:f t="shared" si="2"/>
        <x:v>9000</x:v>
      </x:c>
      <x:c r="H171" s="3">
        <x:v>1656000</x:v>
      </x:c>
      <x:c r="I171" s="2" t="s">
        <x:v>71</x:v>
      </x:c>
    </x:row>
    <x:row r="172">
      <x:c r="A172" s="2" t="s">
        <x:v>60</x:v>
      </x:c>
      <x:c r="B172" s="13">
        <x:v>9389</x:v>
      </x:c>
      <x:c r="C172" s="2">
        <x:v>14520</x:v>
      </x:c>
      <x:c r="D172" s="2" t="s">
        <x:v>9</x:v>
      </x:c>
      <x:c r="E172" s="14">
        <x:v>18</x:v>
      </x:c>
      <x:c r="F172" s="2">
        <x:v>89</x:v>
      </x:c>
      <x:c r="G172" s="4">
        <x:f t="shared" si="2"/>
        <x:v>9000</x:v>
      </x:c>
      <x:c r="H172" s="3">
        <x:v>801000</x:v>
      </x:c>
      <x:c r="I172" s="2" t="s">
        <x:v>71</x:v>
      </x:c>
    </x:row>
    <x:row r="173">
      <x:c r="A173" s="2" t="s">
        <x:v>60</x:v>
      </x:c>
      <x:c r="B173" s="13">
        <x:v>9392</x:v>
      </x:c>
      <x:c r="C173" s="2">
        <x:v>14521</x:v>
      </x:c>
      <x:c r="D173" s="2" t="s">
        <x:v>9</x:v>
      </x:c>
      <x:c r="E173" s="14">
        <x:v>28</x:v>
      </x:c>
      <x:c r="F173" s="2">
        <x:v>182</x:v>
      </x:c>
      <x:c r="G173" s="4">
        <x:f t="shared" si="2"/>
        <x:v>9000</x:v>
      </x:c>
      <x:c r="H173" s="3">
        <x:v>1638000</x:v>
      </x:c>
      <x:c r="I173" s="2" t="s">
        <x:v>71</x:v>
      </x:c>
    </x:row>
    <x:row r="174">
      <x:c r="A174" s="2" t="s">
        <x:v>60</x:v>
      </x:c>
      <x:c r="B174" s="13">
        <x:v>9411</x:v>
      </x:c>
      <x:c r="C174" s="2">
        <x:v>14522</x:v>
      </x:c>
      <x:c r="D174" s="2" t="s">
        <x:v>9</x:v>
      </x:c>
      <x:c r="E174" s="14">
        <x:v>31</x:v>
      </x:c>
      <x:c r="F174" s="2">
        <x:v>182</x:v>
      </x:c>
      <x:c r="G174" s="4">
        <x:f t="shared" si="2"/>
        <x:v>9000</x:v>
      </x:c>
      <x:c r="H174" s="3">
        <x:v>1638000</x:v>
      </x:c>
      <x:c r="I174" s="2" t="s">
        <x:v>71</x:v>
      </x:c>
    </x:row>
    <x:row r="175">
      <x:c r="A175" s="2" t="s">
        <x:v>60</x:v>
      </x:c>
      <x:c r="B175" s="13">
        <x:v>9419</x:v>
      </x:c>
      <x:c r="C175" s="2">
        <x:v>14523</x:v>
      </x:c>
      <x:c r="D175" s="2" t="s">
        <x:v>9</x:v>
      </x:c>
      <x:c r="E175" s="14">
        <x:v>0</x:v>
      </x:c>
      <x:c r="F175" s="2">
        <x:v>80</x:v>
      </x:c>
      <x:c r="G175" s="4">
        <x:f t="shared" si="2"/>
        <x:v>9000</x:v>
      </x:c>
      <x:c r="H175" s="3">
        <x:v>720000</x:v>
      </x:c>
      <x:c r="I175" s="2" t="s">
        <x:v>71</x:v>
      </x:c>
    </x:row>
    <x:row r="176">
      <x:c r="A176" s="2" t="s">
        <x:v>60</x:v>
      </x:c>
      <x:c r="B176" s="13">
        <x:v>9455</x:v>
      </x:c>
      <x:c r="C176" s="2">
        <x:v>14524</x:v>
      </x:c>
      <x:c r="D176" s="2" t="s">
        <x:v>9</x:v>
      </x:c>
      <x:c r="E176" s="14">
        <x:v>25</x:v>
      </x:c>
      <x:c r="F176" s="2">
        <x:v>90</x:v>
      </x:c>
      <x:c r="G176" s="4">
        <x:f t="shared" si="2"/>
        <x:v>9000</x:v>
      </x:c>
      <x:c r="H176" s="3">
        <x:v>810000</x:v>
      </x:c>
      <x:c r="I176" s="2" t="s">
        <x:v>71</x:v>
      </x:c>
    </x:row>
    <x:row r="177">
      <x:c r="A177" s="2" t="s">
        <x:v>60</x:v>
      </x:c>
      <x:c r="B177" s="13">
        <x:v>9471</x:v>
      </x:c>
      <x:c r="C177" s="2">
        <x:v>14525</x:v>
      </x:c>
      <x:c r="D177" s="2" t="s">
        <x:v>9</x:v>
      </x:c>
      <x:c r="E177" s="14">
        <x:v>0</x:v>
      </x:c>
      <x:c r="F177" s="2">
        <x:v>91</x:v>
      </x:c>
      <x:c r="G177" s="4">
        <x:f t="shared" si="2"/>
        <x:v>9000</x:v>
      </x:c>
      <x:c r="H177" s="3">
        <x:v>819000</x:v>
      </x:c>
      <x:c r="I177" s="2" t="s">
        <x:v>71</x:v>
      </x:c>
    </x:row>
    <x:row r="178">
      <x:c r="A178" s="2" t="s">
        <x:v>60</x:v>
      </x:c>
      <x:c r="B178" s="13">
        <x:v>9499</x:v>
      </x:c>
      <x:c r="C178" s="2">
        <x:v>14526</x:v>
      </x:c>
      <x:c r="D178" s="2" t="s">
        <x:v>9</x:v>
      </x:c>
      <x:c r="E178" s="14">
        <x:v>0</x:v>
      </x:c>
      <x:c r="F178" s="2">
        <x:v>100</x:v>
      </x:c>
      <x:c r="G178" s="4">
        <x:f t="shared" si="2"/>
        <x:v>9000</x:v>
      </x:c>
      <x:c r="H178" s="3">
        <x:v>900000</x:v>
      </x:c>
      <x:c r="I178" s="2" t="s">
        <x:v>71</x:v>
      </x:c>
    </x:row>
    <x:row r="179">
      <x:c r="A179" s="2" t="s">
        <x:v>60</x:v>
      </x:c>
      <x:c r="B179" s="13">
        <x:v>9507</x:v>
      </x:c>
      <x:c r="C179" s="2">
        <x:v>14527</x:v>
      </x:c>
      <x:c r="D179" s="2" t="s">
        <x:v>9</x:v>
      </x:c>
      <x:c r="E179" s="14">
        <x:v>0</x:v>
      </x:c>
      <x:c r="F179" s="2">
        <x:v>78</x:v>
      </x:c>
      <x:c r="G179" s="4">
        <x:f t="shared" si="2"/>
        <x:v>9000</x:v>
      </x:c>
      <x:c r="H179" s="3">
        <x:v>702000</x:v>
      </x:c>
      <x:c r="I179" s="2" t="s">
        <x:v>71</x:v>
      </x:c>
    </x:row>
    <x:row r="180">
      <x:c r="A180" s="2" t="s">
        <x:v>60</x:v>
      </x:c>
      <x:c r="B180" s="13">
        <x:v>9544</x:v>
      </x:c>
      <x:c r="C180" s="2">
        <x:v>14528</x:v>
      </x:c>
      <x:c r="D180" s="2" t="s">
        <x:v>9</x:v>
      </x:c>
      <x:c r="E180" s="14">
        <x:v>23</x:v>
      </x:c>
      <x:c r="F180" s="2">
        <x:v>98</x:v>
      </x:c>
      <x:c r="G180" s="4">
        <x:f t="shared" si="2"/>
        <x:v>9000</x:v>
      </x:c>
      <x:c r="H180" s="3">
        <x:v>882000</x:v>
      </x:c>
      <x:c r="I180" s="2" t="s">
        <x:v>71</x:v>
      </x:c>
    </x:row>
    <x:row r="181">
      <x:c r="A181" s="2" t="s">
        <x:v>60</x:v>
      </x:c>
      <x:c r="B181" s="13">
        <x:v>9561</x:v>
      </x:c>
      <x:c r="C181" s="2">
        <x:v>14529</x:v>
      </x:c>
      <x:c r="D181" s="2" t="s">
        <x:v>9</x:v>
      </x:c>
      <x:c r="E181" s="14">
        <x:v>19</x:v>
      </x:c>
      <x:c r="F181" s="2">
        <x:v>98</x:v>
      </x:c>
      <x:c r="G181" s="4">
        <x:f t="shared" si="2"/>
        <x:v>9000</x:v>
      </x:c>
      <x:c r="H181" s="3">
        <x:v>882000</x:v>
      </x:c>
      <x:c r="I181" s="2" t="s">
        <x:v>71</x:v>
      </x:c>
    </x:row>
    <x:row r="182">
      <x:c r="A182" s="2" t="s">
        <x:v>60</x:v>
      </x:c>
      <x:c r="B182" s="13">
        <x:v>9564</x:v>
      </x:c>
      <x:c r="C182" s="2">
        <x:v>14530</x:v>
      </x:c>
      <x:c r="D182" s="2" t="s">
        <x:v>8</x:v>
      </x:c>
      <x:c r="E182" s="14">
        <x:v>0</x:v>
      </x:c>
      <x:c r="F182" s="2">
        <x:v>62</x:v>
      </x:c>
      <x:c r="G182" s="4">
        <x:f t="shared" si="2"/>
        <x:v>4000</x:v>
      </x:c>
      <x:c r="H182" s="3">
        <x:v>248000</x:v>
      </x:c>
      <x:c r="I182" s="2" t="s">
        <x:v>71</x:v>
      </x:c>
    </x:row>
    <x:row r="183">
      <x:c r="A183" s="2" t="s">
        <x:v>60</x:v>
      </x:c>
      <x:c r="B183" s="13">
        <x:v>9566</x:v>
      </x:c>
      <x:c r="C183" s="2">
        <x:v>14531</x:v>
      </x:c>
      <x:c r="D183" s="2" t="s">
        <x:v>7</x:v>
      </x:c>
      <x:c r="E183" s="14">
        <x:v>0</x:v>
      </x:c>
      <x:c r="F183" s="2">
        <x:v>74</x:v>
      </x:c>
      <x:c r="G183" s="4">
        <x:f t="shared" si="2"/>
        <x:v>0</x:v>
      </x:c>
      <x:c r="H183" s="3">
        <x:v>0</x:v>
      </x:c>
      <x:c r="I183" s="2" t="s">
        <x:v>71</x:v>
      </x:c>
    </x:row>
    <x:row r="184">
      <x:c r="A184" s="2" t="s">
        <x:v>60</x:v>
      </x:c>
      <x:c r="B184" s="13">
        <x:v>9567</x:v>
      </x:c>
      <x:c r="C184" s="2">
        <x:v>14532</x:v>
      </x:c>
      <x:c r="D184" s="2" t="s">
        <x:v>7</x:v>
      </x:c>
      <x:c r="E184" s="14">
        <x:v>0</x:v>
      </x:c>
      <x:c r="F184" s="2">
        <x:v>62</x:v>
      </x:c>
      <x:c r="G184" s="4">
        <x:f t="shared" si="2"/>
        <x:v>0</x:v>
      </x:c>
      <x:c r="H184" s="3">
        <x:v>0</x:v>
      </x:c>
      <x:c r="I184" s="2" t="s">
        <x:v>71</x:v>
      </x:c>
    </x:row>
    <x:row r="185">
      <x:c r="A185" s="2" t="s">
        <x:v>60</x:v>
      </x:c>
      <x:c r="B185" s="13">
        <x:v>9568</x:v>
      </x:c>
      <x:c r="C185" s="2">
        <x:v>14533</x:v>
      </x:c>
      <x:c r="D185" s="2" t="s">
        <x:v>9</x:v>
      </x:c>
      <x:c r="E185" s="14">
        <x:v>0</x:v>
      </x:c>
      <x:c r="F185" s="2">
        <x:v>115</x:v>
      </x:c>
      <x:c r="G185" s="4">
        <x:f t="shared" si="2"/>
        <x:v>9000</x:v>
      </x:c>
      <x:c r="H185" s="3">
        <x:v>1035000</x:v>
      </x:c>
      <x:c r="I185" s="2" t="s">
        <x:v>71</x:v>
      </x:c>
    </x:row>
    <x:row r="186">
      <x:c r="A186" s="2" t="s">
        <x:v>60</x:v>
      </x:c>
      <x:c r="B186" s="13">
        <x:v>9570</x:v>
      </x:c>
      <x:c r="C186" s="2">
        <x:v>14534</x:v>
      </x:c>
      <x:c r="D186" s="2" t="s">
        <x:v>8</x:v>
      </x:c>
      <x:c r="E186" s="14">
        <x:v>0</x:v>
      </x:c>
      <x:c r="F186" s="2">
        <x:v>59</x:v>
      </x:c>
      <x:c r="G186" s="4">
        <x:f t="shared" si="2"/>
        <x:v>4000</x:v>
      </x:c>
      <x:c r="H186" s="3">
        <x:v>236000</x:v>
      </x:c>
      <x:c r="I186" s="2" t="s">
        <x:v>71</x:v>
      </x:c>
    </x:row>
    <x:row r="187">
      <x:c r="A187" s="2" t="s">
        <x:v>60</x:v>
      </x:c>
      <x:c r="B187" s="13">
        <x:v>9572</x:v>
      </x:c>
      <x:c r="C187" s="2">
        <x:v>14535</x:v>
      </x:c>
      <x:c r="D187" s="2" t="s">
        <x:v>8</x:v>
      </x:c>
      <x:c r="E187" s="14">
        <x:v>0</x:v>
      </x:c>
      <x:c r="F187" s="2">
        <x:v>59</x:v>
      </x:c>
      <x:c r="G187" s="4">
        <x:f t="shared" si="2"/>
        <x:v>4000</x:v>
      </x:c>
      <x:c r="H187" s="3">
        <x:v>236000</x:v>
      </x:c>
      <x:c r="I187" s="2" t="s">
        <x:v>71</x:v>
      </x:c>
    </x:row>
    <x:row r="188">
      <x:c r="A188" s="2" t="s">
        <x:v>60</x:v>
      </x:c>
      <x:c r="B188" s="13">
        <x:v>9575</x:v>
      </x:c>
      <x:c r="C188" s="2">
        <x:v>14536</x:v>
      </x:c>
      <x:c r="D188" s="2" t="s">
        <x:v>8</x:v>
      </x:c>
      <x:c r="E188" s="14">
        <x:v>0</x:v>
      </x:c>
      <x:c r="F188" s="2">
        <x:v>34</x:v>
      </x:c>
      <x:c r="G188" s="4">
        <x:f t="shared" si="2"/>
        <x:v>4000</x:v>
      </x:c>
      <x:c r="H188" s="3">
        <x:v>136000</x:v>
      </x:c>
      <x:c r="I188" s="2" t="s">
        <x:v>71</x:v>
      </x:c>
    </x:row>
    <x:row r="189">
      <x:c r="A189" s="2" t="s">
        <x:v>60</x:v>
      </x:c>
      <x:c r="B189" s="13">
        <x:v>9578</x:v>
      </x:c>
      <x:c r="C189" s="2">
        <x:v>14537</x:v>
      </x:c>
      <x:c r="D189" s="2" t="s">
        <x:v>8</x:v>
      </x:c>
      <x:c r="E189" s="14">
        <x:v>0</x:v>
      </x:c>
      <x:c r="F189" s="2">
        <x:v>59</x:v>
      </x:c>
      <x:c r="G189" s="4">
        <x:f t="shared" si="2"/>
        <x:v>4000</x:v>
      </x:c>
      <x:c r="H189" s="3">
        <x:v>236000</x:v>
      </x:c>
      <x:c r="I189" s="2" t="s">
        <x:v>71</x:v>
      </x:c>
    </x:row>
    <x:row r="190">
      <x:c r="A190" s="2" t="s">
        <x:v>60</x:v>
      </x:c>
      <x:c r="B190" s="13">
        <x:v>9581</x:v>
      </x:c>
      <x:c r="C190" s="2">
        <x:v>14538</x:v>
      </x:c>
      <x:c r="D190" s="2" t="s">
        <x:v>1</x:v>
      </x:c>
      <x:c r="E190" s="14">
        <x:v>115</x:v>
      </x:c>
      <x:c r="F190" s="2">
        <x:v>405</x:v>
      </x:c>
      <x:c r="G190" s="4">
        <x:f t="shared" si="2"/>
        <x:v>10000</x:v>
      </x:c>
      <x:c r="H190" s="3">
        <x:v>4050000</x:v>
      </x:c>
      <x:c r="I190" s="2" t="s">
        <x:v>71</x:v>
      </x:c>
    </x:row>
    <x:row r="191">
      <x:c r="A191" s="2" t="s">
        <x:v>60</x:v>
      </x:c>
      <x:c r="B191" s="13">
        <x:v>9589</x:v>
      </x:c>
      <x:c r="C191" s="2">
        <x:v>14539</x:v>
      </x:c>
      <x:c r="D191" s="2" t="s">
        <x:v>9</x:v>
      </x:c>
      <x:c r="E191" s="14">
        <x:v>102</x:v>
      </x:c>
      <x:c r="F191" s="2">
        <x:v>364</x:v>
      </x:c>
      <x:c r="G191" s="4">
        <x:f t="shared" si="2"/>
        <x:v>9000</x:v>
      </x:c>
      <x:c r="H191" s="3">
        <x:v>3276000</x:v>
      </x:c>
      <x:c r="I191" s="2" t="s">
        <x:v>71</x:v>
      </x:c>
    </x:row>
    <x:row r="192">
      <x:c r="A192" s="2" t="s">
        <x:v>60</x:v>
      </x:c>
      <x:c r="B192" s="13">
        <x:v>9591</x:v>
      </x:c>
      <x:c r="C192" s="2">
        <x:v>14540</x:v>
      </x:c>
      <x:c r="D192" s="2" t="s">
        <x:v>7</x:v>
      </x:c>
      <x:c r="E192" s="14">
        <x:v>0</x:v>
      </x:c>
      <x:c r="F192" s="2">
        <x:v>424</x:v>
      </x:c>
      <x:c r="G192" s="4">
        <x:f t="shared" si="2"/>
        <x:v>0</x:v>
      </x:c>
      <x:c r="H192" s="3">
        <x:v>0</x:v>
      </x:c>
      <x:c r="I192" s="2" t="s">
        <x:v>71</x:v>
      </x:c>
    </x:row>
    <x:row r="193">
      <x:c r="A193" s="2" t="s">
        <x:v>60</x:v>
      </x:c>
      <x:c r="B193" s="13">
        <x:v>9604</x:v>
      </x:c>
      <x:c r="C193" s="2">
        <x:v>14541</x:v>
      </x:c>
      <x:c r="D193" s="2" t="s">
        <x:v>1</x:v>
      </x:c>
      <x:c r="E193" s="14">
        <x:v>51</x:v>
      </x:c>
      <x:c r="F193" s="2">
        <x:v>199</x:v>
      </x:c>
      <x:c r="G193" s="4">
        <x:f t="shared" si="2"/>
        <x:v>10000</x:v>
      </x:c>
      <x:c r="H193" s="3">
        <x:v>1990000</x:v>
      </x:c>
      <x:c r="I193" s="2" t="s">
        <x:v>71</x:v>
      </x:c>
    </x:row>
    <x:row r="194">
      <x:c r="A194" s="2" t="s">
        <x:v>60</x:v>
      </x:c>
      <x:c r="B194" s="13">
        <x:v>10259</x:v>
      </x:c>
      <x:c r="C194" s="2">
        <x:v>14542</x:v>
      </x:c>
      <x:c r="D194" s="2" t="s">
        <x:v>2</x:v>
      </x:c>
      <x:c r="E194" s="14">
        <x:v>51</x:v>
      </x:c>
      <x:c r="F194" s="2">
        <x:v>219</x:v>
      </x:c>
      <x:c r="G194" s="4">
        <x:f t="shared" si="2"/>
        <x:v>11500</x:v>
      </x:c>
      <x:c r="H194" s="3">
        <x:v>2518500</x:v>
      </x:c>
      <x:c r="I194" s="2" t="s">
        <x:v>71</x:v>
      </x:c>
    </x:row>
    <x:row r="195">
      <x:c r="A195" s="2" t="s">
        <x:v>60</x:v>
      </x:c>
      <x:c r="B195" s="13">
        <x:v>10460</x:v>
      </x:c>
      <x:c r="C195" s="2">
        <x:v>14543</x:v>
      </x:c>
      <x:c r="D195" s="2" t="s">
        <x:v>8</x:v>
      </x:c>
      <x:c r="E195" s="14">
        <x:v>0</x:v>
      </x:c>
      <x:c r="F195" s="2">
        <x:v>112</x:v>
      </x:c>
      <x:c r="G195" s="4" t="n">
        <x:f t="shared" ref="G195:G225" si="3">H195/F195</x:f>
        <x:v>10138.178659324109</x:v>
      </x:c>
      <x:c r="H195" s="3">
        <x:v>1135476.0098443001</x:v>
      </x:c>
      <x:c r="I195" s="2" t="s">
        <x:v>71</x:v>
      </x:c>
    </x:row>
    <x:row r="196">
      <x:c r="A196" s="2" t="s">
        <x:v>60</x:v>
      </x:c>
      <x:c r="B196" s="13">
        <x:v>10461</x:v>
      </x:c>
      <x:c r="C196" s="2">
        <x:v>14544</x:v>
      </x:c>
      <x:c r="D196" s="2" t="s">
        <x:v>7</x:v>
      </x:c>
      <x:c r="E196" s="14">
        <x:v>0</x:v>
      </x:c>
      <x:c r="F196" s="2">
        <x:v>74</x:v>
      </x:c>
      <x:c r="G196" s="4">
        <x:f t="shared" si="3"/>
        <x:v>12728.258937779459</x:v>
      </x:c>
      <x:c r="H196" s="3">
        <x:v>941891.16139568004</x:v>
      </x:c>
      <x:c r="I196" s="2" t="s">
        <x:v>71</x:v>
      </x:c>
    </x:row>
    <x:row r="197">
      <x:c r="A197" s="2" t="s">
        <x:v>60</x:v>
      </x:c>
      <x:c r="B197" s="13">
        <x:v>10462</x:v>
      </x:c>
      <x:c r="C197" s="2">
        <x:v>14545</x:v>
      </x:c>
      <x:c r="D197" s="2" t="s">
        <x:v>7</x:v>
      </x:c>
      <x:c r="E197" s="14">
        <x:v>0</x:v>
      </x:c>
      <x:c r="F197" s="2">
        <x:v>94</x:v>
      </x:c>
      <x:c r="G197" s="4">
        <x:f t="shared" si="3"/>
        <x:v>10339.267674422128</x:v>
      </x:c>
      <x:c r="H197" s="3">
        <x:v>971891.16139568004</x:v>
      </x:c>
      <x:c r="I197" s="2" t="s">
        <x:v>71</x:v>
      </x:c>
    </x:row>
    <x:row r="198">
      <x:c r="A198" s="2" t="s">
        <x:v>60</x:v>
      </x:c>
      <x:c r="B198" s="13">
        <x:v>10466</x:v>
      </x:c>
      <x:c r="C198" s="2">
        <x:v>14546</x:v>
      </x:c>
      <x:c r="D198" s="2" t="s">
        <x:v>8</x:v>
      </x:c>
      <x:c r="E198" s="14">
        <x:v>0</x:v>
      </x:c>
      <x:c r="F198" s="2">
        <x:v>104</x:v>
      </x:c>
      <x:c r="G198" s="4">
        <x:f t="shared" si="3"/>
        <x:v>10857.375434579806</x:v>
      </x:c>
      <x:c r="H198" s="3">
        <x:v>1129167.0451962999</x:v>
      </x:c>
      <x:c r="I198" s="2" t="s">
        <x:v>71</x:v>
      </x:c>
    </x:row>
    <x:row r="199">
      <x:c r="A199" s="2" t="s">
        <x:v>60</x:v>
      </x:c>
      <x:c r="B199" s="13">
        <x:v>10467</x:v>
      </x:c>
      <x:c r="C199" s="2">
        <x:v>14547</x:v>
      </x:c>
      <x:c r="D199" s="2" t="s">
        <x:v>7</x:v>
      </x:c>
      <x:c r="E199" s="14">
        <x:v>0</x:v>
      </x:c>
      <x:c r="F199" s="2">
        <x:v>70</x:v>
      </x:c>
      <x:c r="G199" s="4">
        <x:f t="shared" si="3"/>
        <x:v>13369.873734224</x:v>
      </x:c>
      <x:c r="H199" s="3">
        <x:v>935891.16139568004</x:v>
      </x:c>
      <x:c r="I199" s="2" t="s">
        <x:v>71</x:v>
      </x:c>
    </x:row>
    <x:row r="200">
      <x:c r="A200" s="2" t="s">
        <x:v>60</x:v>
      </x:c>
      <x:c r="B200" s="13">
        <x:v>10468</x:v>
      </x:c>
      <x:c r="C200" s="2">
        <x:v>14548</x:v>
      </x:c>
      <x:c r="D200" s="2" t="s">
        <x:v>7</x:v>
      </x:c>
      <x:c r="E200" s="14">
        <x:v>0</x:v>
      </x:c>
      <x:c r="F200" s="2">
        <x:v>102</x:v>
      </x:c>
      <x:c r="G200" s="4">
        <x:f t="shared" si="3"/>
        <x:v>9645.9917783890196</x:v>
      </x:c>
      <x:c r="H200" s="3">
        <x:v>983891.16139568004</x:v>
      </x:c>
      <x:c r="I200" s="2" t="s">
        <x:v>71</x:v>
      </x:c>
    </x:row>
    <x:row r="201">
      <x:c r="A201" s="2" t="s">
        <x:v>60</x:v>
      </x:c>
      <x:c r="B201" s="13">
        <x:v>10472</x:v>
      </x:c>
      <x:c r="C201" s="2">
        <x:v>14549</x:v>
      </x:c>
      <x:c r="D201" s="2" t="s">
        <x:v>8</x:v>
      </x:c>
      <x:c r="E201" s="14">
        <x:v>0</x:v>
      </x:c>
      <x:c r="F201" s="2">
        <x:v>57</x:v>
      </x:c>
      <x:c r="G201" s="4">
        <x:f t="shared" si="3"/>
        <x:v>9986.6316653007016</x:v>
      </x:c>
      <x:c r="H201" s="3">
        <x:v>569238.00492214004</x:v>
      </x:c>
      <x:c r="I201" s="2" t="s">
        <x:v>71</x:v>
      </x:c>
    </x:row>
    <x:row r="202">
      <x:c r="A202" s="2" t="s">
        <x:v>60</x:v>
      </x:c>
      <x:c r="B202" s="13">
        <x:v>10473</x:v>
      </x:c>
      <x:c r="C202" s="2">
        <x:v>14550</x:v>
      </x:c>
      <x:c r="D202" s="2" t="s">
        <x:v>8</x:v>
      </x:c>
      <x:c r="E202" s="14">
        <x:v>0</x:v>
      </x:c>
      <x:c r="F202" s="2">
        <x:v>51</x:v>
      </x:c>
      <x:c r="G202" s="4">
        <x:f t="shared" si="3"/>
        <x:v>10985.058920041962</x:v>
      </x:c>
      <x:c r="H202" s="3">
        <x:v>560238.00492214004</x:v>
      </x:c>
      <x:c r="I202" s="2" t="s">
        <x:v>71</x:v>
      </x:c>
    </x:row>
    <x:row r="203">
      <x:c r="A203" s="2" t="s">
        <x:v>60</x:v>
      </x:c>
      <x:c r="B203" s="13">
        <x:v>10474</x:v>
      </x:c>
      <x:c r="C203" s="2">
        <x:v>14551</x:v>
      </x:c>
      <x:c r="D203" s="2" t="s">
        <x:v>7</x:v>
      </x:c>
      <x:c r="E203" s="14">
        <x:v>0</x:v>
      </x:c>
      <x:c r="F203" s="2">
        <x:v>74</x:v>
      </x:c>
      <x:c r="G203" s="4">
        <x:f t="shared" si="3"/>
        <x:v>12728.258937779459</x:v>
      </x:c>
      <x:c r="H203" s="3">
        <x:v>941891.16139568004</x:v>
      </x:c>
      <x:c r="I203" s="2" t="s">
        <x:v>71</x:v>
      </x:c>
    </x:row>
    <x:row r="204">
      <x:c r="A204" s="2" t="s">
        <x:v>60</x:v>
      </x:c>
      <x:c r="B204" s="13">
        <x:v>10567</x:v>
      </x:c>
      <x:c r="C204" s="2">
        <x:v>14552</x:v>
      </x:c>
      <x:c r="D204" s="2" t="s">
        <x:v>5</x:v>
      </x:c>
      <x:c r="E204" s="14">
        <x:v>0</x:v>
      </x:c>
      <x:c r="F204" s="2">
        <x:v>63</x:v>
      </x:c>
      <x:c r="G204" s="4">
        <x:f t="shared" si="3"/>
        <x:v>11256.060603471746</x:v>
      </x:c>
      <x:c r="H204" s="3">
        <x:v>709131.81801872002</x:v>
      </x:c>
      <x:c r="I204" s="2" t="s">
        <x:v>71</x:v>
      </x:c>
    </x:row>
    <x:row r="205">
      <x:c r="A205" s="2" t="s">
        <x:v>60</x:v>
      </x:c>
      <x:c r="B205" s="13">
        <x:v>10569</x:v>
      </x:c>
      <x:c r="C205" s="2">
        <x:v>14553</x:v>
      </x:c>
      <x:c r="D205" s="2" t="s">
        <x:v>5</x:v>
      </x:c>
      <x:c r="E205" s="14">
        <x:v>0</x:v>
      </x:c>
      <x:c r="F205" s="2">
        <x:v>70</x:v>
      </x:c>
      <x:c r="G205" s="4">
        <x:f t="shared" si="3"/>
        <x:v>10199.154038095714</x:v>
      </x:c>
      <x:c r="H205" s="3">
        <x:v>713940.78266669996</x:v>
      </x:c>
      <x:c r="I205" s="2" t="s">
        <x:v>71</x:v>
      </x:c>
    </x:row>
    <x:row r="206">
      <x:c r="A206" s="2" t="s">
        <x:v>60</x:v>
      </x:c>
      <x:c r="B206" s="13">
        <x:v>10747</x:v>
      </x:c>
      <x:c r="C206" s="2">
        <x:v>14554</x:v>
      </x:c>
      <x:c r="D206" s="2" t="s">
        <x:v>7</x:v>
      </x:c>
      <x:c r="E206" s="14">
        <x:v>0</x:v>
      </x:c>
      <x:c r="F206" s="2">
        <x:v>78</x:v>
      </x:c>
      <x:c r="G206" s="4">
        <x:f t="shared" si="3"/>
        <x:v>12809.108712357822</x:v>
      </x:c>
      <x:c r="H206" s="3">
        <x:v>999110.47956391005</x:v>
      </x:c>
      <x:c r="I206" s="2" t="s">
        <x:v>71</x:v>
      </x:c>
    </x:row>
    <x:row r="207">
      <x:c r="A207" s="2" t="s">
        <x:v>60</x:v>
      </x:c>
      <x:c r="B207" s="13">
        <x:v>10748</x:v>
      </x:c>
      <x:c r="C207" s="2">
        <x:v>14555</x:v>
      </x:c>
      <x:c r="D207" s="2" t="s">
        <x:v>7</x:v>
      </x:c>
      <x:c r="E207" s="14">
        <x:v>0</x:v>
      </x:c>
      <x:c r="F207" s="2">
        <x:v>90</x:v>
      </x:c>
      <x:c r="G207" s="4">
        <x:f t="shared" si="3"/>
        <x:v>11301.22755071</x:v>
      </x:c>
      <x:c r="H207" s="3">
        <x:v>1017110.4795639</x:v>
      </x:c>
      <x:c r="I207" s="2" t="s">
        <x:v>71</x:v>
      </x:c>
    </x:row>
    <x:row r="208">
      <x:c r="A208" s="2" t="s">
        <x:v>60</x:v>
      </x:c>
      <x:c r="B208" s="13">
        <x:v>10868</x:v>
      </x:c>
      <x:c r="C208" s="2">
        <x:v>14556</x:v>
      </x:c>
      <x:c r="D208" s="2" t="s">
        <x:v>33</x:v>
      </x:c>
      <x:c r="E208" s="14">
        <x:v>40</x:v>
      </x:c>
      <x:c r="F208" s="2">
        <x:v>189</x:v>
      </x:c>
      <x:c r="G208" s="4">
        <x:f t="shared" si="3"/>
        <x:v>8814.0131454285711</x:v>
      </x:c>
      <x:c r="H208" s="3">
        <x:v>1665848.4844859999</x:v>
      </x:c>
      <x:c r="I208" s="2" t="s">
        <x:v>71</x:v>
      </x:c>
    </x:row>
    <x:row r="209">
      <x:c r="A209" s="2" t="s">
        <x:v>60</x:v>
      </x:c>
      <x:c r="B209" s="13">
        <x:v>10882</x:v>
      </x:c>
      <x:c r="C209" s="2">
        <x:v>14557</x:v>
      </x:c>
      <x:c r="D209" s="2" t="s">
        <x:v>39</x:v>
      </x:c>
      <x:c r="E209" s="14">
        <x:v>37</x:v>
      </x:c>
      <x:c r="F209" s="2">
        <x:v>192</x:v>
      </x:c>
      <x:c r="G209" s="4">
        <x:f t="shared" si="3"/>
        <x:v>8676.2941900312489</x:v>
      </x:c>
      <x:c r="H209" s="3">
        <x:v>1665848.4844859999</x:v>
      </x:c>
      <x:c r="I209" s="2" t="s">
        <x:v>71</x:v>
      </x:c>
    </x:row>
    <x:row r="210">
      <x:c r="A210" s="2" t="s">
        <x:v>60</x:v>
      </x:c>
      <x:c r="B210" s="13">
        <x:v>10923</x:v>
      </x:c>
      <x:c r="C210" s="2">
        <x:v>14558</x:v>
      </x:c>
      <x:c r="D210" s="2" t="s">
        <x:v>5</x:v>
      </x:c>
      <x:c r="E210" s="14">
        <x:v>0</x:v>
      </x:c>
      <x:c r="F210" s="2">
        <x:v>81</x:v>
      </x:c>
      <x:c r="G210" s="4">
        <x:f t="shared" si="3"/>
        <x:v>12038.954355602222</x:v>
      </x:c>
      <x:c r="H210" s="3">
        <x:v>975155.30280377995</x:v>
      </x:c>
      <x:c r="I210" s="2" t="s">
        <x:v>71</x:v>
      </x:c>
    </x:row>
    <x:row r="211">
      <x:c r="A211" s="2" t="s">
        <x:v>60</x:v>
      </x:c>
      <x:c r="B211" s="13">
        <x:v>10924</x:v>
      </x:c>
      <x:c r="C211" s="2">
        <x:v>14559</x:v>
      </x:c>
      <x:c r="D211" s="2" t="s">
        <x:v>5</x:v>
      </x:c>
      <x:c r="E211" s="14">
        <x:v>0</x:v>
      </x:c>
      <x:c r="F211" s="2">
        <x:v>77</x:v>
      </x:c>
      <x:c r="G211" s="4">
        <x:f t="shared" si="3"/>
        <x:v>12586.432503945194</x:v>
      </x:c>
      <x:c r="H211" s="3">
        <x:v>969155.30280377995</x:v>
      </x:c>
      <x:c r="I211" s="2" t="s">
        <x:v>71</x:v>
      </x:c>
    </x:row>
    <x:row r="212">
      <x:c r="A212" s="2" t="s">
        <x:v>60</x:v>
      </x:c>
      <x:c r="B212" s="13">
        <x:v>10936</x:v>
      </x:c>
      <x:c r="C212" s="2">
        <x:v>14560</x:v>
      </x:c>
      <x:c r="D212" s="2" t="s">
        <x:v>8</x:v>
      </x:c>
      <x:c r="E212" s="14">
        <x:v>0</x:v>
      </x:c>
      <x:c r="F212" s="2">
        <x:v>84</x:v>
      </x:c>
      <x:c r="G212" s="4">
        <x:f t="shared" si="3"/>
        <x:v>8969.4397739073811</x:v>
      </x:c>
      <x:c r="H212" s="3">
        <x:v>753432.94100821996</x:v>
      </x:c>
      <x:c r="I212" s="2" t="s">
        <x:v>71</x:v>
      </x:c>
    </x:row>
    <x:row r="213">
      <x:c r="A213" s="2" t="s">
        <x:v>60</x:v>
      </x:c>
      <x:c r="B213" s="13">
        <x:v>10939</x:v>
      </x:c>
      <x:c r="C213" s="2">
        <x:v>14561</x:v>
      </x:c>
      <x:c r="D213" s="2" t="s">
        <x:v>7</x:v>
      </x:c>
      <x:c r="E213" s="14">
        <x:v>0</x:v>
      </x:c>
      <x:c r="F213" s="2">
        <x:v>68</x:v>
      </x:c>
      <x:c r="G213" s="4">
        <x:f t="shared" si="3"/>
        <x:v>11372.841865864706</x:v>
      </x:c>
      <x:c r="H213" s="3">
        <x:v>773353.24687879998</x:v>
      </x:c>
      <x:c r="I213" s="2" t="s">
        <x:v>71</x:v>
      </x:c>
    </x:row>
    <x:row r="214">
      <x:c r="A214" s="2" t="s">
        <x:v>60</x:v>
      </x:c>
      <x:c r="B214" s="2">
        <x:v>10940</x:v>
      </x:c>
      <x:c r="C214" s="2">
        <x:v>14562</x:v>
      </x:c>
      <x:c r="D214" s="2" t="s">
        <x:v>7</x:v>
      </x:c>
      <x:c r="E214" s="2">
        <x:v>0</x:v>
      </x:c>
      <x:c r="F214" s="2">
        <x:v>81</x:v>
      </x:c>
      <x:c r="G214" s="4">
        <x:f t="shared" si="3"/>
        <x:v>9788.3116898617282</x:v>
      </x:c>
      <x:c r="H214" s="3">
        <x:v>792853.24687879998</x:v>
      </x:c>
      <x:c r="I214" s="2" t="s">
        <x:v>71</x:v>
      </x:c>
    </x:row>
    <x:row r="215">
      <x:c r="A215" s="2" t="s">
        <x:v>60</x:v>
      </x:c>
      <x:c r="B215" s="13">
        <x:v>5967</x:v>
      </x:c>
      <x:c r="C215" s="2">
        <x:v>14563</x:v>
      </x:c>
      <x:c r="D215" s="2" t="s">
        <x:v>34</x:v>
      </x:c>
      <x:c r="E215" s="14">
        <x:v>28</x:v>
      </x:c>
      <x:c r="F215" s="2">
        <x:v>187</x:v>
      </x:c>
      <x:c r="G215" s="4">
        <x:f t="shared" si="3"/>
        <x:v>10937.817657501069</x:v>
      </x:c>
      <x:c r="H215" s="3">
        <x:v>2045371.9019527</x:v>
      </x:c>
      <x:c r="I215" s="2" t="s">
        <x:v>72</x:v>
      </x:c>
    </x:row>
    <x:row r="216">
      <x:c r="A216" s="2" t="s">
        <x:v>60</x:v>
      </x:c>
      <x:c r="B216" s="13">
        <x:v>8629</x:v>
      </x:c>
      <x:c r="C216" s="2">
        <x:v>14564</x:v>
      </x:c>
      <x:c r="D216" s="2" t="s">
        <x:v>9</x:v>
      </x:c>
      <x:c r="E216" s="14">
        <x:v>54</x:v>
      </x:c>
      <x:c r="F216" s="2">
        <x:v>198</x:v>
      </x:c>
      <x:c r="G216" s="4">
        <x:f t="shared" si="3"/>
        <x:v>9000</x:v>
      </x:c>
      <x:c r="H216" s="3">
        <x:v>1782000</x:v>
      </x:c>
      <x:c r="I216" s="2" t="s">
        <x:v>72</x:v>
      </x:c>
    </x:row>
    <x:row r="217">
      <x:c r="A217" s="2" t="s">
        <x:v>60</x:v>
      </x:c>
      <x:c r="B217" s="13">
        <x:v>8706</x:v>
      </x:c>
      <x:c r="C217" s="2">
        <x:v>14565</x:v>
      </x:c>
      <x:c r="D217" s="2" t="s">
        <x:v>2</x:v>
      </x:c>
      <x:c r="E217" s="14">
        <x:v>43</x:v>
      </x:c>
      <x:c r="F217" s="2">
        <x:v>202</x:v>
      </x:c>
      <x:c r="G217" s="4">
        <x:f t="shared" si="3"/>
        <x:v>11500</x:v>
      </x:c>
      <x:c r="H217" s="3">
        <x:v>2323000</x:v>
      </x:c>
      <x:c r="I217" s="2" t="s">
        <x:v>72</x:v>
      </x:c>
    </x:row>
    <x:row r="218">
      <x:c r="A218" s="2" t="s">
        <x:v>60</x:v>
      </x:c>
      <x:c r="B218" s="13">
        <x:v>8757</x:v>
      </x:c>
      <x:c r="C218" s="2">
        <x:v>14566</x:v>
      </x:c>
      <x:c r="D218" s="2" t="s">
        <x:v>1</x:v>
      </x:c>
      <x:c r="E218" s="14">
        <x:v>42</x:v>
      </x:c>
      <x:c r="F218" s="2">
        <x:v>196</x:v>
      </x:c>
      <x:c r="G218" s="4">
        <x:f t="shared" si="3"/>
        <x:v>10000</x:v>
      </x:c>
      <x:c r="H218" s="3">
        <x:v>1960000</x:v>
      </x:c>
      <x:c r="I218" s="2" t="s">
        <x:v>72</x:v>
      </x:c>
    </x:row>
    <x:row r="219">
      <x:c r="A219" s="2" t="s">
        <x:v>60</x:v>
      </x:c>
      <x:c r="B219" s="13">
        <x:v>8825</x:v>
      </x:c>
      <x:c r="C219" s="2">
        <x:v>14567</x:v>
      </x:c>
      <x:c r="D219" s="2" t="s">
        <x:v>9</x:v>
      </x:c>
      <x:c r="E219" s="14">
        <x:v>77</x:v>
      </x:c>
      <x:c r="F219" s="2">
        <x:v>346</x:v>
      </x:c>
      <x:c r="G219" s="4">
        <x:f t="shared" si="3"/>
        <x:v>9000</x:v>
      </x:c>
      <x:c r="H219" s="3">
        <x:v>3114000</x:v>
      </x:c>
      <x:c r="I219" s="2" t="s">
        <x:v>72</x:v>
      </x:c>
    </x:row>
    <x:row r="220">
      <x:c r="A220" s="2" t="s">
        <x:v>60</x:v>
      </x:c>
      <x:c r="B220" s="13">
        <x:v>8837</x:v>
      </x:c>
      <x:c r="C220" s="2">
        <x:v>14568</x:v>
      </x:c>
      <x:c r="D220" s="2" t="s">
        <x:v>0</x:v>
      </x:c>
      <x:c r="E220" s="14">
        <x:v>82</x:v>
      </x:c>
      <x:c r="F220" s="2">
        <x:v>343</x:v>
      </x:c>
      <x:c r="G220" s="4">
        <x:f t="shared" si="3"/>
        <x:v>13000</x:v>
      </x:c>
      <x:c r="H220" s="3">
        <x:v>4459000</x:v>
      </x:c>
      <x:c r="I220" s="2" t="s">
        <x:v>72</x:v>
      </x:c>
    </x:row>
    <x:row r="221">
      <x:c r="A221" s="2" t="s">
        <x:v>60</x:v>
      </x:c>
      <x:c r="B221" s="13">
        <x:v>8951</x:v>
      </x:c>
      <x:c r="C221" s="2">
        <x:v>14569</x:v>
      </x:c>
      <x:c r="D221" s="2" t="s">
        <x:v>9</x:v>
      </x:c>
      <x:c r="E221" s="14">
        <x:v>49</x:v>
      </x:c>
      <x:c r="F221" s="2">
        <x:v>207</x:v>
      </x:c>
      <x:c r="G221" s="4">
        <x:f t="shared" si="3"/>
        <x:v>9000</x:v>
      </x:c>
      <x:c r="H221" s="3">
        <x:v>1863000</x:v>
      </x:c>
      <x:c r="I221" s="2" t="s">
        <x:v>72</x:v>
      </x:c>
    </x:row>
    <x:row r="222">
      <x:c r="A222" s="2" t="s">
        <x:v>60</x:v>
      </x:c>
      <x:c r="B222" s="13">
        <x:v>9349</x:v>
      </x:c>
      <x:c r="C222" s="2">
        <x:v>14570</x:v>
      </x:c>
      <x:c r="D222" s="2" t="s">
        <x:v>0</x:v>
      </x:c>
      <x:c r="E222" s="14">
        <x:v>16</x:v>
      </x:c>
      <x:c r="F222" s="2">
        <x:v>101</x:v>
      </x:c>
      <x:c r="G222" s="4">
        <x:f t="shared" si="3"/>
        <x:v>13000</x:v>
      </x:c>
      <x:c r="H222" s="3">
        <x:v>1313000</x:v>
      </x:c>
      <x:c r="I222" s="2" t="s">
        <x:v>73</x:v>
      </x:c>
    </x:row>
    <x:row r="223">
      <x:c r="A223" s="2" t="s">
        <x:v>60</x:v>
      </x:c>
      <x:c r="B223" s="13">
        <x:v>9413</x:v>
      </x:c>
      <x:c r="C223" s="2">
        <x:v>14571</x:v>
      </x:c>
      <x:c r="D223" s="2" t="s">
        <x:v>9</x:v>
      </x:c>
      <x:c r="E223" s="14">
        <x:v>26</x:v>
      </x:c>
      <x:c r="F223" s="2">
        <x:v>82</x:v>
      </x:c>
      <x:c r="G223" s="4">
        <x:f t="shared" si="3"/>
        <x:v>9000</x:v>
      </x:c>
      <x:c r="H223" s="3">
        <x:v>738000</x:v>
      </x:c>
      <x:c r="I223" s="2" t="s">
        <x:v>72</x:v>
      </x:c>
    </x:row>
    <x:row r="224">
      <x:c r="A224" s="2" t="s">
        <x:v>60</x:v>
      </x:c>
      <x:c r="B224" s="13">
        <x:v>10487</x:v>
      </x:c>
      <x:c r="C224" s="2">
        <x:v>14572</x:v>
      </x:c>
      <x:c r="D224" s="2" t="s">
        <x:v>33</x:v>
      </x:c>
      <x:c r="E224" s="14">
        <x:v>41</x:v>
      </x:c>
      <x:c r="F224" s="2">
        <x:v>192</x:v>
      </x:c>
      <x:c r="G224" s="4">
        <x:f t="shared" si="3"/>
        <x:v>8676.2941900312489</x:v>
      </x:c>
      <x:c r="H224" s="3">
        <x:v>1665848.4844859999</x:v>
      </x:c>
      <x:c r="I224" s="2" t="s">
        <x:v>72</x:v>
      </x:c>
    </x:row>
    <x:row r="225">
      <x:c r="A225" s="2" t="s">
        <x:v>60</x:v>
      </x:c>
      <x:c r="B225" s="13">
        <x:v>10494</x:v>
      </x:c>
      <x:c r="C225" s="2">
        <x:v>14573</x:v>
      </x:c>
      <x:c r="D225" s="2" t="s">
        <x:v>33</x:v>
      </x:c>
      <x:c r="E225" s="14">
        <x:v>41</x:v>
      </x:c>
      <x:c r="F225" s="2">
        <x:v>194</x:v>
      </x:c>
      <x:c r="G225" s="4">
        <x:f t="shared" si="3"/>
        <x:v>8586.847858175257</x:v>
      </x:c>
      <x:c r="H225" s="3">
        <x:v>1665848.4844859999</x:v>
      </x:c>
      <x:c r="I225" s="2" t="s">
        <x:v>72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4.5"/>
  <x:cols>
    <x:col min="1" max="1" width="7" customWidth="1"/>
    <x:col min="2" max="2" width="8.453125" customWidth="1"/>
    <x:col min="3" max="3" width="8.26953125" customWidth="1"/>
    <x:col min="4" max="4" width="4.36328125" customWidth="1"/>
    <x:col min="5" max="5" width="7.453125" customWidth="1"/>
    <x:col min="6" max="6" width="3.54296875" customWidth="1"/>
    <x:col min="7" max="7" width="3.81640625" customWidth="1"/>
    <x:col min="8" max="8" width="12.1796875" style="6" customWidth="1"/>
    <x:col min="9" max="9" width="8.54296875" customWidth="1"/>
  </x:cols>
  <x:sheetData>
    <x:row r="1">
      <x:c r="A1" s="1" t="s">
        <x:v>11</x:v>
      </x:c>
      <x:c r="B1" s="1" t="s">
        <x:v>12</x:v>
      </x:c>
      <x:c r="C1" s="1" t="s">
        <x:v>13</x:v>
      </x:c>
      <x:c r="D1" s="1" t="s">
        <x:v>57</x:v>
      </x:c>
      <x:c r="E1" s="1" t="s">
        <x:v>14</x:v>
      </x:c>
      <x:c r="F1" s="1" t="s">
        <x:v>15</x:v>
      </x:c>
      <x:c r="G1" s="1" t="s">
        <x:v>16</x:v>
      </x:c>
      <x:c r="H1" s="5" t="s">
        <x:v>17</x:v>
      </x:c>
      <x:c r="I1" s="1" t="s">
        <x:v>18</x:v>
      </x:c>
    </x:row>
    <x:row r="2">
      <x:c r="A2" s="2" t="s">
        <x:v>74</x:v>
      </x:c>
      <x:c r="B2" s="2">
        <x:v>1814</x:v>
      </x:c>
      <x:c r="C2" s="2">
        <x:v>12686</x:v>
      </x:c>
      <x:c r="D2" s="2" t="s">
        <x:v>5</x:v>
      </x:c>
      <x:c r="E2" s="2" t="s">
        <x:v>5</x:v>
      </x:c>
      <x:c r="F2" s="2">
        <x:v>0</x:v>
      </x:c>
      <x:c r="G2" s="2">
        <x:v>169</x:v>
      </x:c>
      <x:c r="H2" s="3" t="n">
        <x:f>I2/G2</x:f>
        <x:v>4158.579881656805</x:v>
      </x:c>
      <x:c r="I2" s="3">
        <x:v>702800</x:v>
      </x:c>
    </x:row>
    <x:row r="3">
      <x:c r="A3" s="2" t="s">
        <x:v>74</x:v>
      </x:c>
      <x:c r="B3" s="2">
        <x:v>1816</x:v>
      </x:c>
      <x:c r="C3" s="2">
        <x:v>12687</x:v>
      </x:c>
      <x:c r="D3" s="2" t="s">
        <x:v>5</x:v>
      </x:c>
      <x:c r="E3" s="2" t="s">
        <x:v>5</x:v>
      </x:c>
      <x:c r="F3" s="2">
        <x:v>0</x:v>
      </x:c>
      <x:c r="G3" s="2">
        <x:v>171</x:v>
      </x:c>
      <x:c r="H3" s="3" t="n">
        <x:f t="shared" ref="H3:H19" si="0">I3/G3</x:f>
        <x:v>4123.976608187135</x:v>
      </x:c>
      <x:c r="I3" s="3">
        <x:v>705200</x:v>
      </x:c>
    </x:row>
    <x:row r="4">
      <x:c r="A4" s="2" t="s">
        <x:v>74</x:v>
      </x:c>
      <x:c r="B4" s="2">
        <x:v>6730</x:v>
      </x:c>
      <x:c r="C4" s="2">
        <x:v>12688</x:v>
      </x:c>
      <x:c r="D4" s="2" t="s">
        <x:v>5</x:v>
      </x:c>
      <x:c r="E4" s="2" t="s">
        <x:v>56</x:v>
      </x:c>
      <x:c r="F4" s="2">
        <x:v>0</x:v>
      </x:c>
      <x:c r="G4" s="2">
        <x:v>177</x:v>
      </x:c>
      <x:c r="H4" s="3">
        <x:f t="shared" si="0"/>
        <x:v>2612.4293785310733</x:v>
      </x:c>
      <x:c r="I4" s="3">
        <x:v>462400</x:v>
      </x:c>
    </x:row>
    <x:row r="5">
      <x:c r="A5" s="2" t="s">
        <x:v>74</x:v>
      </x:c>
      <x:c r="B5" s="2">
        <x:v>6731</x:v>
      </x:c>
      <x:c r="C5" s="2">
        <x:v>12689</x:v>
      </x:c>
      <x:c r="D5" s="2" t="s">
        <x:v>5</x:v>
      </x:c>
      <x:c r="E5" s="2" t="s">
        <x:v>56</x:v>
      </x:c>
      <x:c r="F5" s="2">
        <x:v>0</x:v>
      </x:c>
      <x:c r="G5" s="2">
        <x:v>180</x:v>
      </x:c>
      <x:c r="H5" s="3">
        <x:f t="shared" si="0"/>
        <x:v>2588.8888888888887</x:v>
      </x:c>
      <x:c r="I5" s="3">
        <x:v>466000</x:v>
      </x:c>
    </x:row>
    <x:row r="6">
      <x:c r="A6" s="2" t="s">
        <x:v>74</x:v>
      </x:c>
      <x:c r="B6" s="2">
        <x:v>6732</x:v>
      </x:c>
      <x:c r="C6" s="2">
        <x:v>12690</x:v>
      </x:c>
      <x:c r="D6" s="2" t="s">
        <x:v>5</x:v>
      </x:c>
      <x:c r="E6" s="2" t="s">
        <x:v>56</x:v>
      </x:c>
      <x:c r="F6" s="2">
        <x:v>0</x:v>
      </x:c>
      <x:c r="G6" s="2">
        <x:v>185</x:v>
      </x:c>
      <x:c r="H6" s="3">
        <x:f t="shared" si="0"/>
        <x:v>2551.3513513513512</x:v>
      </x:c>
      <x:c r="I6" s="3">
        <x:v>472000</x:v>
      </x:c>
    </x:row>
    <x:row r="7">
      <x:c r="A7" s="2" t="s">
        <x:v>74</x:v>
      </x:c>
      <x:c r="B7" s="2">
        <x:v>6734</x:v>
      </x:c>
      <x:c r="C7" s="2">
        <x:v>12691</x:v>
      </x:c>
      <x:c r="D7" s="2" t="s">
        <x:v>5</x:v>
      </x:c>
      <x:c r="E7" s="2" t="s">
        <x:v>56</x:v>
      </x:c>
      <x:c r="F7" s="2">
        <x:v>0</x:v>
      </x:c>
      <x:c r="G7" s="2">
        <x:v>186</x:v>
      </x:c>
      <x:c r="H7" s="3">
        <x:f t="shared" si="0"/>
        <x:v>2544.0860215053763</x:v>
      </x:c>
      <x:c r="I7" s="3">
        <x:v>473200</x:v>
      </x:c>
    </x:row>
    <x:row r="8">
      <x:c r="A8" s="2" t="s">
        <x:v>74</x:v>
      </x:c>
      <x:c r="B8" s="2">
        <x:v>6735</x:v>
      </x:c>
      <x:c r="C8" s="2">
        <x:v>12692</x:v>
      </x:c>
      <x:c r="D8" s="2" t="s">
        <x:v>5</x:v>
      </x:c>
      <x:c r="E8" s="2" t="s">
        <x:v>56</x:v>
      </x:c>
      <x:c r="F8" s="2">
        <x:v>0</x:v>
      </x:c>
      <x:c r="G8" s="2">
        <x:v>155</x:v>
      </x:c>
      <x:c r="H8" s="3">
        <x:f t="shared" si="0"/>
        <x:v>2812.9032258064517</x:v>
      </x:c>
      <x:c r="I8" s="3">
        <x:v>436000</x:v>
      </x:c>
    </x:row>
    <x:row r="9">
      <x:c r="A9" s="2" t="s">
        <x:v>74</x:v>
      </x:c>
      <x:c r="B9" s="2">
        <x:v>6736</x:v>
      </x:c>
      <x:c r="C9" s="2">
        <x:v>12693</x:v>
      </x:c>
      <x:c r="D9" s="2" t="s">
        <x:v>5</x:v>
      </x:c>
      <x:c r="E9" s="2" t="s">
        <x:v>56</x:v>
      </x:c>
      <x:c r="F9" s="2">
        <x:v>0</x:v>
      </x:c>
      <x:c r="G9" s="2">
        <x:v>173</x:v>
      </x:c>
      <x:c r="H9" s="3">
        <x:f t="shared" si="0"/>
        <x:v>2645.0867052023123</x:v>
      </x:c>
      <x:c r="I9" s="3">
        <x:v>457600</x:v>
      </x:c>
    </x:row>
    <x:row r="10">
      <x:c r="A10" s="2" t="s">
        <x:v>74</x:v>
      </x:c>
      <x:c r="B10" s="2">
        <x:v>6737</x:v>
      </x:c>
      <x:c r="C10" s="2">
        <x:v>12694</x:v>
      </x:c>
      <x:c r="D10" s="2" t="s">
        <x:v>5</x:v>
      </x:c>
      <x:c r="E10" s="2" t="s">
        <x:v>56</x:v>
      </x:c>
      <x:c r="F10" s="2">
        <x:v>0</x:v>
      </x:c>
      <x:c r="G10" s="2">
        <x:v>180</x:v>
      </x:c>
      <x:c r="H10" s="3">
        <x:f t="shared" si="0"/>
        <x:v>2588.8888888888887</x:v>
      </x:c>
      <x:c r="I10" s="3">
        <x:v>466000</x:v>
      </x:c>
    </x:row>
    <x:row r="11">
      <x:c r="A11" s="2" t="s">
        <x:v>74</x:v>
      </x:c>
      <x:c r="B11" s="2">
        <x:v>6738</x:v>
      </x:c>
      <x:c r="C11" s="2">
        <x:v>12695</x:v>
      </x:c>
      <x:c r="D11" s="2" t="s">
        <x:v>5</x:v>
      </x:c>
      <x:c r="E11" s="2" t="s">
        <x:v>56</x:v>
      </x:c>
      <x:c r="F11" s="2">
        <x:v>0</x:v>
      </x:c>
      <x:c r="G11" s="2">
        <x:v>160</x:v>
      </x:c>
      <x:c r="H11" s="3">
        <x:f t="shared" si="0"/>
        <x:v>2762.5</x:v>
      </x:c>
      <x:c r="I11" s="3">
        <x:v>442000</x:v>
      </x:c>
    </x:row>
    <x:row r="12">
      <x:c r="A12" s="2" t="s">
        <x:v>74</x:v>
      </x:c>
      <x:c r="B12" s="2">
        <x:v>6739</x:v>
      </x:c>
      <x:c r="C12" s="2">
        <x:v>12696</x:v>
      </x:c>
      <x:c r="D12" s="2" t="s">
        <x:v>5</x:v>
      </x:c>
      <x:c r="E12" s="2" t="s">
        <x:v>56</x:v>
      </x:c>
      <x:c r="F12" s="2">
        <x:v>0</x:v>
      </x:c>
      <x:c r="G12" s="2">
        <x:v>177</x:v>
      </x:c>
      <x:c r="H12" s="3">
        <x:f t="shared" si="0"/>
        <x:v>2612.4293785310733</x:v>
      </x:c>
      <x:c r="I12" s="3">
        <x:v>462400</x:v>
      </x:c>
    </x:row>
    <x:row r="13">
      <x:c r="A13" s="2" t="s">
        <x:v>74</x:v>
      </x:c>
      <x:c r="B13" s="2">
        <x:v>6740</x:v>
      </x:c>
      <x:c r="C13" s="2">
        <x:v>12697</x:v>
      </x:c>
      <x:c r="D13" s="2" t="s">
        <x:v>5</x:v>
      </x:c>
      <x:c r="E13" s="2" t="s">
        <x:v>56</x:v>
      </x:c>
      <x:c r="F13" s="2">
        <x:v>0</x:v>
      </x:c>
      <x:c r="G13" s="2">
        <x:v>180</x:v>
      </x:c>
      <x:c r="H13" s="3">
        <x:f t="shared" si="0"/>
        <x:v>2588.8888888888887</x:v>
      </x:c>
      <x:c r="I13" s="3">
        <x:v>466000</x:v>
      </x:c>
    </x:row>
    <x:row r="14">
      <x:c r="A14" s="2" t="s">
        <x:v>74</x:v>
      </x:c>
      <x:c r="B14" s="2">
        <x:v>6741</x:v>
      </x:c>
      <x:c r="C14" s="2">
        <x:v>12698</x:v>
      </x:c>
      <x:c r="D14" s="2" t="s">
        <x:v>5</x:v>
      </x:c>
      <x:c r="E14" s="2" t="s">
        <x:v>56</x:v>
      </x:c>
      <x:c r="F14" s="2">
        <x:v>0</x:v>
      </x:c>
      <x:c r="G14" s="2">
        <x:v>178</x:v>
      </x:c>
      <x:c r="H14" s="3">
        <x:f t="shared" si="0"/>
        <x:v>2604.4943820224721</x:v>
      </x:c>
      <x:c r="I14" s="3">
        <x:v>463600</x:v>
      </x:c>
    </x:row>
    <x:row r="15">
      <x:c r="A15" s="2" t="s">
        <x:v>74</x:v>
      </x:c>
      <x:c r="B15" s="2">
        <x:v>6742</x:v>
      </x:c>
      <x:c r="C15" s="2">
        <x:v>12699</x:v>
      </x:c>
      <x:c r="D15" s="2" t="s">
        <x:v>5</x:v>
      </x:c>
      <x:c r="E15" s="2" t="s">
        <x:v>56</x:v>
      </x:c>
      <x:c r="F15" s="2">
        <x:v>0</x:v>
      </x:c>
      <x:c r="G15" s="2">
        <x:v>173</x:v>
      </x:c>
      <x:c r="H15" s="3">
        <x:f t="shared" si="0"/>
        <x:v>2645.0867052023123</x:v>
      </x:c>
      <x:c r="I15" s="3">
        <x:v>457600</x:v>
      </x:c>
    </x:row>
    <x:row r="16">
      <x:c r="A16" s="2" t="s">
        <x:v>74</x:v>
      </x:c>
      <x:c r="B16" s="2">
        <x:v>6743</x:v>
      </x:c>
      <x:c r="C16" s="2">
        <x:v>12700</x:v>
      </x:c>
      <x:c r="D16" s="2" t="s">
        <x:v>5</x:v>
      </x:c>
      <x:c r="E16" s="2" t="s">
        <x:v>56</x:v>
      </x:c>
      <x:c r="F16" s="2">
        <x:v>0</x:v>
      </x:c>
      <x:c r="G16" s="2">
        <x:v>164</x:v>
      </x:c>
      <x:c r="H16" s="3">
        <x:f t="shared" si="0"/>
        <x:v>2724.3902439024391</x:v>
      </x:c>
      <x:c r="I16" s="3">
        <x:v>446800</x:v>
      </x:c>
    </x:row>
    <x:row r="17">
      <x:c r="A17" s="2" t="s">
        <x:v>74</x:v>
      </x:c>
      <x:c r="B17" s="2">
        <x:v>6760</x:v>
      </x:c>
      <x:c r="C17" s="2">
        <x:v>12701</x:v>
      </x:c>
      <x:c r="D17" s="2" t="s">
        <x:v>5</x:v>
      </x:c>
      <x:c r="E17" s="2" t="s">
        <x:v>70</x:v>
      </x:c>
      <x:c r="F17" s="2">
        <x:v>0</x:v>
      </x:c>
      <x:c r="G17" s="2">
        <x:v>173</x:v>
      </x:c>
      <x:c r="H17" s="3">
        <x:f t="shared" si="0"/>
        <x:v>2845.0867052023123</x:v>
      </x:c>
      <x:c r="I17" s="3">
        <x:v>492200</x:v>
      </x:c>
    </x:row>
    <x:row r="18">
      <x:c r="A18" s="2" t="s">
        <x:v>74</x:v>
      </x:c>
      <x:c r="B18" s="2">
        <x:v>6775</x:v>
      </x:c>
      <x:c r="C18" s="2">
        <x:v>12702</x:v>
      </x:c>
      <x:c r="D18" s="2" t="s">
        <x:v>5</x:v>
      </x:c>
      <x:c r="E18" s="2" t="s">
        <x:v>70</x:v>
      </x:c>
      <x:c r="F18" s="2">
        <x:v>0</x:v>
      </x:c>
      <x:c r="G18" s="2">
        <x:v>164</x:v>
      </x:c>
      <x:c r="H18" s="3">
        <x:f t="shared" si="0"/>
        <x:v>2924.3902439024391</x:v>
      </x:c>
      <x:c r="I18" s="3">
        <x:v>479600</x:v>
      </x:c>
    </x:row>
    <x:row r="19">
      <x:c r="A19" s="2" t="s">
        <x:v>74</x:v>
      </x:c>
      <x:c r="B19" s="2">
        <x:v>10471</x:v>
      </x:c>
      <x:c r="C19" s="2">
        <x:v>12703</x:v>
      </x:c>
      <x:c r="D19" s="2" t="s">
        <x:v>10</x:v>
      </x:c>
      <x:c r="E19" s="2" t="s">
        <x:v>10</x:v>
      </x:c>
      <x:c r="F19" s="2">
        <x:v>0</x:v>
      </x:c>
      <x:c r="G19" s="2">
        <x:v>74</x:v>
      </x:c>
      <x:c r="H19" s="3">
        <x:f t="shared" si="0"/>
        <x:v>12651.353054643918</x:v>
      </x:c>
      <x:c r="I19" s="3">
        <x:v>936200.12604364997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4.5"/>
  <x:cols>
    <x:col min="1" max="1" width="6.90625" style="11" customWidth="1"/>
    <x:col min="2" max="2" width="13" style="11" customWidth="1"/>
    <x:col min="3" max="3" width="8.26953125" style="11" customWidth="1"/>
    <x:col min="4" max="4" width="8.26953125" style="11" customWidth="1"/>
    <x:col min="5" max="5" width="16.1796875" style="11" customWidth="1"/>
    <x:col min="6" max="7" width="7.90625" style="11" customWidth="1"/>
    <x:col min="8" max="8" width="10.90625" style="23" customWidth="1"/>
    <x:col min="9" max="9" width="10" style="11" customWidth="1"/>
  </x:cols>
  <x:sheetData>
    <x:row r="1">
      <x:c r="A1" s="1" t="s">
        <x:v>11</x:v>
      </x:c>
      <x:c r="B1" s="1" t="s">
        <x:v>12</x:v>
      </x:c>
      <x:c r="C1" s="1" t="s">
        <x:v>13</x:v>
      </x:c>
      <x:c r="D1" s="1" t="s">
        <x:v>57</x:v>
      </x:c>
      <x:c r="E1" s="1" t="s">
        <x:v>14</x:v>
      </x:c>
      <x:c r="F1" s="1" t="s">
        <x:v>15</x:v>
      </x:c>
      <x:c r="G1" s="1" t="s">
        <x:v>16</x:v>
      </x:c>
      <x:c r="H1" s="5" t="s">
        <x:v>17</x:v>
      </x:c>
      <x:c r="I1" s="1" t="s">
        <x:v>18</x:v>
      </x:c>
    </x:row>
    <x:row r="2">
      <x:c r="A2" s="10" t="s">
        <x:v>75</x:v>
      </x:c>
      <x:c r="B2" s="10">
        <x:v>2452</x:v>
      </x:c>
      <x:c r="C2" s="10">
        <x:v>13050</x:v>
      </x:c>
      <x:c r="D2" s="10" t="s">
        <x:v>6</x:v>
      </x:c>
      <x:c r="E2" s="10" t="s">
        <x:v>54</x:v>
      </x:c>
      <x:c r="F2" s="10">
        <x:v>0</x:v>
      </x:c>
      <x:c r="G2" s="10">
        <x:v>244</x:v>
      </x:c>
      <x:c r="H2" s="22" t="n">
        <x:f>I2/G2</x:f>
        <x:v>18611.440419678278</x:v>
      </x:c>
      <x:c r="I2" s="22">
        <x:v>4541191.4624015</x:v>
      </x:c>
    </x:row>
    <x:row r="3">
      <x:c r="A3" s="10" t="s">
        <x:v>75</x:v>
      </x:c>
      <x:c r="B3" s="10">
        <x:v>2551</x:v>
      </x:c>
      <x:c r="C3" s="10">
        <x:v>13295</x:v>
      </x:c>
      <x:c r="D3" s="10" t="s">
        <x:v>6</x:v>
      </x:c>
      <x:c r="E3" s="10" t="s">
        <x:v>54</x:v>
      </x:c>
      <x:c r="F3" s="10">
        <x:v>0</x:v>
      </x:c>
      <x:c r="G3" s="10">
        <x:v>92</x:v>
      </x:c>
      <x:c r="H3" s="22" t="n">
        <x:f t="shared" ref="H3:H66" si="0">I3/G3</x:f>
        <x:v>11116.151641047403</x:v>
      </x:c>
      <x:c r="I3" s="22">
        <x:v>1022685.9509763611</x:v>
      </x:c>
    </x:row>
    <x:row r="4">
      <x:c r="A4" s="10" t="s">
        <x:v>75</x:v>
      </x:c>
      <x:c r="B4" s="10">
        <x:v>2553</x:v>
      </x:c>
      <x:c r="C4" s="10">
        <x:v>13296</x:v>
      </x:c>
      <x:c r="D4" s="10" t="s">
        <x:v>6</x:v>
      </x:c>
      <x:c r="E4" s="10" t="s">
        <x:v>54</x:v>
      </x:c>
      <x:c r="F4" s="10">
        <x:v>0</x:v>
      </x:c>
      <x:c r="G4" s="10">
        <x:v>95</x:v>
      </x:c>
      <x:c r="H4" s="22">
        <x:f t="shared" si="0"/>
        <x:v>10554.588957645907</x:v>
      </x:c>
      <x:c r="I4" s="22">
        <x:v>1002685.9509763611</x:v>
      </x:c>
    </x:row>
    <x:row r="5">
      <x:c r="A5" s="10" t="s">
        <x:v>75</x:v>
      </x:c>
      <x:c r="B5" s="10">
        <x:v>2554</x:v>
      </x:c>
      <x:c r="C5" s="10">
        <x:v>13297</x:v>
      </x:c>
      <x:c r="D5" s="10" t="s">
        <x:v>6</x:v>
      </x:c>
      <x:c r="E5" s="10" t="s">
        <x:v>54</x:v>
      </x:c>
      <x:c r="F5" s="10">
        <x:v>0</x:v>
      </x:c>
      <x:c r="G5" s="10">
        <x:v>84</x:v>
      </x:c>
      <x:c r="H5" s="22">
        <x:f t="shared" si="0"/>
        <x:v>12174.832749718584</x:v>
      </x:c>
      <x:c r="I5" s="22">
        <x:v>1022685.9509763611</x:v>
      </x:c>
    </x:row>
    <x:row r="6">
      <x:c r="A6" s="10" t="s">
        <x:v>75</x:v>
      </x:c>
      <x:c r="B6" s="10">
        <x:v>2555</x:v>
      </x:c>
      <x:c r="C6" s="10">
        <x:v>13298</x:v>
      </x:c>
      <x:c r="D6" s="10" t="s">
        <x:v>6</x:v>
      </x:c>
      <x:c r="E6" s="10" t="s">
        <x:v>54</x:v>
      </x:c>
      <x:c r="F6" s="10">
        <x:v>0</x:v>
      </x:c>
      <x:c r="G6" s="10">
        <x:v>97</x:v>
      </x:c>
      <x:c r="H6" s="22">
        <x:f t="shared" si="0"/>
        <x:v>10543.154133776918</x:v>
      </x:c>
      <x:c r="I6" s="22">
        <x:v>1022685.9509763611</x:v>
      </x:c>
    </x:row>
    <x:row r="7">
      <x:c r="A7" s="10" t="s">
        <x:v>75</x:v>
      </x:c>
      <x:c r="B7" s="10">
        <x:v>2556</x:v>
      </x:c>
      <x:c r="C7" s="10">
        <x:v>13299</x:v>
      </x:c>
      <x:c r="D7" s="10" t="s">
        <x:v>6</x:v>
      </x:c>
      <x:c r="E7" s="10" t="s">
        <x:v>54</x:v>
      </x:c>
      <x:c r="F7" s="10">
        <x:v>0</x:v>
      </x:c>
      <x:c r="G7" s="10">
        <x:v>90</x:v>
      </x:c>
      <x:c r="H7" s="22">
        <x:f t="shared" si="0"/>
        <x:v>11140.955010848456</x:v>
      </x:c>
      <x:c r="I7" s="22">
        <x:v>1002685.9509763611</x:v>
      </x:c>
    </x:row>
    <x:row r="8">
      <x:c r="A8" s="10" t="s">
        <x:v>75</x:v>
      </x:c>
      <x:c r="B8" s="10">
        <x:v>2954</x:v>
      </x:c>
      <x:c r="C8" s="10">
        <x:v>13051</x:v>
      </x:c>
      <x:c r="D8" s="10" t="s">
        <x:v>6</x:v>
      </x:c>
      <x:c r="E8" s="10" t="s">
        <x:v>54</x:v>
      </x:c>
      <x:c r="F8" s="10">
        <x:v>18</x:v>
      </x:c>
      <x:c r="G8" s="10">
        <x:v>89</x:v>
      </x:c>
      <x:c r="H8" s="22">
        <x:f t="shared" si="0"/>
        <x:v>11648.156752543382</x:v>
      </x:c>
      <x:c r="I8" s="22">
        <x:v>1036685.9509763611</x:v>
      </x:c>
    </x:row>
    <x:row r="9">
      <x:c r="A9" s="10" t="s">
        <x:v>75</x:v>
      </x:c>
      <x:c r="B9" s="10">
        <x:v>3065</x:v>
      </x:c>
      <x:c r="C9" s="10">
        <x:v>13300</x:v>
      </x:c>
      <x:c r="D9" s="10" t="s">
        <x:v>0</x:v>
      </x:c>
      <x:c r="E9" s="10" t="s">
        <x:v>24</x:v>
      </x:c>
      <x:c r="F9" s="10">
        <x:v>18</x:v>
      </x:c>
      <x:c r="G9" s="10">
        <x:v>83</x:v>
      </x:c>
      <x:c r="H9" s="22">
        <x:f t="shared" si="0"/>
        <x:v>10444.500320851746</x:v>
      </x:c>
      <x:c r="I9" s="22">
        <x:v>866893.52663069498</x:v>
      </x:c>
    </x:row>
    <x:row r="10">
      <x:c r="A10" s="10" t="s">
        <x:v>75</x:v>
      </x:c>
      <x:c r="B10" s="10">
        <x:v>3132</x:v>
      </x:c>
      <x:c r="C10" s="10">
        <x:v>13052</x:v>
      </x:c>
      <x:c r="D10" s="10" t="s">
        <x:v>0</x:v>
      </x:c>
      <x:c r="E10" s="10" t="s">
        <x:v>24</x:v>
      </x:c>
      <x:c r="F10" s="10">
        <x:v>16</x:v>
      </x:c>
      <x:c r="G10" s="10">
        <x:v>96</x:v>
      </x:c>
      <x:c r="H10" s="22">
        <x:f t="shared" si="0"/>
        <x:v>11019.645322670427</x:v>
      </x:c>
      <x:c r="I10" s="22">
        <x:v>1057885.9509763611</x:v>
      </x:c>
    </x:row>
    <x:row r="11">
      <x:c r="A11" s="10" t="s">
        <x:v>75</x:v>
      </x:c>
      <x:c r="B11" s="10">
        <x:v>3134</x:v>
      </x:c>
      <x:c r="C11" s="10">
        <x:v>13301</x:v>
      </x:c>
      <x:c r="D11" s="10" t="s">
        <x:v>0</x:v>
      </x:c>
      <x:c r="E11" s="10" t="s">
        <x:v>24</x:v>
      </x:c>
      <x:c r="F11" s="10">
        <x:v>16</x:v>
      </x:c>
      <x:c r="G11" s="10">
        <x:v>85</x:v>
      </x:c>
      <x:c r="H11" s="22">
        <x:f t="shared" si="0"/>
        <x:v>12431.599423251306</x:v>
      </x:c>
      <x:c r="I11" s="22">
        <x:v>1056685.9509763611</x:v>
      </x:c>
    </x:row>
    <x:row r="12">
      <x:c r="A12" s="10" t="s">
        <x:v>75</x:v>
      </x:c>
      <x:c r="B12" s="10">
        <x:v>3135</x:v>
      </x:c>
      <x:c r="C12" s="10">
        <x:v>13302</x:v>
      </x:c>
      <x:c r="D12" s="10" t="s">
        <x:v>0</x:v>
      </x:c>
      <x:c r="E12" s="10" t="s">
        <x:v>24</x:v>
      </x:c>
      <x:c r="F12" s="10">
        <x:v>16</x:v>
      </x:c>
      <x:c r="G12" s="10">
        <x:v>99</x:v>
      </x:c>
      <x:c r="H12" s="22">
        <x:f t="shared" si="0"/>
        <x:v>10697.837888650112</x:v>
      </x:c>
      <x:c r="I12" s="22">
        <x:v>1059085.9509763611</x:v>
      </x:c>
    </x:row>
    <x:row r="13">
      <x:c r="A13" s="10" t="s">
        <x:v>75</x:v>
      </x:c>
      <x:c r="B13" s="10">
        <x:v>3138</x:v>
      </x:c>
      <x:c r="C13" s="10">
        <x:v>13053</x:v>
      </x:c>
      <x:c r="D13" s="10" t="s">
        <x:v>0</x:v>
      </x:c>
      <x:c r="E13" s="10" t="s">
        <x:v>24</x:v>
      </x:c>
      <x:c r="F13" s="10">
        <x:v>17</x:v>
      </x:c>
      <x:c r="G13" s="10">
        <x:v>96</x:v>
      </x:c>
      <x:c r="H13" s="22">
        <x:f t="shared" si="0"/>
        <x:v>10998.811989337095</x:v>
      </x:c>
      <x:c r="I13" s="22">
        <x:v>1055885.9509763611</x:v>
      </x:c>
    </x:row>
    <x:row r="14">
      <x:c r="A14" s="10" t="s">
        <x:v>75</x:v>
      </x:c>
      <x:c r="B14" s="10">
        <x:v>3144</x:v>
      </x:c>
      <x:c r="C14" s="10">
        <x:v>13054</x:v>
      </x:c>
      <x:c r="D14" s="10" t="s">
        <x:v>0</x:v>
      </x:c>
      <x:c r="E14" s="10" t="s">
        <x:v>24</x:v>
      </x:c>
      <x:c r="F14" s="10">
        <x:v>18</x:v>
      </x:c>
      <x:c r="G14" s="10">
        <x:v>96</x:v>
      </x:c>
      <x:c r="H14" s="22">
        <x:f t="shared" si="0"/>
        <x:v>11052.978656003761</x:v>
      </x:c>
      <x:c r="I14" s="22">
        <x:v>1061085.9509763611</x:v>
      </x:c>
    </x:row>
    <x:row r="15">
      <x:c r="A15" s="10" t="s">
        <x:v>75</x:v>
      </x:c>
      <x:c r="B15" s="10">
        <x:v>3254</x:v>
      </x:c>
      <x:c r="C15" s="10">
        <x:v>13055</x:v>
      </x:c>
      <x:c r="D15" s="10" t="s">
        <x:v>0</x:v>
      </x:c>
      <x:c r="E15" s="10" t="s">
        <x:v>24</x:v>
      </x:c>
      <x:c r="F15" s="10">
        <x:v>16</x:v>
      </x:c>
      <x:c r="G15" s="10">
        <x:v>102</x:v>
      </x:c>
      <x:c r="H15" s="22">
        <x:f t="shared" si="0"/>
        <x:v>10363.587754670207</x:v>
      </x:c>
      <x:c r="I15" s="22">
        <x:v>1057085.9509763611</x:v>
      </x:c>
    </x:row>
    <x:row r="16">
      <x:c r="A16" s="10" t="s">
        <x:v>75</x:v>
      </x:c>
      <x:c r="B16" s="10">
        <x:v>3267</x:v>
      </x:c>
      <x:c r="C16" s="10">
        <x:v>13303</x:v>
      </x:c>
      <x:c r="D16" s="10" t="s">
        <x:v>0</x:v>
      </x:c>
      <x:c r="E16" s="10" t="s">
        <x:v>24</x:v>
      </x:c>
      <x:c r="F16" s="10">
        <x:v>18</x:v>
      </x:c>
      <x:c r="G16" s="10">
        <x:v>97</x:v>
      </x:c>
      <x:c r="H16" s="22">
        <x:f t="shared" si="0"/>
        <x:v>10901.917020374856</x:v>
      </x:c>
      <x:c r="I16" s="22">
        <x:v>1057485.9509763611</x:v>
      </x:c>
    </x:row>
    <x:row r="17">
      <x:c r="A17" s="10" t="s">
        <x:v>75</x:v>
      </x:c>
      <x:c r="B17" s="10">
        <x:v>3272</x:v>
      </x:c>
      <x:c r="C17" s="10">
        <x:v>13056</x:v>
      </x:c>
      <x:c r="D17" s="10" t="s">
        <x:v>0</x:v>
      </x:c>
      <x:c r="E17" s="10" t="s">
        <x:v>24</x:v>
      </x:c>
      <x:c r="F17" s="10">
        <x:v>16</x:v>
      </x:c>
      <x:c r="G17" s="10">
        <x:v>109</x:v>
      </x:c>
      <x:c r="H17" s="22">
        <x:f t="shared" si="0"/>
        <x:v>9727.3940456546879</x:v>
      </x:c>
      <x:c r="I17" s="22">
        <x:v>1060285.9509763611</x:v>
      </x:c>
    </x:row>
    <x:row r="18">
      <x:c r="A18" s="10" t="s">
        <x:v>75</x:v>
      </x:c>
      <x:c r="B18" s="10">
        <x:v>3274</x:v>
      </x:c>
      <x:c r="C18" s="10">
        <x:v>13304</x:v>
      </x:c>
      <x:c r="D18" s="10" t="s">
        <x:v>0</x:v>
      </x:c>
      <x:c r="E18" s="10" t="s">
        <x:v>24</x:v>
      </x:c>
      <x:c r="F18" s="10">
        <x:v>18</x:v>
      </x:c>
      <x:c r="G18" s="10">
        <x:v>101</x:v>
      </x:c>
      <x:c r="H18" s="22">
        <x:f t="shared" si="0"/>
        <x:v>10497.880702736247</x:v>
      </x:c>
      <x:c r="I18" s="22">
        <x:v>1060285.9509763611</x:v>
      </x:c>
    </x:row>
    <x:row r="19">
      <x:c r="A19" s="10" t="s">
        <x:v>75</x:v>
      </x:c>
      <x:c r="B19" s="10">
        <x:v>3278</x:v>
      </x:c>
      <x:c r="C19" s="10">
        <x:v>13305</x:v>
      </x:c>
      <x:c r="D19" s="10" t="s">
        <x:v>2</x:v>
      </x:c>
      <x:c r="E19" s="10" t="s">
        <x:v>43</x:v>
      </x:c>
      <x:c r="F19" s="10">
        <x:v>76</x:v>
      </x:c>
      <x:c r="G19" s="10">
        <x:v>392</x:v>
      </x:c>
      <x:c r="H19" s="22">
        <x:f t="shared" si="0"/>
        <x:v>11694.365975514031</x:v>
      </x:c>
      <x:c r="I19" s="22">
        <x:v>4584191.4624015</x:v>
      </x:c>
    </x:row>
    <x:row r="20">
      <x:c r="A20" s="10" t="s">
        <x:v>75</x:v>
      </x:c>
      <x:c r="B20" s="10">
        <x:v>3283</x:v>
      </x:c>
      <x:c r="C20" s="10">
        <x:v>13057</x:v>
      </x:c>
      <x:c r="D20" s="10" t="s">
        <x:v>2</x:v>
      </x:c>
      <x:c r="E20" s="10" t="s">
        <x:v>43</x:v>
      </x:c>
      <x:c r="F20" s="10">
        <x:v>73</x:v>
      </x:c>
      <x:c r="G20" s="10">
        <x:v>412</x:v>
      </x:c>
      <x:c r="H20" s="22">
        <x:f t="shared" si="0"/>
        <x:v>11138.814229129854</x:v>
      </x:c>
      <x:c r="I20" s="22">
        <x:v>4589191.4624015</x:v>
      </x:c>
    </x:row>
    <x:row r="21">
      <x:c r="A21" s="10" t="s">
        <x:v>75</x:v>
      </x:c>
      <x:c r="B21" s="10">
        <x:v>3284</x:v>
      </x:c>
      <x:c r="C21" s="10">
        <x:v>13058</x:v>
      </x:c>
      <x:c r="D21" s="10" t="s">
        <x:v>2</x:v>
      </x:c>
      <x:c r="E21" s="10" t="s">
        <x:v>43</x:v>
      </x:c>
      <x:c r="F21" s="10">
        <x:v>27</x:v>
      </x:c>
      <x:c r="G21" s="10">
        <x:v>167</x:v>
      </x:c>
      <x:c r="H21" s="22">
        <x:f t="shared" si="0"/>
        <x:v>10995.368772219161</x:v>
      </x:c>
      <x:c r="I21" s="22">
        <x:v>1836226.5849605999</x:v>
      </x:c>
    </x:row>
    <x:row r="22">
      <x:c r="A22" s="10" t="s">
        <x:v>75</x:v>
      </x:c>
      <x:c r="B22" s="10">
        <x:v>3294</x:v>
      </x:c>
      <x:c r="C22" s="10">
        <x:v>13240</x:v>
      </x:c>
      <x:c r="D22" s="10" t="s">
        <x:v>1</x:v>
      </x:c>
      <x:c r="E22" s="10" t="s">
        <x:v>44</x:v>
      </x:c>
      <x:c r="F22" s="10">
        <x:v>74</x:v>
      </x:c>
      <x:c r="G22" s="10">
        <x:v>401</x:v>
      </x:c>
      <x:c r="H22" s="22">
        <x:f t="shared" si="0"/>
        <x:v>11415.065991026184</x:v>
      </x:c>
      <x:c r="I22" s="22">
        <x:v>4577441.4624015</x:v>
      </x:c>
    </x:row>
    <x:row r="23">
      <x:c r="A23" s="10" t="s">
        <x:v>75</x:v>
      </x:c>
      <x:c r="B23" s="10">
        <x:v>3301</x:v>
      </x:c>
      <x:c r="C23" s="10">
        <x:v>13059</x:v>
      </x:c>
      <x:c r="D23" s="10" t="s">
        <x:v>1</x:v>
      </x:c>
      <x:c r="E23" s="10" t="s">
        <x:v>44</x:v>
      </x:c>
      <x:c r="F23" s="10">
        <x:v>77</x:v>
      </x:c>
      <x:c r="G23" s="10">
        <x:v>376</x:v>
      </x:c>
      <x:c r="H23" s="22">
        <x:f t="shared" si="0"/>
        <x:v>12181.360272344415</x:v>
      </x:c>
      <x:c r="I23" s="22">
        <x:v>4580191.4624015</x:v>
      </x:c>
    </x:row>
    <x:row r="24">
      <x:c r="A24" s="10" t="s">
        <x:v>75</x:v>
      </x:c>
      <x:c r="B24" s="10">
        <x:v>3305</x:v>
      </x:c>
      <x:c r="C24" s="10">
        <x:v>13232</x:v>
      </x:c>
      <x:c r="D24" s="10" t="s">
        <x:v>0</x:v>
      </x:c>
      <x:c r="E24" s="10" t="s">
        <x:v>76</x:v>
      </x:c>
      <x:c r="F24" s="10">
        <x:v>93</x:v>
      </x:c>
      <x:c r="G24" s="10">
        <x:v>488</x:v>
      </x:c>
      <x:c r="H24" s="22">
        <x:f t="shared" si="0"/>
        <x:v>11031.618350167624</x:v>
      </x:c>
      <x:c r="I24" s="22">
        <x:v>5383429.7548818002</x:v>
      </x:c>
    </x:row>
    <x:row r="25">
      <x:c r="A25" s="10" t="s">
        <x:v>75</x:v>
      </x:c>
      <x:c r="B25" s="10">
        <x:v>3306</x:v>
      </x:c>
      <x:c r="C25" s="10">
        <x:v>13043</x:v>
      </x:c>
      <x:c r="D25" s="10" t="s">
        <x:v>6</x:v>
      </x:c>
      <x:c r="E25" s="10" t="s">
        <x:v>47</x:v>
      </x:c>
      <x:c r="F25" s="10">
        <x:v>104</x:v>
      </x:c>
      <x:c r="G25" s="10">
        <x:v>450</x:v>
      </x:c>
      <x:c r="H25" s="22">
        <x:f t="shared" si="0"/>
        <x:v>9969.3143608922219</x:v>
      </x:c>
      <x:c r="I25" s="22">
        <x:v>4486191.4624015</x:v>
      </x:c>
    </x:row>
    <x:row r="26">
      <x:c r="A26" s="10" t="s">
        <x:v>75</x:v>
      </x:c>
      <x:c r="B26" s="10">
        <x:v>3307</x:v>
      </x:c>
      <x:c r="C26" s="10">
        <x:v>13037</x:v>
      </x:c>
      <x:c r="D26" s="10" t="s">
        <x:v>6</x:v>
      </x:c>
      <x:c r="E26" s="10" t="s">
        <x:v>47</x:v>
      </x:c>
      <x:c r="F26" s="10">
        <x:v>0</x:v>
      </x:c>
      <x:c r="G26" s="10">
        <x:v>523</x:v>
      </x:c>
      <x:c r="H26" s="22">
        <x:f t="shared" si="0"/>
        <x:v>8577.8039434063103</x:v>
      </x:c>
      <x:c r="I26" s="22">
        <x:v>4486191.4624015</x:v>
      </x:c>
    </x:row>
    <x:row r="27">
      <x:c r="A27" s="10" t="s">
        <x:v>75</x:v>
      </x:c>
      <x:c r="B27" s="10">
        <x:v>3313</x:v>
      </x:c>
      <x:c r="C27" s="10">
        <x:v>13060</x:v>
      </x:c>
      <x:c r="D27" s="10" t="s">
        <x:v>2</x:v>
      </x:c>
      <x:c r="E27" s="10" t="s">
        <x:v>43</x:v>
      </x:c>
      <x:c r="F27" s="10">
        <x:v>18</x:v>
      </x:c>
      <x:c r="G27" s="10">
        <x:v>111</x:v>
      </x:c>
      <x:c r="H27" s="22">
        <x:f t="shared" si="0"/>
        <x:v>9454.3779367239731</x:v>
      </x:c>
      <x:c r="I27" s="22">
        <x:v>1049435.9509763611</x:v>
      </x:c>
    </x:row>
    <x:row r="28">
      <x:c r="A28" s="12" t="s">
        <x:v>75</x:v>
      </x:c>
      <x:c r="B28" s="12">
        <x:v>3314</x:v>
      </x:c>
      <x:c r="C28" s="12">
        <x:v>13245</x:v>
      </x:c>
      <x:c r="D28" s="10" t="s">
        <x:v>2</x:v>
      </x:c>
      <x:c r="E28" s="12" t="s">
        <x:v>43</x:v>
      </x:c>
      <x:c r="F28" s="12">
        <x:v>20</x:v>
      </x:c>
      <x:c r="G28" s="12">
        <x:v>98</x:v>
      </x:c>
      <x:c r="H28" s="22">
        <x:f t="shared" si="0"/>
        <x:v>10685.570928330215</x:v>
      </x:c>
      <x:c r="I28" s="22">
        <x:v>1047185.9509763611</x:v>
      </x:c>
    </x:row>
    <x:row r="29">
      <x:c r="A29" s="10" t="s">
        <x:v>75</x:v>
      </x:c>
      <x:c r="B29" s="10">
        <x:v>3327</x:v>
      </x:c>
      <x:c r="C29" s="10">
        <x:v>13061</x:v>
      </x:c>
      <x:c r="D29" s="10" t="s">
        <x:v>2</x:v>
      </x:c>
      <x:c r="E29" s="10" t="s">
        <x:v>43</x:v>
      </x:c>
      <x:c r="F29" s="10">
        <x:v>19</x:v>
      </x:c>
      <x:c r="G29" s="10">
        <x:v>105</x:v>
      </x:c>
      <x:c r="H29" s="22">
        <x:f t="shared" si="0"/>
        <x:v>9923.1995331081998</x:v>
      </x:c>
      <x:c r="I29" s="22">
        <x:v>1041935.9509763611</x:v>
      </x:c>
    </x:row>
    <x:row r="30">
      <x:c r="A30" s="10" t="s">
        <x:v>75</x:v>
      </x:c>
      <x:c r="B30" s="10">
        <x:v>3334</x:v>
      </x:c>
      <x:c r="C30" s="10">
        <x:v>13062</x:v>
      </x:c>
      <x:c r="D30" s="10" t="s">
        <x:v>1</x:v>
      </x:c>
      <x:c r="E30" s="10" t="s">
        <x:v>44</x:v>
      </x:c>
      <x:c r="F30" s="10">
        <x:v>18</x:v>
      </x:c>
      <x:c r="G30" s="10">
        <x:v>95</x:v>
      </x:c>
      <x:c r="H30" s="22">
        <x:f t="shared" si="0"/>
        <x:v>10607.220536593275</x:v>
      </x:c>
      <x:c r="I30" s="22">
        <x:v>1007685.9509763611</x:v>
      </x:c>
    </x:row>
    <x:row r="31">
      <x:c r="A31" s="10" t="s">
        <x:v>75</x:v>
      </x:c>
      <x:c r="B31" s="10">
        <x:v>3346</x:v>
      </x:c>
      <x:c r="C31" s="10">
        <x:v>13229</x:v>
      </x:c>
      <x:c r="D31" s="10" t="s">
        <x:v>9</x:v>
      </x:c>
      <x:c r="E31" s="10" t="s">
        <x:v>9</x:v>
      </x:c>
      <x:c r="F31" s="10">
        <x:v>19</x:v>
      </x:c>
      <x:c r="G31" s="10">
        <x:v>92</x:v>
      </x:c>
      <x:c r="H31" s="22">
        <x:f t="shared" si="0"/>
        <x:v>10953.108162786533</x:v>
      </x:c>
      <x:c r="I31" s="22">
        <x:v>1007685.9509763611</x:v>
      </x:c>
    </x:row>
    <x:row r="32">
      <x:c r="A32" s="10" t="s">
        <x:v>75</x:v>
      </x:c>
      <x:c r="B32" s="10">
        <x:v>3350</x:v>
      </x:c>
      <x:c r="C32" s="10">
        <x:v>13063</x:v>
      </x:c>
      <x:c r="D32" s="10" t="s">
        <x:v>1</x:v>
      </x:c>
      <x:c r="E32" s="10" t="s">
        <x:v>44</x:v>
      </x:c>
      <x:c r="F32" s="10">
        <x:v>19</x:v>
      </x:c>
      <x:c r="G32" s="10">
        <x:v>96</x:v>
      </x:c>
      <x:c r="H32" s="22">
        <x:f t="shared" si="0"/>
        <x:v>10496.728656003761</x:v>
      </x:c>
      <x:c r="I32" s="22">
        <x:v>1007685.9509763611</x:v>
      </x:c>
    </x:row>
    <x:row r="33">
      <x:c r="A33" s="10" t="s">
        <x:v>75</x:v>
      </x:c>
      <x:c r="B33" s="10">
        <x:v>3353</x:v>
      </x:c>
      <x:c r="C33" s="10">
        <x:v>13306</x:v>
      </x:c>
      <x:c r="D33" s="10" t="s">
        <x:v>1</x:v>
      </x:c>
      <x:c r="E33" s="10" t="s">
        <x:v>44</x:v>
      </x:c>
      <x:c r="F33" s="10">
        <x:v>18</x:v>
      </x:c>
      <x:c r="G33" s="10">
        <x:v>100</x:v>
      </x:c>
      <x:c r="H33" s="22">
        <x:f t="shared" si="0"/>
        <x:v>10226.85950976361</x:v>
      </x:c>
      <x:c r="I33" s="22">
        <x:v>1022685.9509763611</x:v>
      </x:c>
    </x:row>
    <x:row r="34">
      <x:c r="A34" s="10" t="s">
        <x:v>75</x:v>
      </x:c>
      <x:c r="B34" s="10">
        <x:v>3357</x:v>
      </x:c>
      <x:c r="C34" s="10">
        <x:v>13064</x:v>
      </x:c>
      <x:c r="D34" s="10" t="s">
        <x:v>1</x:v>
      </x:c>
      <x:c r="E34" s="10" t="s">
        <x:v>44</x:v>
      </x:c>
      <x:c r="F34" s="10">
        <x:v>17</x:v>
      </x:c>
      <x:c r="G34" s="10">
        <x:v>88</x:v>
      </x:c>
      <x:c r="H34" s="22">
        <x:f t="shared" si="0"/>
        <x:v>11450.976715640467</x:v>
      </x:c>
      <x:c r="I34" s="22">
        <x:v>1007685.9509763611</x:v>
      </x:c>
    </x:row>
    <x:row r="35">
      <x:c r="A35" s="10" t="s">
        <x:v>75</x:v>
      </x:c>
      <x:c r="B35" s="10">
        <x:v>3358</x:v>
      </x:c>
      <x:c r="C35" s="10">
        <x:v>13065</x:v>
      </x:c>
      <x:c r="D35" s="10" t="s">
        <x:v>1</x:v>
      </x:c>
      <x:c r="E35" s="10" t="s">
        <x:v>44</x:v>
      </x:c>
      <x:c r="F35" s="10">
        <x:v>17</x:v>
      </x:c>
      <x:c r="G35" s="10">
        <x:v>86</x:v>
      </x:c>
      <x:c r="H35" s="22">
        <x:f t="shared" si="0"/>
        <x:v>11717.278499725129</x:v>
      </x:c>
      <x:c r="I35" s="22">
        <x:v>1007685.9509763611</x:v>
      </x:c>
    </x:row>
    <x:row r="36">
      <x:c r="A36" s="10" t="s">
        <x:v>75</x:v>
      </x:c>
      <x:c r="B36" s="10">
        <x:v>3360</x:v>
      </x:c>
      <x:c r="C36" s="10">
        <x:v>13066</x:v>
      </x:c>
      <x:c r="D36" s="10" t="s">
        <x:v>1</x:v>
      </x:c>
      <x:c r="E36" s="10" t="s">
        <x:v>44</x:v>
      </x:c>
      <x:c r="F36" s="10">
        <x:v>17</x:v>
      </x:c>
      <x:c r="G36" s="10">
        <x:v>90</x:v>
      </x:c>
      <x:c r="H36" s="22">
        <x:f t="shared" si="0"/>
        <x:v>11363.177233070679</x:v>
      </x:c>
      <x:c r="I36" s="22">
        <x:v>1022685.9509763611</x:v>
      </x:c>
    </x:row>
    <x:row r="37">
      <x:c r="A37" s="10" t="s">
        <x:v>75</x:v>
      </x:c>
      <x:c r="B37" s="10">
        <x:v>3362</x:v>
      </x:c>
      <x:c r="C37" s="10">
        <x:v>13041</x:v>
      </x:c>
      <x:c r="D37" s="10" t="s">
        <x:v>1</x:v>
      </x:c>
      <x:c r="E37" s="10" t="s">
        <x:v>44</x:v>
      </x:c>
      <x:c r="F37" s="10">
        <x:v>17</x:v>
      </x:c>
      <x:c r="G37" s="10">
        <x:v>100</x:v>
      </x:c>
      <x:c r="H37" s="22">
        <x:f t="shared" si="0"/>
        <x:v>10226.85950976361</x:v>
      </x:c>
      <x:c r="I37" s="22">
        <x:v>1022685.9509763611</x:v>
      </x:c>
    </x:row>
    <x:row r="38">
      <x:c r="A38" s="10" t="s">
        <x:v>75</x:v>
      </x:c>
      <x:c r="B38" s="10">
        <x:v>3363</x:v>
      </x:c>
      <x:c r="C38" s="10">
        <x:v>13067</x:v>
      </x:c>
      <x:c r="D38" s="10" t="s">
        <x:v>1</x:v>
      </x:c>
      <x:c r="E38" s="10" t="s">
        <x:v>44</x:v>
      </x:c>
      <x:c r="F38" s="10">
        <x:v>17</x:v>
      </x:c>
      <x:c r="G38" s="10">
        <x:v>104</x:v>
      </x:c>
      <x:c r="H38" s="22">
        <x:f t="shared" si="0"/>
        <x:v>9689.2879901573178</x:v>
      </x:c>
      <x:c r="I38" s="22">
        <x:v>1007685.9509763611</x:v>
      </x:c>
    </x:row>
    <x:row r="39">
      <x:c r="A39" s="10" t="s">
        <x:v>75</x:v>
      </x:c>
      <x:c r="B39" s="10">
        <x:v>3367</x:v>
      </x:c>
      <x:c r="C39" s="10">
        <x:v>13047</x:v>
      </x:c>
      <x:c r="D39" s="10" t="s">
        <x:v>1</x:v>
      </x:c>
      <x:c r="E39" s="10" t="s">
        <x:v>44</x:v>
      </x:c>
      <x:c r="F39" s="10">
        <x:v>17</x:v>
      </x:c>
      <x:c r="G39" s="10">
        <x:v>90</x:v>
      </x:c>
      <x:c r="H39" s="22">
        <x:f t="shared" si="0"/>
        <x:v>11363.177233070679</x:v>
      </x:c>
      <x:c r="I39" s="22">
        <x:v>1022685.9509763611</x:v>
      </x:c>
    </x:row>
    <x:row r="40">
      <x:c r="A40" s="10" t="s">
        <x:v>75</x:v>
      </x:c>
      <x:c r="B40" s="10">
        <x:v>3369</x:v>
      </x:c>
      <x:c r="C40" s="10">
        <x:v>13048</x:v>
      </x:c>
      <x:c r="D40" s="10" t="s">
        <x:v>1</x:v>
      </x:c>
      <x:c r="E40" s="10" t="s">
        <x:v>44</x:v>
      </x:c>
      <x:c r="F40" s="10">
        <x:v>17</x:v>
      </x:c>
      <x:c r="G40" s="10">
        <x:v>101</x:v>
      </x:c>
      <x:c r="H40" s="22">
        <x:f t="shared" si="0"/>
        <x:v>10125.603475013475</x:v>
      </x:c>
      <x:c r="I40" s="22">
        <x:v>1022685.9509763611</x:v>
      </x:c>
    </x:row>
    <x:row r="41">
      <x:c r="A41" s="10" t="s">
        <x:v>75</x:v>
      </x:c>
      <x:c r="B41" s="10">
        <x:v>3370</x:v>
      </x:c>
      <x:c r="C41" s="10">
        <x:v>13068</x:v>
      </x:c>
      <x:c r="D41" s="10" t="s">
        <x:v>1</x:v>
      </x:c>
      <x:c r="E41" s="10" t="s">
        <x:v>44</x:v>
      </x:c>
      <x:c r="F41" s="10">
        <x:v>17</x:v>
      </x:c>
      <x:c r="G41" s="10">
        <x:v>93</x:v>
      </x:c>
      <x:c r="H41" s="22">
        <x:f t="shared" si="0"/>
        <x:v>10835.33280619743</x:v>
      </x:c>
      <x:c r="I41" s="22">
        <x:v>1007685.9509763611</x:v>
      </x:c>
    </x:row>
    <x:row r="42">
      <x:c r="A42" s="10" t="s">
        <x:v>75</x:v>
      </x:c>
      <x:c r="B42" s="10">
        <x:v>3374</x:v>
      </x:c>
      <x:c r="C42" s="10">
        <x:v>13069</x:v>
      </x:c>
      <x:c r="D42" s="10" t="s">
        <x:v>1</x:v>
      </x:c>
      <x:c r="E42" s="10" t="s">
        <x:v>44</x:v>
      </x:c>
      <x:c r="F42" s="10">
        <x:v>17</x:v>
      </x:c>
      <x:c r="G42" s="10">
        <x:v>98</x:v>
      </x:c>
      <x:c r="H42" s="22">
        <x:f t="shared" si="0"/>
        <x:v>10417.713785473072</x:v>
      </x:c>
      <x:c r="I42" s="22">
        <x:v>1020935.9509763611</x:v>
      </x:c>
    </x:row>
    <x:row r="43">
      <x:c r="A43" s="10" t="s">
        <x:v>75</x:v>
      </x:c>
      <x:c r="B43" s="10">
        <x:v>3376</x:v>
      </x:c>
      <x:c r="C43" s="10">
        <x:v>13307</x:v>
      </x:c>
      <x:c r="D43" s="10" t="s">
        <x:v>1</x:v>
      </x:c>
      <x:c r="E43" s="10" t="s">
        <x:v>44</x:v>
      </x:c>
      <x:c r="F43" s="10">
        <x:v>17</x:v>
      </x:c>
      <x:c r="G43" s="10">
        <x:v>100</x:v>
      </x:c>
      <x:c r="H43" s="22">
        <x:f t="shared" si="0"/>
        <x:v>10026.85950976361</x:v>
      </x:c>
      <x:c r="I43" s="22">
        <x:v>1002685.9509763611</x:v>
      </x:c>
    </x:row>
    <x:row r="44">
      <x:c r="A44" s="10" t="s">
        <x:v>75</x:v>
      </x:c>
      <x:c r="B44" s="10">
        <x:v>3385</x:v>
      </x:c>
      <x:c r="C44" s="10">
        <x:v>13308</x:v>
      </x:c>
      <x:c r="D44" s="10" t="s">
        <x:v>1</x:v>
      </x:c>
      <x:c r="E44" s="10" t="s">
        <x:v>44</x:v>
      </x:c>
      <x:c r="F44" s="10">
        <x:v>17</x:v>
      </x:c>
      <x:c r="G44" s="10">
        <x:v>93</x:v>
      </x:c>
      <x:c r="H44" s="22">
        <x:f t="shared" si="0"/>
        <x:v>10727.805924477001</x:v>
      </x:c>
      <x:c r="I44" s="22">
        <x:v>997685.95097636105</x:v>
      </x:c>
    </x:row>
    <x:row r="45">
      <x:c r="A45" s="10" t="s">
        <x:v>75</x:v>
      </x:c>
      <x:c r="B45" s="10">
        <x:v>3390</x:v>
      </x:c>
      <x:c r="C45" s="10">
        <x:v>13070</x:v>
      </x:c>
      <x:c r="D45" s="10" t="s">
        <x:v>1</x:v>
      </x:c>
      <x:c r="E45" s="10" t="s">
        <x:v>44</x:v>
      </x:c>
      <x:c r="F45" s="10">
        <x:v>19</x:v>
      </x:c>
      <x:c r="G45" s="10">
        <x:v>95</x:v>
      </x:c>
      <x:c r="H45" s="22">
        <x:f t="shared" si="0"/>
        <x:v>10765.11527343538</x:v>
      </x:c>
      <x:c r="I45" s="22">
        <x:v>1022685.9509763611</x:v>
      </x:c>
    </x:row>
    <x:row r="46">
      <x:c r="A46" s="10" t="s">
        <x:v>75</x:v>
      </x:c>
      <x:c r="B46" s="10">
        <x:v>3391</x:v>
      </x:c>
      <x:c r="C46" s="10">
        <x:v>13309</x:v>
      </x:c>
      <x:c r="D46" s="10" t="s">
        <x:v>1</x:v>
      </x:c>
      <x:c r="E46" s="10" t="s">
        <x:v>44</x:v>
      </x:c>
      <x:c r="F46" s="10">
        <x:v>19</x:v>
      </x:c>
      <x:c r="G46" s="10">
        <x:v>93</x:v>
      </x:c>
      <x:c r="H46" s="22">
        <x:f t="shared" si="0"/>
        <x:v>10996.623128778076</x:v>
      </x:c>
      <x:c r="I46" s="22">
        <x:v>1022685.9509763611</x:v>
      </x:c>
    </x:row>
    <x:row r="47">
      <x:c r="A47" s="10" t="s">
        <x:v>75</x:v>
      </x:c>
      <x:c r="B47" s="10">
        <x:v>3393</x:v>
      </x:c>
      <x:c r="C47" s="10">
        <x:v>13071</x:v>
      </x:c>
      <x:c r="D47" s="10" t="s">
        <x:v>1</x:v>
      </x:c>
      <x:c r="E47" s="10" t="s">
        <x:v>44</x:v>
      </x:c>
      <x:c r="F47" s="10">
        <x:v>19</x:v>
      </x:c>
      <x:c r="G47" s="10">
        <x:v>97</x:v>
      </x:c>
      <x:c r="H47" s="22">
        <x:f t="shared" si="0"/>
        <x:v>10543.154133776918</x:v>
      </x:c>
      <x:c r="I47" s="22">
        <x:v>1022685.9509763611</x:v>
      </x:c>
    </x:row>
    <x:row r="48">
      <x:c r="A48" s="10" t="s">
        <x:v>75</x:v>
      </x:c>
      <x:c r="B48" s="10">
        <x:v>3398</x:v>
      </x:c>
      <x:c r="C48" s="10">
        <x:v>13072</x:v>
      </x:c>
      <x:c r="D48" s="10" t="s">
        <x:v>1</x:v>
      </x:c>
      <x:c r="E48" s="10" t="s">
        <x:v>44</x:v>
      </x:c>
      <x:c r="F48" s="10">
        <x:v>19</x:v>
      </x:c>
      <x:c r="G48" s="10">
        <x:v>99</x:v>
      </x:c>
      <x:c r="H48" s="22">
        <x:f t="shared" si="0"/>
        <x:v>10330.161120973344</x:v>
      </x:c>
      <x:c r="I48" s="22">
        <x:v>1022685.9509763611</x:v>
      </x:c>
    </x:row>
    <x:row r="49">
      <x:c r="A49" s="10" t="s">
        <x:v>75</x:v>
      </x:c>
      <x:c r="B49" s="10">
        <x:v>3400</x:v>
      </x:c>
      <x:c r="C49" s="10">
        <x:v>13073</x:v>
      </x:c>
      <x:c r="D49" s="10" t="s">
        <x:v>1</x:v>
      </x:c>
      <x:c r="E49" s="10" t="s">
        <x:v>44</x:v>
      </x:c>
      <x:c r="F49" s="10">
        <x:v>19</x:v>
      </x:c>
      <x:c r="G49" s="10">
        <x:v>99</x:v>
      </x:c>
      <x:c r="H49" s="22">
        <x:f t="shared" si="0"/>
        <x:v>10330.161120973344</x:v>
      </x:c>
      <x:c r="I49" s="22">
        <x:v>1022685.9509763611</x:v>
      </x:c>
    </x:row>
    <x:row r="50">
      <x:c r="A50" s="10" t="s">
        <x:v>75</x:v>
      </x:c>
      <x:c r="B50" s="10">
        <x:v>3403</x:v>
      </x:c>
      <x:c r="C50" s="10">
        <x:v>13074</x:v>
      </x:c>
      <x:c r="D50" s="10" t="s">
        <x:v>1</x:v>
      </x:c>
      <x:c r="E50" s="10" t="s">
        <x:v>44</x:v>
      </x:c>
      <x:c r="F50" s="10">
        <x:v>19</x:v>
      </x:c>
      <x:c r="G50" s="10">
        <x:v>90</x:v>
      </x:c>
      <x:c r="H50" s="22">
        <x:f t="shared" si="0"/>
        <x:v>11196.510566404011</x:v>
      </x:c>
      <x:c r="I50" s="22">
        <x:v>1007685.9509763611</x:v>
      </x:c>
    </x:row>
    <x:row r="51">
      <x:c r="A51" s="10" t="s">
        <x:v>75</x:v>
      </x:c>
      <x:c r="B51" s="10">
        <x:v>3404</x:v>
      </x:c>
      <x:c r="C51" s="10">
        <x:v>13075</x:v>
      </x:c>
      <x:c r="D51" s="10" t="s">
        <x:v>1</x:v>
      </x:c>
      <x:c r="E51" s="10" t="s">
        <x:v>44</x:v>
      </x:c>
      <x:c r="F51" s="10">
        <x:v>20</x:v>
      </x:c>
      <x:c r="G51" s="10">
        <x:v>100</x:v>
      </x:c>
      <x:c r="H51" s="22">
        <x:f t="shared" si="0"/>
        <x:v>10076.85950976361</x:v>
      </x:c>
      <x:c r="I51" s="22">
        <x:v>1007685.9509763611</x:v>
      </x:c>
    </x:row>
    <x:row r="52">
      <x:c r="A52" s="10" t="s">
        <x:v>75</x:v>
      </x:c>
      <x:c r="B52" s="10">
        <x:v>3405</x:v>
      </x:c>
      <x:c r="C52" s="10">
        <x:v>13076</x:v>
      </x:c>
      <x:c r="D52" s="10" t="s">
        <x:v>1</x:v>
      </x:c>
      <x:c r="E52" s="10" t="s">
        <x:v>44</x:v>
      </x:c>
      <x:c r="F52" s="10">
        <x:v>20</x:v>
      </x:c>
      <x:c r="G52" s="10">
        <x:v>94</x:v>
      </x:c>
      <x:c r="H52" s="22">
        <x:f t="shared" si="0"/>
        <x:v>10879.637776344267</x:v>
      </x:c>
      <x:c r="I52" s="22">
        <x:v>1022685.9509763611</x:v>
      </x:c>
    </x:row>
    <x:row r="53">
      <x:c r="A53" s="10" t="s">
        <x:v>75</x:v>
      </x:c>
      <x:c r="B53" s="10">
        <x:v>3406</x:v>
      </x:c>
      <x:c r="C53" s="10">
        <x:v>13077</x:v>
      </x:c>
      <x:c r="D53" s="10" t="s">
        <x:v>1</x:v>
      </x:c>
      <x:c r="E53" s="10" t="s">
        <x:v>44</x:v>
      </x:c>
      <x:c r="F53" s="10">
        <x:v>20</x:v>
      </x:c>
      <x:c r="G53" s="10">
        <x:v>102</x:v>
      </x:c>
      <x:c r="H53" s="22">
        <x:f t="shared" si="0"/>
        <x:v>9879.274029180011</x:v>
      </x:c>
      <x:c r="I53" s="22">
        <x:v>1007685.9509763611</x:v>
      </x:c>
    </x:row>
    <x:row r="54">
      <x:c r="A54" s="10" t="s">
        <x:v>75</x:v>
      </x:c>
      <x:c r="B54" s="10">
        <x:v>3407</x:v>
      </x:c>
      <x:c r="C54" s="10">
        <x:v>13078</x:v>
      </x:c>
      <x:c r="D54" s="10" t="s">
        <x:v>1</x:v>
      </x:c>
      <x:c r="E54" s="10" t="s">
        <x:v>44</x:v>
      </x:c>
      <x:c r="F54" s="10">
        <x:v>20</x:v>
      </x:c>
      <x:c r="G54" s="10">
        <x:v>95</x:v>
      </x:c>
      <x:c r="H54" s="22">
        <x:f t="shared" si="0"/>
        <x:v>10607.220536593275</x:v>
      </x:c>
      <x:c r="I54" s="22">
        <x:v>1007685.9509763611</x:v>
      </x:c>
    </x:row>
    <x:row r="55">
      <x:c r="A55" s="10" t="s">
        <x:v>75</x:v>
      </x:c>
      <x:c r="B55" s="10">
        <x:v>3408</x:v>
      </x:c>
      <x:c r="C55" s="10">
        <x:v>13079</x:v>
      </x:c>
      <x:c r="D55" s="10" t="s">
        <x:v>1</x:v>
      </x:c>
      <x:c r="E55" s="10" t="s">
        <x:v>44</x:v>
      </x:c>
      <x:c r="F55" s="10">
        <x:v>20</x:v>
      </x:c>
      <x:c r="G55" s="10">
        <x:v>96</x:v>
      </x:c>
      <x:c r="H55" s="22">
        <x:f t="shared" si="0"/>
        <x:v>10652.978656003761</x:v>
      </x:c>
      <x:c r="I55" s="22">
        <x:v>1022685.9509763611</x:v>
      </x:c>
    </x:row>
    <x:row r="56">
      <x:c r="A56" s="10" t="s">
        <x:v>75</x:v>
      </x:c>
      <x:c r="B56" s="10">
        <x:v>3409</x:v>
      </x:c>
      <x:c r="C56" s="10">
        <x:v>13310</x:v>
      </x:c>
      <x:c r="D56" s="10" t="s">
        <x:v>1</x:v>
      </x:c>
      <x:c r="E56" s="10" t="s">
        <x:v>44</x:v>
      </x:c>
      <x:c r="F56" s="10">
        <x:v>20</x:v>
      </x:c>
      <x:c r="G56" s="10">
        <x:v>97</x:v>
      </x:c>
      <x:c r="H56" s="22">
        <x:f t="shared" si="0"/>
        <x:v>10388.514958519187</x:v>
      </x:c>
      <x:c r="I56" s="22">
        <x:v>1007685.9509763611</x:v>
      </x:c>
    </x:row>
    <x:row r="57">
      <x:c r="A57" s="10" t="s">
        <x:v>75</x:v>
      </x:c>
      <x:c r="B57" s="10">
        <x:v>3410</x:v>
      </x:c>
      <x:c r="C57" s="10">
        <x:v>13080</x:v>
      </x:c>
      <x:c r="D57" s="10" t="s">
        <x:v>1</x:v>
      </x:c>
      <x:c r="E57" s="10" t="s">
        <x:v>44</x:v>
      </x:c>
      <x:c r="F57" s="10">
        <x:v>20</x:v>
      </x:c>
      <x:c r="G57" s="10">
        <x:v>93</x:v>
      </x:c>
      <x:c r="H57" s="22">
        <x:f t="shared" si="0"/>
        <x:v>10942.85968791786</x:v>
      </x:c>
      <x:c r="I57" s="22">
        <x:v>1017685.9509763611</x:v>
      </x:c>
    </x:row>
    <x:row r="58">
      <x:c r="A58" s="10" t="s">
        <x:v>75</x:v>
      </x:c>
      <x:c r="B58" s="10">
        <x:v>3411</x:v>
      </x:c>
      <x:c r="C58" s="10">
        <x:v>13046</x:v>
      </x:c>
      <x:c r="D58" s="10" t="s">
        <x:v>1</x:v>
      </x:c>
      <x:c r="E58" s="10" t="s">
        <x:v>44</x:v>
      </x:c>
      <x:c r="F58" s="10">
        <x:v>20</x:v>
      </x:c>
      <x:c r="G58" s="10">
        <x:v>99</x:v>
      </x:c>
      <x:c r="H58" s="22">
        <x:f t="shared" si="0"/>
        <x:v>10178.645969458192</x:v>
      </x:c>
      <x:c r="I58" s="22">
        <x:v>1007685.9509763611</x:v>
      </x:c>
    </x:row>
    <x:row r="59">
      <x:c r="A59" s="10" t="s">
        <x:v>75</x:v>
      </x:c>
      <x:c r="B59" s="10">
        <x:v>3412</x:v>
      </x:c>
      <x:c r="C59" s="10">
        <x:v>13081</x:v>
      </x:c>
      <x:c r="D59" s="10" t="s">
        <x:v>1</x:v>
      </x:c>
      <x:c r="E59" s="10" t="s">
        <x:v>44</x:v>
      </x:c>
      <x:c r="F59" s="10">
        <x:v>20</x:v>
      </x:c>
      <x:c r="G59" s="10">
        <x:v>99</x:v>
      </x:c>
      <x:c r="H59" s="22">
        <x:f t="shared" si="0"/>
        <x:v>10330.161120973344</x:v>
      </x:c>
      <x:c r="I59" s="22">
        <x:v>1022685.9509763611</x:v>
      </x:c>
    </x:row>
    <x:row r="60">
      <x:c r="A60" s="10" t="s">
        <x:v>75</x:v>
      </x:c>
      <x:c r="B60" s="10">
        <x:v>3413</x:v>
      </x:c>
      <x:c r="C60" s="10">
        <x:v>13082</x:v>
      </x:c>
      <x:c r="D60" s="10" t="s">
        <x:v>1</x:v>
      </x:c>
      <x:c r="E60" s="10" t="s">
        <x:v>44</x:v>
      </x:c>
      <x:c r="F60" s="10">
        <x:v>20</x:v>
      </x:c>
      <x:c r="G60" s="10">
        <x:v>95</x:v>
      </x:c>
      <x:c r="H60" s="22">
        <x:f t="shared" si="0"/>
        <x:v>10607.220536593275</x:v>
      </x:c>
      <x:c r="I60" s="22">
        <x:v>1007685.9509763611</x:v>
      </x:c>
    </x:row>
    <x:row r="61">
      <x:c r="A61" s="10" t="s">
        <x:v>75</x:v>
      </x:c>
      <x:c r="B61" s="10">
        <x:v>3414</x:v>
      </x:c>
      <x:c r="C61" s="10">
        <x:v>13083</x:v>
      </x:c>
      <x:c r="D61" s="10" t="s">
        <x:v>1</x:v>
      </x:c>
      <x:c r="E61" s="10" t="s">
        <x:v>44</x:v>
      </x:c>
      <x:c r="F61" s="10">
        <x:v>20</x:v>
      </x:c>
      <x:c r="G61" s="10">
        <x:v>95</x:v>
      </x:c>
      <x:c r="H61" s="22">
        <x:f t="shared" si="0"/>
        <x:v>10765.11527343538</x:v>
      </x:c>
      <x:c r="I61" s="22">
        <x:v>1022685.9509763611</x:v>
      </x:c>
    </x:row>
    <x:row r="62">
      <x:c r="A62" s="10" t="s">
        <x:v>75</x:v>
      </x:c>
      <x:c r="B62" s="10">
        <x:v>3415</x:v>
      </x:c>
      <x:c r="C62" s="10">
        <x:v>13084</x:v>
      </x:c>
      <x:c r="D62" s="10" t="s">
        <x:v>1</x:v>
      </x:c>
      <x:c r="E62" s="10" t="s">
        <x:v>44</x:v>
      </x:c>
      <x:c r="F62" s="10">
        <x:v>20</x:v>
      </x:c>
      <x:c r="G62" s="10">
        <x:v>99</x:v>
      </x:c>
      <x:c r="H62" s="22">
        <x:f t="shared" si="0"/>
        <x:v>10178.645969458192</x:v>
      </x:c>
      <x:c r="I62" s="22">
        <x:v>1007685.9509763611</x:v>
      </x:c>
    </x:row>
    <x:row r="63">
      <x:c r="A63" s="10" t="s">
        <x:v>75</x:v>
      </x:c>
      <x:c r="B63" s="10">
        <x:v>3416</x:v>
      </x:c>
      <x:c r="C63" s="10">
        <x:v>13085</x:v>
      </x:c>
      <x:c r="D63" s="10" t="s">
        <x:v>1</x:v>
      </x:c>
      <x:c r="E63" s="10" t="s">
        <x:v>44</x:v>
      </x:c>
      <x:c r="F63" s="10">
        <x:v>20</x:v>
      </x:c>
      <x:c r="G63" s="10">
        <x:v>97</x:v>
      </x:c>
      <x:c r="H63" s="22">
        <x:f t="shared" si="0"/>
        <x:v>10388.514958519187</x:v>
      </x:c>
      <x:c r="I63" s="22">
        <x:v>1007685.9509763611</x:v>
      </x:c>
    </x:row>
    <x:row r="64">
      <x:c r="A64" s="10" t="s">
        <x:v>75</x:v>
      </x:c>
      <x:c r="B64" s="10">
        <x:v>3417</x:v>
      </x:c>
      <x:c r="C64" s="10">
        <x:v>13219</x:v>
      </x:c>
      <x:c r="D64" s="10" t="s">
        <x:v>1</x:v>
      </x:c>
      <x:c r="E64" s="10" t="s">
        <x:v>44</x:v>
      </x:c>
      <x:c r="F64" s="10">
        <x:v>20</x:v>
      </x:c>
      <x:c r="G64" s="10">
        <x:v>102</x:v>
      </x:c>
      <x:c r="H64" s="22">
        <x:f t="shared" si="0"/>
        <x:v>10026.332852709422</x:v>
      </x:c>
      <x:c r="I64" s="22">
        <x:v>1022685.9509763611</x:v>
      </x:c>
    </x:row>
    <x:row r="65">
      <x:c r="A65" s="10" t="s">
        <x:v>75</x:v>
      </x:c>
      <x:c r="B65" s="10">
        <x:v>3418</x:v>
      </x:c>
      <x:c r="C65" s="10">
        <x:v>13086</x:v>
      </x:c>
      <x:c r="D65" s="10" t="s">
        <x:v>1</x:v>
      </x:c>
      <x:c r="E65" s="10" t="s">
        <x:v>44</x:v>
      </x:c>
      <x:c r="F65" s="10">
        <x:v>20</x:v>
      </x:c>
      <x:c r="G65" s="10">
        <x:v>97</x:v>
      </x:c>
      <x:c r="H65" s="22">
        <x:f t="shared" si="0"/>
        <x:v>10388.514958519187</x:v>
      </x:c>
      <x:c r="I65" s="22">
        <x:v>1007685.9509763611</x:v>
      </x:c>
    </x:row>
    <x:row r="66">
      <x:c r="A66" s="10" t="s">
        <x:v>75</x:v>
      </x:c>
      <x:c r="B66" s="10">
        <x:v>3419</x:v>
      </x:c>
      <x:c r="C66" s="10">
        <x:v>13087</x:v>
      </x:c>
      <x:c r="D66" s="10" t="s">
        <x:v>1</x:v>
      </x:c>
      <x:c r="E66" s="10" t="s">
        <x:v>44</x:v>
      </x:c>
      <x:c r="F66" s="10">
        <x:v>20</x:v>
      </x:c>
      <x:c r="G66" s="10">
        <x:v>96</x:v>
      </x:c>
      <x:c r="H66" s="22">
        <x:f t="shared" si="0"/>
        <x:v>10652.978656003761</x:v>
      </x:c>
      <x:c r="I66" s="22">
        <x:v>1022685.9509763611</x:v>
      </x:c>
    </x:row>
    <x:row r="67">
      <x:c r="A67" s="10" t="s">
        <x:v>75</x:v>
      </x:c>
      <x:c r="B67" s="10">
        <x:v>3420</x:v>
      </x:c>
      <x:c r="C67" s="10">
        <x:v>13088</x:v>
      </x:c>
      <x:c r="D67" s="10" t="s">
        <x:v>1</x:v>
      </x:c>
      <x:c r="E67" s="10" t="s">
        <x:v>44</x:v>
      </x:c>
      <x:c r="F67" s="10">
        <x:v>20</x:v>
      </x:c>
      <x:c r="G67" s="10">
        <x:v>99</x:v>
      </x:c>
      <x:c r="H67" s="22" t="n">
        <x:f t="shared" ref="H67:H130" si="1">I67/G67</x:f>
        <x:v>10330.161120973344</x:v>
      </x:c>
      <x:c r="I67" s="22">
        <x:v>1022685.9509763611</x:v>
      </x:c>
    </x:row>
    <x:row r="68">
      <x:c r="A68" s="10" t="s">
        <x:v>75</x:v>
      </x:c>
      <x:c r="B68" s="10">
        <x:v>3421</x:v>
      </x:c>
      <x:c r="C68" s="10">
        <x:v>13089</x:v>
      </x:c>
      <x:c r="D68" s="10" t="s">
        <x:v>1</x:v>
      </x:c>
      <x:c r="E68" s="10" t="s">
        <x:v>44</x:v>
      </x:c>
      <x:c r="F68" s="10">
        <x:v>20</x:v>
      </x:c>
      <x:c r="G68" s="10">
        <x:v>88</x:v>
      </x:c>
      <x:c r="H68" s="22">
        <x:f t="shared" si="1"/>
        <x:v>11450.976715640467</x:v>
      </x:c>
      <x:c r="I68" s="22">
        <x:v>1007685.9509763611</x:v>
      </x:c>
    </x:row>
    <x:row r="69">
      <x:c r="A69" s="10" t="s">
        <x:v>75</x:v>
      </x:c>
      <x:c r="B69" s="10">
        <x:v>3422</x:v>
      </x:c>
      <x:c r="C69" s="10">
        <x:v>13090</x:v>
      </x:c>
      <x:c r="D69" s="10" t="s">
        <x:v>1</x:v>
      </x:c>
      <x:c r="E69" s="10" t="s">
        <x:v>44</x:v>
      </x:c>
      <x:c r="F69" s="10">
        <x:v>20</x:v>
      </x:c>
      <x:c r="G69" s="10">
        <x:v>97</x:v>
      </x:c>
      <x:c r="H69" s="22">
        <x:f t="shared" si="1"/>
        <x:v>10388.514958519187</x:v>
      </x:c>
      <x:c r="I69" s="22">
        <x:v>1007685.9509763611</x:v>
      </x:c>
    </x:row>
    <x:row r="70">
      <x:c r="A70" s="10" t="s">
        <x:v>75</x:v>
      </x:c>
      <x:c r="B70" s="10">
        <x:v>3423</x:v>
      </x:c>
      <x:c r="C70" s="10">
        <x:v>13091</x:v>
      </x:c>
      <x:c r="D70" s="10" t="s">
        <x:v>1</x:v>
      </x:c>
      <x:c r="E70" s="10" t="s">
        <x:v>44</x:v>
      </x:c>
      <x:c r="F70" s="10">
        <x:v>20</x:v>
      </x:c>
      <x:c r="G70" s="10">
        <x:v>97</x:v>
      </x:c>
      <x:c r="H70" s="22">
        <x:f t="shared" si="1"/>
        <x:v>10543.154133776918</x:v>
      </x:c>
      <x:c r="I70" s="22">
        <x:v>1022685.9509763611</x:v>
      </x:c>
    </x:row>
    <x:row r="71">
      <x:c r="A71" s="10" t="s">
        <x:v>75</x:v>
      </x:c>
      <x:c r="B71" s="10">
        <x:v>3424</x:v>
      </x:c>
      <x:c r="C71" s="10">
        <x:v>13092</x:v>
      </x:c>
      <x:c r="D71" s="10" t="s">
        <x:v>1</x:v>
      </x:c>
      <x:c r="E71" s="10" t="s">
        <x:v>44</x:v>
      </x:c>
      <x:c r="F71" s="10">
        <x:v>31</x:v>
      </x:c>
      <x:c r="G71" s="10">
        <x:v>168</x:v>
      </x:c>
      <x:c r="H71" s="22">
        <x:f t="shared" si="1"/>
        <x:v>10807.318319089583</x:v>
      </x:c>
      <x:c r="I71" s="22">
        <x:v>1815629.47760705</x:v>
      </x:c>
    </x:row>
    <x:row r="72">
      <x:c r="A72" s="10" t="s">
        <x:v>75</x:v>
      </x:c>
      <x:c r="B72" s="10">
        <x:v>3434</x:v>
      </x:c>
      <x:c r="C72" s="10">
        <x:v>13223</x:v>
      </x:c>
      <x:c r="D72" s="10" t="s">
        <x:v>1</x:v>
      </x:c>
      <x:c r="E72" s="10" t="s">
        <x:v>1</x:v>
      </x:c>
      <x:c r="F72" s="10">
        <x:v>16</x:v>
      </x:c>
      <x:c r="G72" s="10">
        <x:v>93</x:v>
      </x:c>
      <x:c r="H72" s="22">
        <x:f t="shared" si="1"/>
        <x:v>9962.4396513756674</x:v>
      </x:c>
      <x:c r="I72" s="22">
        <x:v>926506.88757793698</x:v>
      </x:c>
    </x:row>
    <x:row r="73">
      <x:c r="A73" s="10" t="s">
        <x:v>75</x:v>
      </x:c>
      <x:c r="B73" s="10">
        <x:v>3443</x:v>
      </x:c>
      <x:c r="C73" s="10">
        <x:v>13311</x:v>
      </x:c>
      <x:c r="D73" s="10" t="s">
        <x:v>6</x:v>
      </x:c>
      <x:c r="E73" s="10" t="s">
        <x:v>47</x:v>
      </x:c>
      <x:c r="F73" s="10">
        <x:v>0</x:v>
      </x:c>
      <x:c r="G73" s="10">
        <x:v>105</x:v>
      </x:c>
      <x:c r="H73" s="22">
        <x:f t="shared" si="1"/>
        <x:v>9739.8661997748677</x:v>
      </x:c>
      <x:c r="I73" s="22">
        <x:v>1022685.9509763611</x:v>
      </x:c>
    </x:row>
    <x:row r="74">
      <x:c r="A74" s="10" t="s">
        <x:v>75</x:v>
      </x:c>
      <x:c r="B74" s="10">
        <x:v>3487</x:v>
      </x:c>
      <x:c r="C74" s="10">
        <x:v>13039</x:v>
      </x:c>
      <x:c r="D74" s="10" t="s">
        <x:v>2</x:v>
      </x:c>
      <x:c r="E74" s="10" t="s">
        <x:v>43</x:v>
      </x:c>
      <x:c r="F74" s="10">
        <x:v>20</x:v>
      </x:c>
      <x:c r="G74" s="10">
        <x:v>107</x:v>
      </x:c>
      <x:c r="H74" s="22">
        <x:f t="shared" si="1"/>
        <x:v>9478.3733736108516</x:v>
      </x:c>
      <x:c r="I74" s="22">
        <x:v>1014185.9509763611</x:v>
      </x:c>
    </x:row>
    <x:row r="75">
      <x:c r="A75" s="10" t="s">
        <x:v>75</x:v>
      </x:c>
      <x:c r="B75" s="10">
        <x:v>3489</x:v>
      </x:c>
      <x:c r="C75" s="10">
        <x:v>13093</x:v>
      </x:c>
      <x:c r="D75" s="10" t="s">
        <x:v>1</x:v>
      </x:c>
      <x:c r="E75" s="10" t="s">
        <x:v>44</x:v>
      </x:c>
      <x:c r="F75" s="10">
        <x:v>18</x:v>
      </x:c>
      <x:c r="G75" s="10">
        <x:v>106</x:v>
      </x:c>
      <x:c r="H75" s="22">
        <x:f t="shared" si="1"/>
        <x:v>9647.9806695883126</x:v>
      </x:c>
      <x:c r="I75" s="22">
        <x:v>1022685.9509763611</x:v>
      </x:c>
    </x:row>
    <x:row r="76">
      <x:c r="A76" s="10" t="s">
        <x:v>75</x:v>
      </x:c>
      <x:c r="B76" s="10">
        <x:v>3495</x:v>
      </x:c>
      <x:c r="C76" s="10">
        <x:v>13094</x:v>
      </x:c>
      <x:c r="D76" s="10" t="s">
        <x:v>1</x:v>
      </x:c>
      <x:c r="E76" s="10" t="s">
        <x:v>44</x:v>
      </x:c>
      <x:c r="F76" s="10">
        <x:v>18</x:v>
      </x:c>
      <x:c r="G76" s="10">
        <x:v>107</x:v>
      </x:c>
      <x:c r="H76" s="22">
        <x:f t="shared" si="1"/>
        <x:v>9557.8126259472992</x:v>
      </x:c>
      <x:c r="I76" s="22">
        <x:v>1022685.9509763611</x:v>
      </x:c>
    </x:row>
    <x:row r="77">
      <x:c r="A77" s="10" t="s">
        <x:v>75</x:v>
      </x:c>
      <x:c r="B77" s="10">
        <x:v>3498</x:v>
      </x:c>
      <x:c r="C77" s="10">
        <x:v>13312</x:v>
      </x:c>
      <x:c r="D77" s="10" t="s">
        <x:v>1</x:v>
      </x:c>
      <x:c r="E77" s="10" t="s">
        <x:v>44</x:v>
      </x:c>
      <x:c r="F77" s="10">
        <x:v>18</x:v>
      </x:c>
      <x:c r="G77" s="10">
        <x:v>102</x:v>
      </x:c>
      <x:c r="H77" s="22">
        <x:f t="shared" si="1"/>
        <x:v>10026.332852709422</x:v>
      </x:c>
      <x:c r="I77" s="22">
        <x:v>1022685.9509763611</x:v>
      </x:c>
    </x:row>
    <x:row r="78">
      <x:c r="A78" s="10" t="s">
        <x:v>75</x:v>
      </x:c>
      <x:c r="B78" s="10">
        <x:v>3500</x:v>
      </x:c>
      <x:c r="C78" s="10">
        <x:v>13095</x:v>
      </x:c>
      <x:c r="D78" s="10" t="s">
        <x:v>1</x:v>
      </x:c>
      <x:c r="E78" s="10" t="s">
        <x:v>44</x:v>
      </x:c>
      <x:c r="F78" s="10">
        <x:v>18</x:v>
      </x:c>
      <x:c r="G78" s="10">
        <x:v>101</x:v>
      </x:c>
      <x:c r="H78" s="22">
        <x:f t="shared" si="1"/>
        <x:v>10125.603475013475</x:v>
      </x:c>
      <x:c r="I78" s="22">
        <x:v>1022685.9509763611</x:v>
      </x:c>
    </x:row>
    <x:row r="79">
      <x:c r="A79" s="10" t="s">
        <x:v>75</x:v>
      </x:c>
      <x:c r="B79" s="10">
        <x:v>3508</x:v>
      </x:c>
      <x:c r="C79" s="10">
        <x:v>13342</x:v>
      </x:c>
      <x:c r="D79" s="10" t="s">
        <x:v>1</x:v>
      </x:c>
      <x:c r="E79" s="10" t="s">
        <x:v>44</x:v>
      </x:c>
      <x:c r="F79" s="10">
        <x:v>18</x:v>
      </x:c>
      <x:c r="G79" s="10">
        <x:v>100</x:v>
      </x:c>
      <x:c r="H79" s="22">
        <x:f t="shared" si="1"/>
        <x:v>10226.85950976361</x:v>
      </x:c>
      <x:c r="I79" s="22">
        <x:v>1022685.9509763611</x:v>
      </x:c>
    </x:row>
    <x:row r="80">
      <x:c r="A80" s="10" t="s">
        <x:v>75</x:v>
      </x:c>
      <x:c r="B80" s="10">
        <x:v>3509</x:v>
      </x:c>
      <x:c r="C80" s="10">
        <x:v>13343</x:v>
      </x:c>
      <x:c r="D80" s="10" t="s">
        <x:v>1</x:v>
      </x:c>
      <x:c r="E80" s="10" t="s">
        <x:v>44</x:v>
      </x:c>
      <x:c r="F80" s="10">
        <x:v>18</x:v>
      </x:c>
      <x:c r="G80" s="10">
        <x:v>96</x:v>
      </x:c>
      <x:c r="H80" s="22">
        <x:f t="shared" si="1"/>
        <x:v>10652.978656003761</x:v>
      </x:c>
      <x:c r="I80" s="22">
        <x:v>1022685.9509763611</x:v>
      </x:c>
    </x:row>
    <x:row r="81">
      <x:c r="A81" s="10" t="s">
        <x:v>75</x:v>
      </x:c>
      <x:c r="B81" s="10">
        <x:v>3510</x:v>
      </x:c>
      <x:c r="C81" s="10">
        <x:v>13344</x:v>
      </x:c>
      <x:c r="D81" s="10" t="s">
        <x:v>1</x:v>
      </x:c>
      <x:c r="E81" s="10" t="s">
        <x:v>44</x:v>
      </x:c>
      <x:c r="F81" s="10">
        <x:v>19</x:v>
      </x:c>
      <x:c r="G81" s="10">
        <x:v>100</x:v>
      </x:c>
      <x:c r="H81" s="22">
        <x:f t="shared" si="1"/>
        <x:v>10076.85950976361</x:v>
      </x:c>
      <x:c r="I81" s="22">
        <x:v>1007685.9509763611</x:v>
      </x:c>
    </x:row>
    <x:row r="82">
      <x:c r="A82" s="10" t="s">
        <x:v>75</x:v>
      </x:c>
      <x:c r="B82" s="10">
        <x:v>3511</x:v>
      </x:c>
      <x:c r="C82" s="10">
        <x:v>13096</x:v>
      </x:c>
      <x:c r="D82" s="10" t="s">
        <x:v>1</x:v>
      </x:c>
      <x:c r="E82" s="10" t="s">
        <x:v>44</x:v>
      </x:c>
      <x:c r="F82" s="10">
        <x:v>19</x:v>
      </x:c>
      <x:c r="G82" s="10">
        <x:v>97</x:v>
      </x:c>
      <x:c r="H82" s="22">
        <x:f t="shared" si="1"/>
        <x:v>10491.60774202434</x:v>
      </x:c>
      <x:c r="I82" s="22">
        <x:v>1017685.9509763611</x:v>
      </x:c>
    </x:row>
    <x:row r="83">
      <x:c r="A83" s="10" t="s">
        <x:v>75</x:v>
      </x:c>
      <x:c r="B83" s="10">
        <x:v>3512</x:v>
      </x:c>
      <x:c r="C83" s="10">
        <x:v>13313</x:v>
      </x:c>
      <x:c r="D83" s="10" t="s">
        <x:v>1</x:v>
      </x:c>
      <x:c r="E83" s="10" t="s">
        <x:v>44</x:v>
      </x:c>
      <x:c r="F83" s="10">
        <x:v>19</x:v>
      </x:c>
      <x:c r="G83" s="10">
        <x:v>97</x:v>
      </x:c>
      <x:c r="H83" s="22">
        <x:f t="shared" si="1"/>
        <x:v>10543.154133776918</x:v>
      </x:c>
      <x:c r="I83" s="22">
        <x:v>1022685.9509763611</x:v>
      </x:c>
    </x:row>
    <x:row r="84">
      <x:c r="A84" s="10" t="s">
        <x:v>75</x:v>
      </x:c>
      <x:c r="B84" s="10">
        <x:v>3516</x:v>
      </x:c>
      <x:c r="C84" s="10">
        <x:v>13314</x:v>
      </x:c>
      <x:c r="D84" s="10" t="s">
        <x:v>1</x:v>
      </x:c>
      <x:c r="E84" s="10" t="s">
        <x:v>44</x:v>
      </x:c>
      <x:c r="F84" s="10">
        <x:v>19</x:v>
      </x:c>
      <x:c r="G84" s="10">
        <x:v>102</x:v>
      </x:c>
      <x:c r="H84" s="22">
        <x:f t="shared" si="1"/>
        <x:v>10276.332852709422</x:v>
      </x:c>
      <x:c r="I84" s="22">
        <x:v>1048185.9509763611</x:v>
      </x:c>
    </x:row>
    <x:row r="85">
      <x:c r="A85" s="10" t="s">
        <x:v>75</x:v>
      </x:c>
      <x:c r="B85" s="10">
        <x:v>3522</x:v>
      </x:c>
      <x:c r="C85" s="10">
        <x:v>13345</x:v>
      </x:c>
      <x:c r="D85" s="10" t="s">
        <x:v>1</x:v>
      </x:c>
      <x:c r="E85" s="10" t="s">
        <x:v>44</x:v>
      </x:c>
      <x:c r="F85" s="10">
        <x:v>19</x:v>
      </x:c>
      <x:c r="G85" s="10">
        <x:v>107</x:v>
      </x:c>
      <x:c r="H85" s="22">
        <x:f t="shared" si="1"/>
        <x:v>9511.0836539846823</x:v>
      </x:c>
      <x:c r="I85" s="22">
        <x:v>1017685.9509763611</x:v>
      </x:c>
    </x:row>
    <x:row r="86">
      <x:c r="A86" s="10" t="s">
        <x:v>75</x:v>
      </x:c>
      <x:c r="B86" s="10">
        <x:v>3525</x:v>
      </x:c>
      <x:c r="C86" s="10">
        <x:v>13346</x:v>
      </x:c>
      <x:c r="D86" s="10" t="s">
        <x:v>1</x:v>
      </x:c>
      <x:c r="E86" s="10" t="s">
        <x:v>44</x:v>
      </x:c>
      <x:c r="F86" s="10">
        <x:v>19</x:v>
      </x:c>
      <x:c r="G86" s="10">
        <x:v>93</x:v>
      </x:c>
      <x:c r="H86" s="22">
        <x:f t="shared" si="1"/>
        <x:v>10996.623128778076</x:v>
      </x:c>
      <x:c r="I86" s="22">
        <x:v>1022685.9509763611</x:v>
      </x:c>
    </x:row>
    <x:row r="87">
      <x:c r="A87" s="12" t="s">
        <x:v>75</x:v>
      </x:c>
      <x:c r="B87" s="12">
        <x:v>3526</x:v>
      </x:c>
      <x:c r="C87" s="12">
        <x:v>13246</x:v>
      </x:c>
      <x:c r="D87" s="10" t="s">
        <x:v>1</x:v>
      </x:c>
      <x:c r="E87" s="12" t="s">
        <x:v>44</x:v>
      </x:c>
      <x:c r="F87" s="12">
        <x:v>21</x:v>
      </x:c>
      <x:c r="G87" s="12">
        <x:v>106</x:v>
      </x:c>
      <x:c r="H87" s="22">
        <x:f t="shared" si="1"/>
        <x:v>9872.037273361897</x:v>
      </x:c>
      <x:c r="I87" s="22">
        <x:v>1046435.9509763611</x:v>
      </x:c>
    </x:row>
    <x:row r="88">
      <x:c r="A88" s="10" t="s">
        <x:v>75</x:v>
      </x:c>
      <x:c r="B88" s="10">
        <x:v>3530</x:v>
      </x:c>
      <x:c r="C88" s="10">
        <x:v>13347</x:v>
      </x:c>
      <x:c r="D88" s="10" t="s">
        <x:v>1</x:v>
      </x:c>
      <x:c r="E88" s="10" t="s">
        <x:v>44</x:v>
      </x:c>
      <x:c r="F88" s="10">
        <x:v>19</x:v>
      </x:c>
      <x:c r="G88" s="10">
        <x:v>100</x:v>
      </x:c>
      <x:c r="H88" s="22">
        <x:f t="shared" si="1"/>
        <x:v>10026.85950976361</x:v>
      </x:c>
      <x:c r="I88" s="22">
        <x:v>1002685.9509763611</x:v>
      </x:c>
    </x:row>
    <x:row r="89">
      <x:c r="A89" s="10" t="s">
        <x:v>75</x:v>
      </x:c>
      <x:c r="B89" s="10">
        <x:v>3534</x:v>
      </x:c>
      <x:c r="C89" s="10">
        <x:v>13348</x:v>
      </x:c>
      <x:c r="D89" s="10" t="s">
        <x:v>1</x:v>
      </x:c>
      <x:c r="E89" s="10" t="s">
        <x:v>44</x:v>
      </x:c>
      <x:c r="F89" s="10">
        <x:v>19</x:v>
      </x:c>
      <x:c r="G89" s="10">
        <x:v>97</x:v>
      </x:c>
      <x:c r="H89" s="22">
        <x:f t="shared" si="1"/>
        <x:v>10388.514958519187</x:v>
      </x:c>
      <x:c r="I89" s="22">
        <x:v>1007685.9509763611</x:v>
      </x:c>
    </x:row>
    <x:row r="90">
      <x:c r="A90" s="10" t="s">
        <x:v>75</x:v>
      </x:c>
      <x:c r="B90" s="10">
        <x:v>3536</x:v>
      </x:c>
      <x:c r="C90" s="10">
        <x:v>13097</x:v>
      </x:c>
      <x:c r="D90" s="10" t="s">
        <x:v>1</x:v>
      </x:c>
      <x:c r="E90" s="10" t="s">
        <x:v>44</x:v>
      </x:c>
      <x:c r="F90" s="10">
        <x:v>19</x:v>
      </x:c>
      <x:c r="G90" s="10">
        <x:v>97</x:v>
      </x:c>
      <x:c r="H90" s="22">
        <x:f t="shared" si="1"/>
        <x:v>10543.154133776918</x:v>
      </x:c>
      <x:c r="I90" s="22">
        <x:v>1022685.9509763611</x:v>
      </x:c>
    </x:row>
    <x:row r="91">
      <x:c r="A91" s="10" t="s">
        <x:v>75</x:v>
      </x:c>
      <x:c r="B91" s="10">
        <x:v>3537</x:v>
      </x:c>
      <x:c r="C91" s="10">
        <x:v>13349</x:v>
      </x:c>
      <x:c r="D91" s="10" t="s">
        <x:v>1</x:v>
      </x:c>
      <x:c r="E91" s="10" t="s">
        <x:v>44</x:v>
      </x:c>
      <x:c r="F91" s="10">
        <x:v>19</x:v>
      </x:c>
      <x:c r="G91" s="10">
        <x:v>97</x:v>
      </x:c>
      <x:c r="H91" s="22">
        <x:f t="shared" si="1"/>
        <x:v>10336.968566766609</x:v>
      </x:c>
      <x:c r="I91" s="22">
        <x:v>1002685.9509763611</x:v>
      </x:c>
    </x:row>
    <x:row r="92">
      <x:c r="A92" s="10" t="s">
        <x:v>75</x:v>
      </x:c>
      <x:c r="B92" s="10">
        <x:v>3540</x:v>
      </x:c>
      <x:c r="C92" s="10">
        <x:v>13350</x:v>
      </x:c>
      <x:c r="D92" s="10" t="s">
        <x:v>1</x:v>
      </x:c>
      <x:c r="E92" s="10" t="s">
        <x:v>44</x:v>
      </x:c>
      <x:c r="F92" s="10">
        <x:v>19</x:v>
      </x:c>
      <x:c r="G92" s="10">
        <x:v>98</x:v>
      </x:c>
      <x:c r="H92" s="22">
        <x:f t="shared" si="1"/>
        <x:v>10435.570928330215</x:v>
      </x:c>
      <x:c r="I92" s="22">
        <x:v>1022685.9509763611</x:v>
      </x:c>
    </x:row>
    <x:row r="93">
      <x:c r="A93" s="10" t="s">
        <x:v>75</x:v>
      </x:c>
      <x:c r="B93" s="10">
        <x:v>3542</x:v>
      </x:c>
      <x:c r="C93" s="10">
        <x:v>13351</x:v>
      </x:c>
      <x:c r="D93" s="10" t="s">
        <x:v>1</x:v>
      </x:c>
      <x:c r="E93" s="10" t="s">
        <x:v>44</x:v>
      </x:c>
      <x:c r="F93" s="10">
        <x:v>19</x:v>
      </x:c>
      <x:c r="G93" s="10">
        <x:v>101</x:v>
      </x:c>
      <x:c r="H93" s="22">
        <x:f t="shared" si="1"/>
        <x:v>10125.603475013475</x:v>
      </x:c>
      <x:c r="I93" s="22">
        <x:v>1022685.9509763611</x:v>
      </x:c>
    </x:row>
    <x:row r="94">
      <x:c r="A94" s="10" t="s">
        <x:v>75</x:v>
      </x:c>
      <x:c r="B94" s="10">
        <x:v>3543</x:v>
      </x:c>
      <x:c r="C94" s="10">
        <x:v>13352</x:v>
      </x:c>
      <x:c r="D94" s="10" t="s">
        <x:v>1</x:v>
      </x:c>
      <x:c r="E94" s="10" t="s">
        <x:v>44</x:v>
      </x:c>
      <x:c r="F94" s="10">
        <x:v>19</x:v>
      </x:c>
      <x:c r="G94" s="10">
        <x:v>98</x:v>
      </x:c>
      <x:c r="H94" s="22">
        <x:f t="shared" si="1"/>
        <x:v>10435.570928330215</x:v>
      </x:c>
      <x:c r="I94" s="22">
        <x:v>1022685.9509763611</x:v>
      </x:c>
    </x:row>
    <x:row r="95">
      <x:c r="A95" s="10" t="s">
        <x:v>75</x:v>
      </x:c>
      <x:c r="B95" s="10">
        <x:v>3545</x:v>
      </x:c>
      <x:c r="C95" s="10">
        <x:v>13098</x:v>
      </x:c>
      <x:c r="D95" s="10" t="s">
        <x:v>1</x:v>
      </x:c>
      <x:c r="E95" s="10" t="s">
        <x:v>44</x:v>
      </x:c>
      <x:c r="F95" s="10">
        <x:v>19</x:v>
      </x:c>
      <x:c r="G95" s="10">
        <x:v>107</x:v>
      </x:c>
      <x:c r="H95" s="22">
        <x:f t="shared" si="1"/>
        <x:v>9770.4294483772064</x:v>
      </x:c>
      <x:c r="I95" s="22">
        <x:v>1045435.9509763611</x:v>
      </x:c>
    </x:row>
    <x:row r="96">
      <x:c r="A96" s="10" t="s">
        <x:v>75</x:v>
      </x:c>
      <x:c r="B96" s="10">
        <x:v>3551</x:v>
      </x:c>
      <x:c r="C96" s="10">
        <x:v>13353</x:v>
      </x:c>
      <x:c r="D96" s="10" t="s">
        <x:v>1</x:v>
      </x:c>
      <x:c r="E96" s="10" t="s">
        <x:v>44</x:v>
      </x:c>
      <x:c r="F96" s="10">
        <x:v>19</x:v>
      </x:c>
      <x:c r="G96" s="10">
        <x:v>95</x:v>
      </x:c>
      <x:c r="H96" s="22">
        <x:f t="shared" si="1"/>
        <x:v>10765.11527343538</x:v>
      </x:c>
      <x:c r="I96" s="22">
        <x:v>1022685.9509763611</x:v>
      </x:c>
    </x:row>
    <x:row r="97">
      <x:c r="A97" s="10" t="s">
        <x:v>75</x:v>
      </x:c>
      <x:c r="B97" s="10">
        <x:v>3552</x:v>
      </x:c>
      <x:c r="C97" s="10">
        <x:v>13315</x:v>
      </x:c>
      <x:c r="D97" s="10" t="s">
        <x:v>1</x:v>
      </x:c>
      <x:c r="E97" s="10" t="s">
        <x:v>44</x:v>
      </x:c>
      <x:c r="F97" s="10">
        <x:v>20</x:v>
      </x:c>
      <x:c r="G97" s="10">
        <x:v>97</x:v>
      </x:c>
      <x:c r="H97" s="22">
        <x:f t="shared" si="1"/>
        <x:v>10388.514958519187</x:v>
      </x:c>
      <x:c r="I97" s="22">
        <x:v>1007685.9509763611</x:v>
      </x:c>
    </x:row>
    <x:row r="98">
      <x:c r="A98" s="10" t="s">
        <x:v>75</x:v>
      </x:c>
      <x:c r="B98" s="10">
        <x:v>3560</x:v>
      </x:c>
      <x:c r="C98" s="10">
        <x:v>13099</x:v>
      </x:c>
      <x:c r="D98" s="10" t="s">
        <x:v>1</x:v>
      </x:c>
      <x:c r="E98" s="10" t="s">
        <x:v>44</x:v>
      </x:c>
      <x:c r="F98" s="10">
        <x:v>20</x:v>
      </x:c>
      <x:c r="G98" s="10">
        <x:v>99</x:v>
      </x:c>
      <x:c r="H98" s="22">
        <x:f t="shared" si="1"/>
        <x:v>10178.645969458192</x:v>
      </x:c>
      <x:c r="I98" s="22">
        <x:v>1007685.9509763611</x:v>
      </x:c>
    </x:row>
    <x:row r="99">
      <x:c r="A99" s="10" t="s">
        <x:v>75</x:v>
      </x:c>
      <x:c r="B99" s="10">
        <x:v>3563</x:v>
      </x:c>
      <x:c r="C99" s="10">
        <x:v>13354</x:v>
      </x:c>
      <x:c r="D99" s="10" t="s">
        <x:v>1</x:v>
      </x:c>
      <x:c r="E99" s="10" t="s">
        <x:v>44</x:v>
      </x:c>
      <x:c r="F99" s="10">
        <x:v>20</x:v>
      </x:c>
      <x:c r="G99" s="10">
        <x:v>104</x:v>
      </x:c>
      <x:c r="H99" s="22">
        <x:f t="shared" si="1"/>
        <x:v>9833.5187593880873</x:v>
      </x:c>
      <x:c r="I99" s="22">
        <x:v>1022685.9509763611</x:v>
      </x:c>
    </x:row>
    <x:row r="100">
      <x:c r="A100" s="10" t="s">
        <x:v>75</x:v>
      </x:c>
      <x:c r="B100" s="10">
        <x:v>3564</x:v>
      </x:c>
      <x:c r="C100" s="10">
        <x:v>13100</x:v>
      </x:c>
      <x:c r="D100" s="10" t="s">
        <x:v>1</x:v>
      </x:c>
      <x:c r="E100" s="10" t="s">
        <x:v>44</x:v>
      </x:c>
      <x:c r="F100" s="10">
        <x:v>20</x:v>
      </x:c>
      <x:c r="G100" s="10">
        <x:v>104</x:v>
      </x:c>
      <x:c r="H100" s="22">
        <x:f t="shared" si="1"/>
        <x:v>9641.2110670803941</x:v>
      </x:c>
      <x:c r="I100" s="22">
        <x:v>1002685.9509763611</x:v>
      </x:c>
    </x:row>
    <x:row r="101">
      <x:c r="A101" s="10" t="s">
        <x:v>75</x:v>
      </x:c>
      <x:c r="B101" s="10">
        <x:v>3566</x:v>
      </x:c>
      <x:c r="C101" s="10">
        <x:v>13101</x:v>
      </x:c>
      <x:c r="D101" s="10" t="s">
        <x:v>1</x:v>
      </x:c>
      <x:c r="E101" s="10" t="s">
        <x:v>44</x:v>
      </x:c>
      <x:c r="F101" s="10">
        <x:v>20</x:v>
      </x:c>
      <x:c r="G101" s="10">
        <x:v>101</x:v>
      </x:c>
      <x:c r="H101" s="22">
        <x:f t="shared" si="1"/>
        <x:v>9977.0886235283269</x:v>
      </x:c>
      <x:c r="I101" s="22">
        <x:v>1007685.9509763611</x:v>
      </x:c>
    </x:row>
    <x:row r="102">
      <x:c r="A102" s="10" t="s">
        <x:v>75</x:v>
      </x:c>
      <x:c r="B102" s="10">
        <x:v>3567</x:v>
      </x:c>
      <x:c r="C102" s="10">
        <x:v>13355</x:v>
      </x:c>
      <x:c r="D102" s="10" t="s">
        <x:v>1</x:v>
      </x:c>
      <x:c r="E102" s="10" t="s">
        <x:v>44</x:v>
      </x:c>
      <x:c r="F102" s="10">
        <x:v>20</x:v>
      </x:c>
      <x:c r="G102" s="10">
        <x:v>98</x:v>
      </x:c>
      <x:c r="H102" s="22">
        <x:f t="shared" si="1"/>
        <x:v>10435.570928330215</x:v>
      </x:c>
      <x:c r="I102" s="22">
        <x:v>1022685.9509763611</x:v>
      </x:c>
    </x:row>
    <x:row r="103">
      <x:c r="A103" s="10" t="s">
        <x:v>75</x:v>
      </x:c>
      <x:c r="B103" s="10">
        <x:v>3570</x:v>
      </x:c>
      <x:c r="C103" s="10">
        <x:v>13356</x:v>
      </x:c>
      <x:c r="D103" s="10" t="s">
        <x:v>1</x:v>
      </x:c>
      <x:c r="E103" s="10" t="s">
        <x:v>44</x:v>
      </x:c>
      <x:c r="F103" s="10">
        <x:v>20</x:v>
      </x:c>
      <x:c r="G103" s="10">
        <x:v>93</x:v>
      </x:c>
      <x:c r="H103" s="22">
        <x:f t="shared" si="1"/>
        <x:v>10942.85968791786</x:v>
      </x:c>
      <x:c r="I103" s="22">
        <x:v>1017685.9509763611</x:v>
      </x:c>
    </x:row>
    <x:row r="104">
      <x:c r="A104" s="10" t="s">
        <x:v>75</x:v>
      </x:c>
      <x:c r="B104" s="10">
        <x:v>3571</x:v>
      </x:c>
      <x:c r="C104" s="10">
        <x:v>13102</x:v>
      </x:c>
      <x:c r="D104" s="10" t="s">
        <x:v>1</x:v>
      </x:c>
      <x:c r="E104" s="10" t="s">
        <x:v>44</x:v>
      </x:c>
      <x:c r="F104" s="10">
        <x:v>20</x:v>
      </x:c>
      <x:c r="G104" s="10">
        <x:v>96</x:v>
      </x:c>
      <x:c r="H104" s="22">
        <x:f t="shared" si="1"/>
        <x:v>10496.728656003761</x:v>
      </x:c>
      <x:c r="I104" s="22">
        <x:v>1007685.9509763611</x:v>
      </x:c>
    </x:row>
    <x:row r="105">
      <x:c r="A105" s="10" t="s">
        <x:v>75</x:v>
      </x:c>
      <x:c r="B105" s="10">
        <x:v>3580</x:v>
      </x:c>
      <x:c r="C105" s="10">
        <x:v>13357</x:v>
      </x:c>
      <x:c r="D105" s="10" t="s">
        <x:v>9</x:v>
      </x:c>
      <x:c r="E105" s="10" t="s">
        <x:v>45</x:v>
      </x:c>
      <x:c r="F105" s="10">
        <x:v>20</x:v>
      </x:c>
      <x:c r="G105" s="10">
        <x:v>102</x:v>
      </x:c>
      <x:c r="H105" s="22">
        <x:f t="shared" si="1"/>
        <x:v>10026.332852709422</x:v>
      </x:c>
      <x:c r="I105" s="22">
        <x:v>1022685.9509763611</x:v>
      </x:c>
    </x:row>
    <x:row r="106">
      <x:c r="A106" s="10" t="s">
        <x:v>75</x:v>
      </x:c>
      <x:c r="B106" s="10">
        <x:v>3581</x:v>
      </x:c>
      <x:c r="C106" s="10">
        <x:v>13316</x:v>
      </x:c>
      <x:c r="D106" s="10" t="s">
        <x:v>9</x:v>
      </x:c>
      <x:c r="E106" s="10" t="s">
        <x:v>45</x:v>
      </x:c>
      <x:c r="F106" s="10">
        <x:v>19</x:v>
      </x:c>
      <x:c r="G106" s="10">
        <x:v>105</x:v>
      </x:c>
      <x:c r="H106" s="22">
        <x:f t="shared" si="1"/>
        <x:v>9597.0090569177246</x:v>
      </x:c>
      <x:c r="I106" s="22">
        <x:v>1007685.9509763611</x:v>
      </x:c>
    </x:row>
    <x:row r="107">
      <x:c r="A107" s="10" t="s">
        <x:v>75</x:v>
      </x:c>
      <x:c r="B107" s="10">
        <x:v>3587</x:v>
      </x:c>
      <x:c r="C107" s="10">
        <x:v>13358</x:v>
      </x:c>
      <x:c r="D107" s="10" t="s">
        <x:v>1</x:v>
      </x:c>
      <x:c r="E107" s="10" t="s">
        <x:v>46</x:v>
      </x:c>
      <x:c r="F107" s="10">
        <x:v>25</x:v>
      </x:c>
      <x:c r="G107" s="10">
        <x:v>130</x:v>
      </x:c>
      <x:c r="H107" s="22">
        <x:f t="shared" si="1"/>
        <x:v>9429.672605541924</x:v>
      </x:c>
      <x:c r="I107" s="22">
        <x:v>1225857.43872045</x:v>
      </x:c>
    </x:row>
    <x:row r="108">
      <x:c r="A108" s="10" t="s">
        <x:v>75</x:v>
      </x:c>
      <x:c r="B108" s="10">
        <x:v>3589</x:v>
      </x:c>
      <x:c r="C108" s="10">
        <x:v>13103</x:v>
      </x:c>
      <x:c r="D108" s="10" t="s">
        <x:v>1</x:v>
      </x:c>
      <x:c r="E108" s="10" t="s">
        <x:v>46</x:v>
      </x:c>
      <x:c r="F108" s="10">
        <x:v>25</x:v>
      </x:c>
      <x:c r="G108" s="10">
        <x:v>128</x:v>
      </x:c>
      <x:c r="H108" s="22">
        <x:f t="shared" si="1"/>
        <x:v>9577.0112400035159</x:v>
      </x:c>
      <x:c r="I108" s="22">
        <x:v>1225857.43872045</x:v>
      </x:c>
    </x:row>
    <x:row r="109">
      <x:c r="A109" s="10" t="s">
        <x:v>75</x:v>
      </x:c>
      <x:c r="B109" s="10">
        <x:v>3596</x:v>
      </x:c>
      <x:c r="C109" s="10">
        <x:v>13317</x:v>
      </x:c>
      <x:c r="D109" s="10" t="s">
        <x:v>6</x:v>
      </x:c>
      <x:c r="E109" s="10" t="s">
        <x:v>47</x:v>
      </x:c>
      <x:c r="F109" s="10">
        <x:v>0</x:v>
      </x:c>
      <x:c r="G109" s="10">
        <x:v>100</x:v>
      </x:c>
      <x:c r="H109" s="22">
        <x:f t="shared" si="1"/>
        <x:v>10076.85950976361</x:v>
      </x:c>
      <x:c r="I109" s="22">
        <x:v>1007685.9509763611</x:v>
      </x:c>
    </x:row>
    <x:row r="110">
      <x:c r="A110" s="10" t="s">
        <x:v>75</x:v>
      </x:c>
      <x:c r="B110" s="10">
        <x:v>3598</x:v>
      </x:c>
      <x:c r="C110" s="10">
        <x:v>13359</x:v>
      </x:c>
      <x:c r="D110" s="10" t="s">
        <x:v>6</x:v>
      </x:c>
      <x:c r="E110" s="10" t="s">
        <x:v>47</x:v>
      </x:c>
      <x:c r="F110" s="10">
        <x:v>0</x:v>
      </x:c>
      <x:c r="G110" s="10">
        <x:v>101</x:v>
      </x:c>
      <x:c r="H110" s="22">
        <x:f t="shared" si="1"/>
        <x:v>10125.603475013475</x:v>
      </x:c>
      <x:c r="I110" s="22">
        <x:v>1022685.9509763611</x:v>
      </x:c>
    </x:row>
    <x:row r="111">
      <x:c r="A111" s="10" t="s">
        <x:v>75</x:v>
      </x:c>
      <x:c r="B111" s="10">
        <x:v>3599</x:v>
      </x:c>
      <x:c r="C111" s="10">
        <x:v>13318</x:v>
      </x:c>
      <x:c r="D111" s="10" t="s">
        <x:v>6</x:v>
      </x:c>
      <x:c r="E111" s="10" t="s">
        <x:v>47</x:v>
      </x:c>
      <x:c r="F111" s="10">
        <x:v>0</x:v>
      </x:c>
      <x:c r="G111" s="10">
        <x:v>99</x:v>
      </x:c>
      <x:c r="H111" s="22">
        <x:f t="shared" si="1"/>
        <x:v>10178.645969458192</x:v>
      </x:c>
      <x:c r="I111" s="22">
        <x:v>1007685.9509763611</x:v>
      </x:c>
    </x:row>
    <x:row r="112">
      <x:c r="A112" s="10" t="s">
        <x:v>75</x:v>
      </x:c>
      <x:c r="B112" s="10">
        <x:v>5926</x:v>
      </x:c>
      <x:c r="C112" s="10">
        <x:v>13319</x:v>
      </x:c>
      <x:c r="D112" s="10" t="s">
        <x:v>9</x:v>
      </x:c>
      <x:c r="E112" s="10" t="s">
        <x:v>34</x:v>
      </x:c>
      <x:c r="F112" s="10">
        <x:v>29</x:v>
      </x:c>
      <x:c r="G112" s="10">
        <x:v>186</x:v>
      </x:c>
      <x:c r="H112" s="22">
        <x:f t="shared" si="1"/>
        <x:v>11199.580118025377</x:v>
      </x:c>
      <x:c r="I112" s="22">
        <x:v>2083121.90195272</x:v>
      </x:c>
    </x:row>
    <x:row r="113">
      <x:c r="A113" s="10" t="s">
        <x:v>75</x:v>
      </x:c>
      <x:c r="B113" s="10">
        <x:v>5930</x:v>
      </x:c>
      <x:c r="C113" s="10">
        <x:v>13320</x:v>
      </x:c>
      <x:c r="D113" s="10" t="s">
        <x:v>0</x:v>
      </x:c>
      <x:c r="E113" s="10" t="s">
        <x:v>63</x:v>
      </x:c>
      <x:c r="F113" s="10">
        <x:v>33</x:v>
      </x:c>
      <x:c r="G113" s="10">
        <x:v>195</x:v>
      </x:c>
      <x:c r="H113" s="22">
        <x:f t="shared" si="1"/>
        <x:v>10870.625138219079</x:v>
      </x:c>
      <x:c r="I113" s="22">
        <x:v>2119771.9019527202</x:v>
      </x:c>
    </x:row>
    <x:row r="114">
      <x:c r="A114" s="10" t="s">
        <x:v>75</x:v>
      </x:c>
      <x:c r="B114" s="10">
        <x:v>5931</x:v>
      </x:c>
      <x:c r="C114" s="10">
        <x:v>13321</x:v>
      </x:c>
      <x:c r="D114" s="10" t="s">
        <x:v>0</x:v>
      </x:c>
      <x:c r="E114" s="10" t="s">
        <x:v>63</x:v>
      </x:c>
      <x:c r="F114" s="10">
        <x:v>32</x:v>
      </x:c>
      <x:c r="G114" s="10">
        <x:v>187</x:v>
      </x:c>
      <x:c r="H114" s="22">
        <x:f t="shared" si="1"/>
        <x:v>11322.844395469092</x:v>
      </x:c>
      <x:c r="I114" s="22">
        <x:v>2117371.9019527202</x:v>
      </x:c>
    </x:row>
    <x:row r="115">
      <x:c r="A115" s="10" t="s">
        <x:v>75</x:v>
      </x:c>
      <x:c r="B115" s="10">
        <x:v>5932</x:v>
      </x:c>
      <x:c r="C115" s="10">
        <x:v>13104</x:v>
      </x:c>
      <x:c r="D115" s="10" t="s">
        <x:v>0</x:v>
      </x:c>
      <x:c r="E115" s="10" t="s">
        <x:v>63</x:v>
      </x:c>
      <x:c r="F115" s="10">
        <x:v>32</x:v>
      </x:c>
      <x:c r="G115" s="10">
        <x:v>194</x:v>
      </x:c>
      <x:c r="H115" s="22">
        <x:f t="shared" si="1"/>
        <x:v>10543.154133776907</x:v>
      </x:c>
      <x:c r="I115" s="22">
        <x:v>2045371.90195272</x:v>
      </x:c>
    </x:row>
    <x:row r="116">
      <x:c r="A116" s="10" t="s">
        <x:v>75</x:v>
      </x:c>
      <x:c r="B116" s="10">
        <x:v>5935</x:v>
      </x:c>
      <x:c r="C116" s="10">
        <x:v>13322</x:v>
      </x:c>
      <x:c r="D116" s="10" t="s">
        <x:v>0</x:v>
      </x:c>
      <x:c r="E116" s="10" t="s">
        <x:v>63</x:v>
      </x:c>
      <x:c r="F116" s="10">
        <x:v>32</x:v>
      </x:c>
      <x:c r="G116" s="10">
        <x:v>193</x:v>
      </x:c>
      <x:c r="H116" s="22">
        <x:f t="shared" si="1"/>
        <x:v>10985.346642242073</x:v>
      </x:c>
      <x:c r="I116" s="22">
        <x:v>2120171.9019527202</x:v>
      </x:c>
    </x:row>
    <x:row r="117">
      <x:c r="A117" s="10" t="s">
        <x:v>75</x:v>
      </x:c>
      <x:c r="B117" s="10">
        <x:v>5941</x:v>
      </x:c>
      <x:c r="C117" s="10">
        <x:v>13323</x:v>
      </x:c>
      <x:c r="D117" s="10" t="s">
        <x:v>0</x:v>
      </x:c>
      <x:c r="E117" s="10" t="s">
        <x:v>63</x:v>
      </x:c>
      <x:c r="F117" s="10">
        <x:v>31</x:v>
      </x:c>
      <x:c r="G117" s="10">
        <x:v>192</x:v>
      </x:c>
      <x:c r="H117" s="22">
        <x:f t="shared" si="1"/>
        <x:v>11023.811989337084</x:v>
      </x:c>
      <x:c r="I117" s="22">
        <x:v>2116571.9019527202</x:v>
      </x:c>
    </x:row>
    <x:row r="118">
      <x:c r="A118" s="10" t="s">
        <x:v>75</x:v>
      </x:c>
      <x:c r="B118" s="10">
        <x:v>5974</x:v>
      </x:c>
      <x:c r="C118" s="10">
        <x:v>13324</x:v>
      </x:c>
      <x:c r="D118" s="10" t="s">
        <x:v>9</x:v>
      </x:c>
      <x:c r="E118" s="10" t="s">
        <x:v>34</x:v>
      </x:c>
      <x:c r="F118" s="10">
        <x:v>26</x:v>
      </x:c>
      <x:c r="G118" s="10">
        <x:v>175</x:v>
      </x:c>
      <x:c r="H118" s="22">
        <x:f t="shared" si="1"/>
        <x:v>11916.410868301256</x:v>
      </x:c>
      <x:c r="I118" s="22">
        <x:v>2085371.90195272</x:v>
      </x:c>
    </x:row>
    <x:row r="119">
      <x:c r="A119" s="10" t="s">
        <x:v>75</x:v>
      </x:c>
      <x:c r="B119" s="10">
        <x:v>5982</x:v>
      </x:c>
      <x:c r="C119" s="10">
        <x:v>13105</x:v>
      </x:c>
      <x:c r="D119" s="10" t="s">
        <x:v>9</x:v>
      </x:c>
      <x:c r="E119" s="10" t="s">
        <x:v>34</x:v>
      </x:c>
      <x:c r="F119" s="10">
        <x:v>28</x:v>
      </x:c>
      <x:c r="G119" s="10">
        <x:v>171</x:v>
      </x:c>
      <x:c r="H119" s="22">
        <x:f t="shared" si="1"/>
        <x:v>12138.139777501287</x:v>
      </x:c>
      <x:c r="I119" s="22">
        <x:v>2075621.90195272</x:v>
      </x:c>
    </x:row>
    <x:row r="120">
      <x:c r="A120" s="10" t="s">
        <x:v>75</x:v>
      </x:c>
      <x:c r="B120" s="10">
        <x:v>5983</x:v>
      </x:c>
      <x:c r="C120" s="10">
        <x:v>13325</x:v>
      </x:c>
      <x:c r="D120" s="10" t="s">
        <x:v>9</x:v>
      </x:c>
      <x:c r="E120" s="10" t="s">
        <x:v>34</x:v>
      </x:c>
      <x:c r="F120" s="10">
        <x:v>27</x:v>
      </x:c>
      <x:c r="G120" s="10">
        <x:v>184</x:v>
      </x:c>
      <x:c r="H120" s="22">
        <x:f t="shared" si="1"/>
        <x:v>11318.597293221304</x:v>
      </x:c>
      <x:c r="I120" s="22">
        <x:v>2082621.90195272</x:v>
      </x:c>
    </x:row>
    <x:row r="121">
      <x:c r="A121" s="10" t="s">
        <x:v>75</x:v>
      </x:c>
      <x:c r="B121" s="10">
        <x:v>5985</x:v>
      </x:c>
      <x:c r="C121" s="10">
        <x:v>13106</x:v>
      </x:c>
      <x:c r="D121" s="10" t="s">
        <x:v>9</x:v>
      </x:c>
      <x:c r="E121" s="10" t="s">
        <x:v>34</x:v>
      </x:c>
      <x:c r="F121" s="10">
        <x:v>26</x:v>
      </x:c>
      <x:c r="G121" s="10">
        <x:v>184</x:v>
      </x:c>
      <x:c r="H121" s="22">
        <x:f t="shared" si="1"/>
        <x:v>11303.651641047391</x:v>
      </x:c>
      <x:c r="I121" s="22">
        <x:v>2079871.90195272</x:v>
      </x:c>
    </x:row>
    <x:row r="122">
      <x:c r="A122" s="10" t="s">
        <x:v>75</x:v>
      </x:c>
      <x:c r="B122" s="10">
        <x:v>5988</x:v>
      </x:c>
      <x:c r="C122" s="10">
        <x:v>13326</x:v>
      </x:c>
      <x:c r="D122" s="10" t="s">
        <x:v>0</x:v>
      </x:c>
      <x:c r="E122" s="10" t="s">
        <x:v>63</x:v>
      </x:c>
      <x:c r="F122" s="10">
        <x:v>19</x:v>
      </x:c>
      <x:c r="G122" s="10">
        <x:v>108</x:v>
      </x:c>
      <x:c r="H122" s="22">
        <x:f t="shared" si="1"/>
        <x:v>9824.8699164477875</x:v>
      </x:c>
      <x:c r="I122" s="22">
        <x:v>1061085.9509763611</x:v>
      </x:c>
    </x:row>
    <x:row r="123">
      <x:c r="A123" s="10" t="s">
        <x:v>75</x:v>
      </x:c>
      <x:c r="B123" s="10">
        <x:v>5989</x:v>
      </x:c>
      <x:c r="C123" s="10">
        <x:v>13107</x:v>
      </x:c>
      <x:c r="D123" s="10" t="s">
        <x:v>0</x:v>
      </x:c>
      <x:c r="E123" s="10" t="s">
        <x:v>63</x:v>
      </x:c>
      <x:c r="F123" s="10">
        <x:v>19</x:v>
      </x:c>
      <x:c r="G123" s="10">
        <x:v>104</x:v>
      </x:c>
      <x:c r="H123" s="22">
        <x:f t="shared" si="1"/>
        <x:v>10233.518759388087</x:v>
      </x:c>
      <x:c r="I123" s="22">
        <x:v>1064285.9509763611</x:v>
      </x:c>
    </x:row>
    <x:row r="124">
      <x:c r="A124" s="10" t="s">
        <x:v>75</x:v>
      </x:c>
      <x:c r="B124" s="10">
        <x:v>6021</x:v>
      </x:c>
      <x:c r="C124" s="10">
        <x:v>13327</x:v>
      </x:c>
      <x:c r="D124" s="10" t="s">
        <x:v>9</x:v>
      </x:c>
      <x:c r="E124" s="10" t="s">
        <x:v>34</x:v>
      </x:c>
      <x:c r="F124" s="10">
        <x:v>33</x:v>
      </x:c>
      <x:c r="G124" s="10">
        <x:v>172</x:v>
      </x:c>
      <x:c r="H124" s="22">
        <x:f t="shared" si="1"/>
        <x:v>12063.208732283256</x:v>
      </x:c>
      <x:c r="I124" s="22">
        <x:v>2074871.90195272</x:v>
      </x:c>
    </x:row>
    <x:row r="125">
      <x:c r="A125" s="10" t="s">
        <x:v>75</x:v>
      </x:c>
      <x:c r="B125" s="10">
        <x:v>6040</x:v>
      </x:c>
      <x:c r="C125" s="10">
        <x:v>13328</x:v>
      </x:c>
      <x:c r="D125" s="10" t="s">
        <x:v>9</x:v>
      </x:c>
      <x:c r="E125" s="10" t="s">
        <x:v>34</x:v>
      </x:c>
      <x:c r="F125" s="10">
        <x:v>29</x:v>
      </x:c>
      <x:c r="G125" s="10">
        <x:v>175</x:v>
      </x:c>
      <x:c r="H125" s="22">
        <x:f t="shared" si="1"/>
        <x:v>11687.839439729829</x:v>
      </x:c>
      <x:c r="I125" s="22">
        <x:v>2045371.90195272</x:v>
      </x:c>
    </x:row>
    <x:row r="126">
      <x:c r="A126" s="10" t="s">
        <x:v>75</x:v>
      </x:c>
      <x:c r="B126" s="10">
        <x:v>6044</x:v>
      </x:c>
      <x:c r="C126" s="10">
        <x:v>13329</x:v>
      </x:c>
      <x:c r="D126" s="10" t="s">
        <x:v>9</x:v>
      </x:c>
      <x:c r="E126" s="10" t="s">
        <x:v>34</x:v>
      </x:c>
      <x:c r="F126" s="10">
        <x:v>32</x:v>
      </x:c>
      <x:c r="G126" s="10">
        <x:v>180</x:v>
      </x:c>
      <x:c r="H126" s="22">
        <x:f t="shared" si="1"/>
        <x:v>11532.621677515112</x:v>
      </x:c>
      <x:c r="I126" s="22">
        <x:v>2075871.90195272</x:v>
      </x:c>
    </x:row>
    <x:row r="127">
      <x:c r="A127" s="10" t="s">
        <x:v>75</x:v>
      </x:c>
      <x:c r="B127" s="10">
        <x:v>6048</x:v>
      </x:c>
      <x:c r="C127" s="10">
        <x:v>13108</x:v>
      </x:c>
      <x:c r="D127" s="10" t="s">
        <x:v>0</x:v>
      </x:c>
      <x:c r="E127" s="10" t="s">
        <x:v>63</x:v>
      </x:c>
      <x:c r="F127" s="10">
        <x:v>48</x:v>
      </x:c>
      <x:c r="G127" s="10">
        <x:v>290</x:v>
      </x:c>
      <x:c r="H127" s="22">
        <x:f t="shared" si="1"/>
        <x:v>10965.716734238207</x:v>
      </x:c>
      <x:c r="I127" s="22">
        <x:v>3180057.8529290799</x:v>
      </x:c>
    </x:row>
    <x:row r="128">
      <x:c r="A128" s="10" t="s">
        <x:v>75</x:v>
      </x:c>
      <x:c r="B128" s="10">
        <x:v>6050</x:v>
      </x:c>
      <x:c r="C128" s="10">
        <x:v>13109</x:v>
      </x:c>
      <x:c r="D128" s="10" t="s">
        <x:v>0</x:v>
      </x:c>
      <x:c r="E128" s="10" t="s">
        <x:v>63</x:v>
      </x:c>
      <x:c r="F128" s="10">
        <x:v>30</x:v>
      </x:c>
      <x:c r="G128" s="10">
        <x:v>185</x:v>
      </x:c>
      <x:c r="H128" s="22">
        <x:f t="shared" si="1"/>
        <x:v>11423.631902447136</x:v>
      </x:c>
      <x:c r="I128" s="22">
        <x:v>2113371.9019527202</x:v>
      </x:c>
    </x:row>
    <x:row r="129">
      <x:c r="A129" s="10" t="s">
        <x:v>75</x:v>
      </x:c>
      <x:c r="B129" s="10">
        <x:v>6055</x:v>
      </x:c>
      <x:c r="C129" s="10">
        <x:v>13330</x:v>
      </x:c>
      <x:c r="D129" s="10" t="s">
        <x:v>0</x:v>
      </x:c>
      <x:c r="E129" s="10" t="s">
        <x:v>63</x:v>
      </x:c>
      <x:c r="F129" s="10">
        <x:v>31</x:v>
      </x:c>
      <x:c r="G129" s="10">
        <x:v>192</x:v>
      </x:c>
      <x:c r="H129" s="22">
        <x:f t="shared" si="1"/>
        <x:v>10652.97865600375</x:v>
      </x:c>
      <x:c r="I129" s="22">
        <x:v>2045371.90195272</x:v>
      </x:c>
    </x:row>
    <x:row r="130">
      <x:c r="A130" s="10" t="s">
        <x:v>75</x:v>
      </x:c>
      <x:c r="B130" s="10">
        <x:v>6056</x:v>
      </x:c>
      <x:c r="C130" s="10">
        <x:v>13110</x:v>
      </x:c>
      <x:c r="D130" s="10" t="s">
        <x:v>0</x:v>
      </x:c>
      <x:c r="E130" s="10" t="s">
        <x:v>63</x:v>
      </x:c>
      <x:c r="F130" s="10">
        <x:v>30</x:v>
      </x:c>
      <x:c r="G130" s="10">
        <x:v>190</x:v>
      </x:c>
      <x:c r="H130" s="22">
        <x:f t="shared" si="1"/>
        <x:v>11165.115273435369</x:v>
      </x:c>
      <x:c r="I130" s="22">
        <x:v>2121371.9019527202</x:v>
      </x:c>
    </x:row>
    <x:row r="131">
      <x:c r="A131" s="10" t="s">
        <x:v>75</x:v>
      </x:c>
      <x:c r="B131" s="10">
        <x:v>6061</x:v>
      </x:c>
      <x:c r="C131" s="10">
        <x:v>13331</x:v>
      </x:c>
      <x:c r="D131" s="10" t="s">
        <x:v>0</x:v>
      </x:c>
      <x:c r="E131" s="10" t="s">
        <x:v>63</x:v>
      </x:c>
      <x:c r="F131" s="10">
        <x:v>33</x:v>
      </x:c>
      <x:c r="G131" s="10">
        <x:v>206</x:v>
      </x:c>
      <x:c r="H131" s="22" t="n">
        <x:f t="shared" ref="H131:H194" si="2">I131/G131</x:f>
        <x:v>10313.455834721943</x:v>
      </x:c>
      <x:c r="I131" s="22">
        <x:v>2124571.9019527202</x:v>
      </x:c>
    </x:row>
    <x:row r="132">
      <x:c r="A132" s="10" t="s">
        <x:v>75</x:v>
      </x:c>
      <x:c r="B132" s="10">
        <x:v>6063</x:v>
      </x:c>
      <x:c r="C132" s="10">
        <x:v>13111</x:v>
      </x:c>
      <x:c r="D132" s="10" t="s">
        <x:v>0</x:v>
      </x:c>
      <x:c r="E132" s="10" t="s">
        <x:v>63</x:v>
      </x:c>
      <x:c r="F132" s="10">
        <x:v>35</x:v>
      </x:c>
      <x:c r="G132" s="10">
        <x:v>194</x:v>
      </x:c>
      <x:c r="H132" s="22">
        <x:f t="shared" si="2"/>
        <x:v>10916.350010065567</x:v>
      </x:c>
      <x:c r="I132" s="22">
        <x:v>2117771.9019527202</x:v>
      </x:c>
    </x:row>
    <x:row r="133">
      <x:c r="A133" s="10" t="s">
        <x:v>75</x:v>
      </x:c>
      <x:c r="B133" s="10">
        <x:v>6064</x:v>
      </x:c>
      <x:c r="C133" s="10">
        <x:v>13112</x:v>
      </x:c>
      <x:c r="D133" s="10" t="s">
        <x:v>0</x:v>
      </x:c>
      <x:c r="E133" s="10" t="s">
        <x:v>62</x:v>
      </x:c>
      <x:c r="F133" s="10">
        <x:v>42</x:v>
      </x:c>
      <x:c r="G133" s="10">
        <x:v>206</x:v>
      </x:c>
      <x:c r="H133" s="22">
        <x:f t="shared" si="2"/>
        <x:v>10178.989815304467</x:v>
      </x:c>
      <x:c r="I133" s="22">
        <x:v>2096871.90195272</x:v>
      </x:c>
    </x:row>
    <x:row r="134">
      <x:c r="A134" s="10" t="s">
        <x:v>75</x:v>
      </x:c>
      <x:c r="B134" s="10">
        <x:v>6073</x:v>
      </x:c>
      <x:c r="C134" s="10">
        <x:v>13113</x:v>
      </x:c>
      <x:c r="D134" s="10" t="s">
        <x:v>0</x:v>
      </x:c>
      <x:c r="E134" s="10" t="s">
        <x:v>63</x:v>
      </x:c>
      <x:c r="F134" s="10">
        <x:v>17</x:v>
      </x:c>
      <x:c r="G134" s="10">
        <x:v>110</x:v>
      </x:c>
      <x:c r="H134" s="22">
        <x:f t="shared" si="2"/>
        <x:v>9697.1450088760103</x:v>
      </x:c>
      <x:c r="I134" s="22">
        <x:v>1066685.9509763611</x:v>
      </x:c>
    </x:row>
    <x:row r="135">
      <x:c r="A135" s="10" t="s">
        <x:v>75</x:v>
      </x:c>
      <x:c r="B135" s="10">
        <x:v>6455</x:v>
      </x:c>
      <x:c r="C135" s="10">
        <x:v>13225</x:v>
      </x:c>
      <x:c r="D135" s="10" t="s">
        <x:v>2</x:v>
      </x:c>
      <x:c r="E135" s="10" t="s">
        <x:v>48</x:v>
      </x:c>
      <x:c r="F135" s="10">
        <x:v>75</x:v>
      </x:c>
      <x:c r="G135" s="10">
        <x:v>424</x:v>
      </x:c>
      <x:c r="H135" s="22">
        <x:f t="shared" si="2"/>
        <x:v>10580.640241512972</x:v>
      </x:c>
      <x:c r="I135" s="22">
        <x:v>4486191.4624015</x:v>
      </x:c>
    </x:row>
    <x:row r="136">
      <x:c r="A136" s="10" t="s">
        <x:v>75</x:v>
      </x:c>
      <x:c r="B136" s="10">
        <x:v>6456</x:v>
      </x:c>
      <x:c r="C136" s="10">
        <x:v>13242</x:v>
      </x:c>
      <x:c r="D136" s="10" t="s">
        <x:v>9</x:v>
      </x:c>
      <x:c r="E136" s="10" t="s">
        <x:v>9</x:v>
      </x:c>
      <x:c r="F136" s="10">
        <x:v>72</x:v>
      </x:c>
      <x:c r="G136" s="10">
        <x:v>406</x:v>
      </x:c>
      <x:c r="H136" s="22">
        <x:f t="shared" si="2"/>
        <x:v>11049.732666013546</x:v>
      </x:c>
      <x:c r="I136" s="22">
        <x:v>4486191.4624015</x:v>
      </x:c>
    </x:row>
    <x:row r="137">
      <x:c r="A137" s="10" t="s">
        <x:v>75</x:v>
      </x:c>
      <x:c r="B137" s="10">
        <x:v>6461</x:v>
      </x:c>
      <x:c r="C137" s="10">
        <x:v>13241</x:v>
      </x:c>
      <x:c r="D137" s="10" t="s">
        <x:v>0</x:v>
      </x:c>
      <x:c r="E137" s="10" t="s">
        <x:v>76</x:v>
      </x:c>
      <x:c r="F137" s="10">
        <x:v>77</x:v>
      </x:c>
      <x:c r="G137" s="10">
        <x:v>453</x:v>
      </x:c>
      <x:c r="H137" s="22">
        <x:f t="shared" si="2"/>
        <x:v>9903.29241148234</x:v>
      </x:c>
      <x:c r="I137" s="22">
        <x:v>4486191.4624015</x:v>
      </x:c>
    </x:row>
    <x:row r="138">
      <x:c r="A138" s="10" t="s">
        <x:v>75</x:v>
      </x:c>
      <x:c r="B138" s="10">
        <x:v>6462</x:v>
      </x:c>
      <x:c r="C138" s="10">
        <x:v>13233</x:v>
      </x:c>
      <x:c r="D138" s="10" t="s">
        <x:v>1</x:v>
      </x:c>
      <x:c r="E138" s="10" t="s">
        <x:v>77</x:v>
      </x:c>
      <x:c r="F138" s="10">
        <x:v>75</x:v>
      </x:c>
      <x:c r="G138" s="10">
        <x:v>411</x:v>
      </x:c>
      <x:c r="H138" s="22">
        <x:f t="shared" si="2"/>
        <x:v>10915.307694407542</x:v>
      </x:c>
      <x:c r="I138" s="22">
        <x:v>4486191.4624015</x:v>
      </x:c>
    </x:row>
    <x:row r="139">
      <x:c r="A139" s="10" t="s">
        <x:v>75</x:v>
      </x:c>
      <x:c r="B139" s="10">
        <x:v>6463</x:v>
      </x:c>
      <x:c r="C139" s="10">
        <x:v>13244</x:v>
      </x:c>
      <x:c r="D139" s="10" t="s">
        <x:v>2</x:v>
      </x:c>
      <x:c r="E139" s="10" t="s">
        <x:v>48</x:v>
      </x:c>
      <x:c r="F139" s="10">
        <x:v>74</x:v>
      </x:c>
      <x:c r="G139" s="10">
        <x:v>414</x:v>
      </x:c>
      <x:c r="H139" s="22">
        <x:f t="shared" si="2"/>
        <x:v>10836.211261839371</x:v>
      </x:c>
      <x:c r="I139" s="22">
        <x:v>4486191.4624015</x:v>
      </x:c>
    </x:row>
    <x:row r="140">
      <x:c r="A140" s="10" t="s">
        <x:v>75</x:v>
      </x:c>
      <x:c r="B140" s="10">
        <x:v>6464</x:v>
      </x:c>
      <x:c r="C140" s="10">
        <x:v>13236</x:v>
      </x:c>
      <x:c r="D140" s="10" t="s">
        <x:v>2</x:v>
      </x:c>
      <x:c r="E140" s="10" t="s">
        <x:v>48</x:v>
      </x:c>
      <x:c r="F140" s="10">
        <x:v>78</x:v>
      </x:c>
      <x:c r="G140" s="10">
        <x:v>417</x:v>
      </x:c>
      <x:c r="H140" s="22">
        <x:f t="shared" si="2"/>
        <x:v>10758.252907437651</x:v>
      </x:c>
      <x:c r="I140" s="22">
        <x:v>4486191.4624015</x:v>
      </x:c>
    </x:row>
    <x:row r="141">
      <x:c r="A141" s="10" t="s">
        <x:v>75</x:v>
      </x:c>
      <x:c r="B141" s="10">
        <x:v>6465</x:v>
      </x:c>
      <x:c r="C141" s="10">
        <x:v>13235</x:v>
      </x:c>
      <x:c r="D141" s="10" t="s">
        <x:v>0</x:v>
      </x:c>
      <x:c r="E141" s="10" t="s">
        <x:v>76</x:v>
      </x:c>
      <x:c r="F141" s="10">
        <x:v>80</x:v>
      </x:c>
      <x:c r="G141" s="10">
        <x:v>404</x:v>
      </x:c>
      <x:c r="H141" s="22">
        <x:f t="shared" si="2"/>
        <x:v>11104.434312875001</x:v>
      </x:c>
      <x:c r="I141" s="22">
        <x:v>4486191.4624015</x:v>
      </x:c>
    </x:row>
    <x:row r="142">
      <x:c r="A142" s="10" t="s">
        <x:v>75</x:v>
      </x:c>
      <x:c r="B142" s="10">
        <x:v>6466</x:v>
      </x:c>
      <x:c r="C142" s="10">
        <x:v>13243</x:v>
      </x:c>
      <x:c r="D142" s="10" t="s">
        <x:v>0</x:v>
      </x:c>
      <x:c r="E142" s="10" t="s">
        <x:v>76</x:v>
      </x:c>
      <x:c r="F142" s="10">
        <x:v>74</x:v>
      </x:c>
      <x:c r="G142" s="10">
        <x:v>442</x:v>
      </x:c>
      <x:c r="H142" s="22">
        <x:f t="shared" si="2"/>
        <x:v>10149.754439822398</x:v>
      </x:c>
      <x:c r="I142" s="22">
        <x:v>4486191.4624015</x:v>
      </x:c>
    </x:row>
    <x:row r="143">
      <x:c r="A143" s="10" t="s">
        <x:v>75</x:v>
      </x:c>
      <x:c r="B143" s="10">
        <x:v>6467</x:v>
      </x:c>
      <x:c r="C143" s="10">
        <x:v>13221</x:v>
      </x:c>
      <x:c r="D143" s="10" t="s">
        <x:v>2</x:v>
      </x:c>
      <x:c r="E143" s="10" t="s">
        <x:v>48</x:v>
      </x:c>
      <x:c r="F143" s="10">
        <x:v>75</x:v>
      </x:c>
      <x:c r="G143" s="10">
        <x:v>436</x:v>
      </x:c>
      <x:c r="H143" s="22">
        <x:f t="shared" si="2"/>
        <x:v>10289.429959636467</x:v>
      </x:c>
      <x:c r="I143" s="22">
        <x:v>4486191.4624015</x:v>
      </x:c>
    </x:row>
    <x:row r="144">
      <x:c r="A144" s="10" t="s">
        <x:v>75</x:v>
      </x:c>
      <x:c r="B144" s="10">
        <x:v>6468</x:v>
      </x:c>
      <x:c r="C144" s="10">
        <x:v>13224</x:v>
      </x:c>
      <x:c r="D144" s="10" t="s">
        <x:v>2</x:v>
      </x:c>
      <x:c r="E144" s="10" t="s">
        <x:v>48</x:v>
      </x:c>
      <x:c r="F144" s="10">
        <x:v>73</x:v>
      </x:c>
      <x:c r="G144" s="10">
        <x:v>438</x:v>
      </x:c>
      <x:c r="H144" s="22">
        <x:f t="shared" si="2"/>
        <x:v>10242.446261190638</x:v>
      </x:c>
      <x:c r="I144" s="22">
        <x:v>4486191.4624015</x:v>
      </x:c>
    </x:row>
    <x:row r="145">
      <x:c r="A145" s="10" t="s">
        <x:v>75</x:v>
      </x:c>
      <x:c r="B145" s="10">
        <x:v>6469</x:v>
      </x:c>
      <x:c r="C145" s="10">
        <x:v>13036</x:v>
      </x:c>
      <x:c r="D145" s="10" t="s">
        <x:v>2</x:v>
      </x:c>
      <x:c r="E145" s="10" t="s">
        <x:v>48</x:v>
      </x:c>
      <x:c r="F145" s="10">
        <x:v>76</x:v>
      </x:c>
      <x:c r="G145" s="10">
        <x:v>444</x:v>
      </x:c>
      <x:c r="H145" s="22">
        <x:f t="shared" si="2"/>
        <x:v>10104.034825228604</x:v>
      </x:c>
      <x:c r="I145" s="22">
        <x:v>4486191.4624015</x:v>
      </x:c>
    </x:row>
    <x:row r="146">
      <x:c r="A146" s="10" t="s">
        <x:v>75</x:v>
      </x:c>
      <x:c r="B146" s="10">
        <x:v>6470</x:v>
      </x:c>
      <x:c r="C146" s="10">
        <x:v>13220</x:v>
      </x:c>
      <x:c r="D146" s="10" t="s">
        <x:v>2</x:v>
      </x:c>
      <x:c r="E146" s="10" t="s">
        <x:v>48</x:v>
      </x:c>
      <x:c r="F146" s="10">
        <x:v>80</x:v>
      </x:c>
      <x:c r="G146" s="10">
        <x:v>432</x:v>
      </x:c>
      <x:c r="H146" s="22">
        <x:f t="shared" si="2"/>
        <x:v>10384.702459262731</x:v>
      </x:c>
      <x:c r="I146" s="22">
        <x:v>4486191.4624015</x:v>
      </x:c>
    </x:row>
    <x:row r="147">
      <x:c r="A147" s="10" t="s">
        <x:v>75</x:v>
      </x:c>
      <x:c r="B147" s="10">
        <x:v>6471</x:v>
      </x:c>
      <x:c r="C147" s="10">
        <x:v>13237</x:v>
      </x:c>
      <x:c r="D147" s="10" t="s">
        <x:v>0</x:v>
      </x:c>
      <x:c r="E147" s="10" t="s">
        <x:v>76</x:v>
      </x:c>
      <x:c r="F147" s="10">
        <x:v>46</x:v>
      </x:c>
      <x:c r="G147" s="10">
        <x:v>272</x:v>
      </x:c>
      <x:c r="H147" s="22">
        <x:f t="shared" si="2"/>
        <x:v>9896.0105788268393</x:v>
      </x:c>
      <x:c r="I147" s="22">
        <x:v>2691714.8774409001</x:v>
      </x:c>
    </x:row>
    <x:row r="148">
      <x:c r="A148" s="10" t="s">
        <x:v>75</x:v>
      </x:c>
      <x:c r="B148" s="10">
        <x:v>6472</x:v>
      </x:c>
      <x:c r="C148" s="10">
        <x:v>13128</x:v>
      </x:c>
      <x:c r="D148" s="10" t="s">
        <x:v>2</x:v>
      </x:c>
      <x:c r="E148" s="10" t="s">
        <x:v>48</x:v>
      </x:c>
      <x:c r="F148" s="10">
        <x:v>17</x:v>
      </x:c>
      <x:c r="G148" s="10">
        <x:v>101</x:v>
      </x:c>
      <x:c r="H148" s="22">
        <x:f t="shared" si="2"/>
        <x:v>10125.603475013475</x:v>
      </x:c>
      <x:c r="I148" s="22">
        <x:v>1022685.9509763611</x:v>
      </x:c>
    </x:row>
    <x:row r="149">
      <x:c r="A149" s="10" t="s">
        <x:v>75</x:v>
      </x:c>
      <x:c r="B149" s="10">
        <x:v>6473</x:v>
      </x:c>
      <x:c r="C149" s="10">
        <x:v>13129</x:v>
      </x:c>
      <x:c r="D149" s="10" t="s">
        <x:v>2</x:v>
      </x:c>
      <x:c r="E149" s="10" t="s">
        <x:v>48</x:v>
      </x:c>
      <x:c r="F149" s="10">
        <x:v>17</x:v>
      </x:c>
      <x:c r="G149" s="10">
        <x:v>106</x:v>
      </x:c>
      <x:c r="H149" s="22">
        <x:f t="shared" si="2"/>
        <x:v>9647.9806695883126</x:v>
      </x:c>
      <x:c r="I149" s="22">
        <x:v>1022685.9509763611</x:v>
      </x:c>
    </x:row>
    <x:row r="150">
      <x:c r="A150" s="10" t="s">
        <x:v>75</x:v>
      </x:c>
      <x:c r="B150" s="10">
        <x:v>6474</x:v>
      </x:c>
      <x:c r="C150" s="10">
        <x:v>13130</x:v>
      </x:c>
      <x:c r="D150" s="10" t="s">
        <x:v>2</x:v>
      </x:c>
      <x:c r="E150" s="10" t="s">
        <x:v>48</x:v>
      </x:c>
      <x:c r="F150" s="10">
        <x:v>17</x:v>
      </x:c>
      <x:c r="G150" s="10">
        <x:v>95</x:v>
      </x:c>
      <x:c r="H150" s="22">
        <x:f t="shared" si="2"/>
        <x:v>10765.11527343538</x:v>
      </x:c>
      <x:c r="I150" s="22">
        <x:v>1022685.9509763611</x:v>
      </x:c>
    </x:row>
    <x:row r="151">
      <x:c r="A151" s="10" t="s">
        <x:v>75</x:v>
      </x:c>
      <x:c r="B151" s="10">
        <x:v>6475</x:v>
      </x:c>
      <x:c r="C151" s="10">
        <x:v>13131</x:v>
      </x:c>
      <x:c r="D151" s="10" t="s">
        <x:v>2</x:v>
      </x:c>
      <x:c r="E151" s="10" t="s">
        <x:v>48</x:v>
      </x:c>
      <x:c r="F151" s="10">
        <x:v>17</x:v>
      </x:c>
      <x:c r="G151" s="10">
        <x:v>97</x:v>
      </x:c>
      <x:c r="H151" s="22">
        <x:f t="shared" si="2"/>
        <x:v>10543.154133776918</x:v>
      </x:c>
      <x:c r="I151" s="22">
        <x:v>1022685.9509763611</x:v>
      </x:c>
    </x:row>
    <x:row r="152">
      <x:c r="A152" s="10" t="s">
        <x:v>75</x:v>
      </x:c>
      <x:c r="B152" s="10">
        <x:v>6477</x:v>
      </x:c>
      <x:c r="C152" s="10">
        <x:v>13132</x:v>
      </x:c>
      <x:c r="D152" s="10" t="s">
        <x:v>2</x:v>
      </x:c>
      <x:c r="E152" s="10" t="s">
        <x:v>48</x:v>
      </x:c>
      <x:c r="F152" s="10">
        <x:v>17</x:v>
      </x:c>
      <x:c r="G152" s="10">
        <x:v>101</x:v>
      </x:c>
      <x:c r="H152" s="22">
        <x:f t="shared" si="2"/>
        <x:v>9977.0886235283269</x:v>
      </x:c>
      <x:c r="I152" s="22">
        <x:v>1007685.9509763611</x:v>
      </x:c>
    </x:row>
    <x:row r="153">
      <x:c r="A153" s="10" t="s">
        <x:v>75</x:v>
      </x:c>
      <x:c r="B153" s="10">
        <x:v>6478</x:v>
      </x:c>
      <x:c r="C153" s="10">
        <x:v>13133</x:v>
      </x:c>
      <x:c r="D153" s="10" t="s">
        <x:v>2</x:v>
      </x:c>
      <x:c r="E153" s="10" t="s">
        <x:v>48</x:v>
      </x:c>
      <x:c r="F153" s="10">
        <x:v>17</x:v>
      </x:c>
      <x:c r="G153" s="10">
        <x:v>100</x:v>
      </x:c>
      <x:c r="H153" s="22">
        <x:f t="shared" si="2"/>
        <x:v>10076.85950976361</x:v>
      </x:c>
      <x:c r="I153" s="22">
        <x:v>1007685.9509763611</x:v>
      </x:c>
    </x:row>
    <x:row r="154">
      <x:c r="A154" s="10" t="s">
        <x:v>75</x:v>
      </x:c>
      <x:c r="B154" s="10">
        <x:v>6479</x:v>
      </x:c>
      <x:c r="C154" s="10">
        <x:v>13134</x:v>
      </x:c>
      <x:c r="D154" s="10" t="s">
        <x:v>2</x:v>
      </x:c>
      <x:c r="E154" s="10" t="s">
        <x:v>48</x:v>
      </x:c>
      <x:c r="F154" s="10">
        <x:v>17</x:v>
      </x:c>
      <x:c r="G154" s="10">
        <x:v>97</x:v>
      </x:c>
      <x:c r="H154" s="22">
        <x:f t="shared" si="2"/>
        <x:v>10388.514958519187</x:v>
      </x:c>
      <x:c r="I154" s="22">
        <x:v>1007685.9509763611</x:v>
      </x:c>
    </x:row>
    <x:row r="155">
      <x:c r="A155" s="10" t="s">
        <x:v>75</x:v>
      </x:c>
      <x:c r="B155" s="10">
        <x:v>6480</x:v>
      </x:c>
      <x:c r="C155" s="10">
        <x:v>13135</x:v>
      </x:c>
      <x:c r="D155" s="10" t="s">
        <x:v>2</x:v>
      </x:c>
      <x:c r="E155" s="10" t="s">
        <x:v>48</x:v>
      </x:c>
      <x:c r="F155" s="10">
        <x:v>17</x:v>
      </x:c>
      <x:c r="G155" s="10">
        <x:v>105</x:v>
      </x:c>
      <x:c r="H155" s="22">
        <x:f t="shared" si="2"/>
        <x:v>9739.8661997748677</x:v>
      </x:c>
      <x:c r="I155" s="22">
        <x:v>1022685.9509763611</x:v>
      </x:c>
    </x:row>
    <x:row r="156">
      <x:c r="A156" s="10" t="s">
        <x:v>75</x:v>
      </x:c>
      <x:c r="B156" s="10">
        <x:v>6481</x:v>
      </x:c>
      <x:c r="C156" s="10">
        <x:v>13136</x:v>
      </x:c>
      <x:c r="D156" s="10" t="s">
        <x:v>2</x:v>
      </x:c>
      <x:c r="E156" s="10" t="s">
        <x:v>48</x:v>
      </x:c>
      <x:c r="F156" s="10">
        <x:v>17</x:v>
      </x:c>
      <x:c r="G156" s="10">
        <x:v>97</x:v>
      </x:c>
      <x:c r="H156" s="22">
        <x:f t="shared" si="2"/>
        <x:v>10543.154133776918</x:v>
      </x:c>
      <x:c r="I156" s="22">
        <x:v>1022685.9509763611</x:v>
      </x:c>
    </x:row>
    <x:row r="157">
      <x:c r="A157" s="10" t="s">
        <x:v>75</x:v>
      </x:c>
      <x:c r="B157" s="10">
        <x:v>6482</x:v>
      </x:c>
      <x:c r="C157" s="10">
        <x:v>13137</x:v>
      </x:c>
      <x:c r="D157" s="10" t="s">
        <x:v>2</x:v>
      </x:c>
      <x:c r="E157" s="10" t="s">
        <x:v>48</x:v>
      </x:c>
      <x:c r="F157" s="10">
        <x:v>17</x:v>
      </x:c>
      <x:c r="G157" s="10">
        <x:v>101</x:v>
      </x:c>
      <x:c r="H157" s="22">
        <x:f t="shared" si="2"/>
        <x:v>10125.603475013475</x:v>
      </x:c>
      <x:c r="I157" s="22">
        <x:v>1022685.9509763611</x:v>
      </x:c>
    </x:row>
    <x:row r="158">
      <x:c r="A158" s="10" t="s">
        <x:v>75</x:v>
      </x:c>
      <x:c r="B158" s="10">
        <x:v>6484</x:v>
      </x:c>
      <x:c r="C158" s="10">
        <x:v>13332</x:v>
      </x:c>
      <x:c r="D158" s="10" t="s">
        <x:v>2</x:v>
      </x:c>
      <x:c r="E158" s="10" t="s">
        <x:v>48</x:v>
      </x:c>
      <x:c r="F158" s="10">
        <x:v>17</x:v>
      </x:c>
      <x:c r="G158" s="10">
        <x:v>103</x:v>
      </x:c>
      <x:c r="H158" s="22">
        <x:f t="shared" si="2"/>
        <x:v>9734.815058022923</x:v>
      </x:c>
      <x:c r="I158" s="22">
        <x:v>1002685.9509763611</x:v>
      </x:c>
    </x:row>
    <x:row r="159">
      <x:c r="A159" s="10" t="s">
        <x:v>75</x:v>
      </x:c>
      <x:c r="B159" s="10">
        <x:v>6486</x:v>
      </x:c>
      <x:c r="C159" s="10">
        <x:v>13234</x:v>
      </x:c>
      <x:c r="D159" s="10" t="s">
        <x:v>1</x:v>
      </x:c>
      <x:c r="E159" s="10" t="s">
        <x:v>77</x:v>
      </x:c>
      <x:c r="F159" s="10">
        <x:v>17</x:v>
      </x:c>
      <x:c r="G159" s="10">
        <x:v>96</x:v>
      </x:c>
      <x:c r="H159" s="22">
        <x:f t="shared" si="2"/>
        <x:v>10652.978656003761</x:v>
      </x:c>
      <x:c r="I159" s="22">
        <x:v>1022685.9509763611</x:v>
      </x:c>
    </x:row>
    <x:row r="160">
      <x:c r="A160" s="10" t="s">
        <x:v>75</x:v>
      </x:c>
      <x:c r="B160" s="10">
        <x:v>6487</x:v>
      </x:c>
      <x:c r="C160" s="10">
        <x:v>13138</x:v>
      </x:c>
      <x:c r="D160" s="10" t="s">
        <x:v>2</x:v>
      </x:c>
      <x:c r="E160" s="10" t="s">
        <x:v>48</x:v>
      </x:c>
      <x:c r="F160" s="10">
        <x:v>17</x:v>
      </x:c>
      <x:c r="G160" s="10">
        <x:v>95</x:v>
      </x:c>
      <x:c r="H160" s="22">
        <x:f t="shared" si="2"/>
        <x:v>10712.483694488012</x:v>
      </x:c>
      <x:c r="I160" s="22">
        <x:v>1017685.9509763611</x:v>
      </x:c>
    </x:row>
    <x:row r="161">
      <x:c r="A161" s="10" t="s">
        <x:v>75</x:v>
      </x:c>
      <x:c r="B161" s="10">
        <x:v>6490</x:v>
      </x:c>
      <x:c r="C161" s="10">
        <x:v>13139</x:v>
      </x:c>
      <x:c r="D161" s="10" t="s">
        <x:v>2</x:v>
      </x:c>
      <x:c r="E161" s="10" t="s">
        <x:v>48</x:v>
      </x:c>
      <x:c r="F161" s="10">
        <x:v>17</x:v>
      </x:c>
      <x:c r="G161" s="10">
        <x:v>96</x:v>
      </x:c>
      <x:c r="H161" s="22">
        <x:f t="shared" si="2"/>
        <x:v>10496.728656003761</x:v>
      </x:c>
      <x:c r="I161" s="22">
        <x:v>1007685.9509763611</x:v>
      </x:c>
    </x:row>
    <x:row r="162">
      <x:c r="A162" s="10" t="s">
        <x:v>75</x:v>
      </x:c>
      <x:c r="B162" s="10">
        <x:v>6491</x:v>
      </x:c>
      <x:c r="C162" s="10">
        <x:v>13140</x:v>
      </x:c>
      <x:c r="D162" s="10" t="s">
        <x:v>2</x:v>
      </x:c>
      <x:c r="E162" s="10" t="s">
        <x:v>48</x:v>
      </x:c>
      <x:c r="F162" s="10">
        <x:v>18</x:v>
      </x:c>
      <x:c r="G162" s="10">
        <x:v>97</x:v>
      </x:c>
      <x:c r="H162" s="22">
        <x:f t="shared" si="2"/>
        <x:v>10388.514958519187</x:v>
      </x:c>
      <x:c r="I162" s="22">
        <x:v>1007685.9509763611</x:v>
      </x:c>
    </x:row>
    <x:row r="163">
      <x:c r="A163" s="10" t="s">
        <x:v>75</x:v>
      </x:c>
      <x:c r="B163" s="10">
        <x:v>6493</x:v>
      </x:c>
      <x:c r="C163" s="10">
        <x:v>13141</x:v>
      </x:c>
      <x:c r="D163" s="10" t="s">
        <x:v>2</x:v>
      </x:c>
      <x:c r="E163" s="10" t="s">
        <x:v>48</x:v>
      </x:c>
      <x:c r="F163" s="10">
        <x:v>18</x:v>
      </x:c>
      <x:c r="G163" s="10">
        <x:v>102</x:v>
      </x:c>
      <x:c r="H163" s="22">
        <x:f t="shared" si="2"/>
        <x:v>9879.274029180011</x:v>
      </x:c>
      <x:c r="I163" s="22">
        <x:v>1007685.9509763611</x:v>
      </x:c>
    </x:row>
    <x:row r="164">
      <x:c r="A164" s="10" t="s">
        <x:v>75</x:v>
      </x:c>
      <x:c r="B164" s="10">
        <x:v>6496</x:v>
      </x:c>
      <x:c r="C164" s="10">
        <x:v>13142</x:v>
      </x:c>
      <x:c r="D164" s="10" t="s">
        <x:v>2</x:v>
      </x:c>
      <x:c r="E164" s="10" t="s">
        <x:v>48</x:v>
      </x:c>
      <x:c r="F164" s="10">
        <x:v>18</x:v>
      </x:c>
      <x:c r="G164" s="10">
        <x:v>97</x:v>
      </x:c>
      <x:c r="H164" s="22">
        <x:f t="shared" si="2"/>
        <x:v>10543.154133776918</x:v>
      </x:c>
      <x:c r="I164" s="22">
        <x:v>1022685.9509763611</x:v>
      </x:c>
    </x:row>
    <x:row r="165">
      <x:c r="A165" s="10" t="s">
        <x:v>75</x:v>
      </x:c>
      <x:c r="B165" s="10">
        <x:v>6497</x:v>
      </x:c>
      <x:c r="C165" s="10">
        <x:v>13143</x:v>
      </x:c>
      <x:c r="D165" s="10" t="s">
        <x:v>2</x:v>
      </x:c>
      <x:c r="E165" s="10" t="s">
        <x:v>48</x:v>
      </x:c>
      <x:c r="F165" s="10">
        <x:v>18</x:v>
      </x:c>
      <x:c r="G165" s="10">
        <x:v>97</x:v>
      </x:c>
      <x:c r="H165" s="22">
        <x:f t="shared" si="2"/>
        <x:v>10543.154133776918</x:v>
      </x:c>
      <x:c r="I165" s="22">
        <x:v>1022685.9509763611</x:v>
      </x:c>
    </x:row>
    <x:row r="166">
      <x:c r="A166" s="10" t="s">
        <x:v>75</x:v>
      </x:c>
      <x:c r="B166" s="10">
        <x:v>6498</x:v>
      </x:c>
      <x:c r="C166" s="10">
        <x:v>13144</x:v>
      </x:c>
      <x:c r="D166" s="10" t="s">
        <x:v>2</x:v>
      </x:c>
      <x:c r="E166" s="10" t="s">
        <x:v>48</x:v>
      </x:c>
      <x:c r="F166" s="10">
        <x:v>18</x:v>
      </x:c>
      <x:c r="G166" s="10">
        <x:v>106</x:v>
      </x:c>
      <x:c r="H166" s="22">
        <x:f t="shared" si="2"/>
        <x:v>9647.9806695883126</x:v>
      </x:c>
      <x:c r="I166" s="22">
        <x:v>1022685.9509763611</x:v>
      </x:c>
    </x:row>
    <x:row r="167">
      <x:c r="A167" s="10" t="s">
        <x:v>75</x:v>
      </x:c>
      <x:c r="B167" s="10">
        <x:v>6507</x:v>
      </x:c>
      <x:c r="C167" s="10">
        <x:v>13145</x:v>
      </x:c>
      <x:c r="D167" s="10" t="s">
        <x:v>2</x:v>
      </x:c>
      <x:c r="E167" s="10" t="s">
        <x:v>48</x:v>
      </x:c>
      <x:c r="F167" s="10">
        <x:v>18</x:v>
      </x:c>
      <x:c r="G167" s="10">
        <x:v>105</x:v>
      </x:c>
      <x:c r="H167" s="22">
        <x:f t="shared" si="2"/>
        <x:v>9597.0090569177246</x:v>
      </x:c>
      <x:c r="I167" s="22">
        <x:v>1007685.9509763611</x:v>
      </x:c>
    </x:row>
    <x:row r="168">
      <x:c r="A168" s="10" t="s">
        <x:v>75</x:v>
      </x:c>
      <x:c r="B168" s="10">
        <x:v>6508</x:v>
      </x:c>
      <x:c r="C168" s="10">
        <x:v>13146</x:v>
      </x:c>
      <x:c r="D168" s="10" t="s">
        <x:v>2</x:v>
      </x:c>
      <x:c r="E168" s="10" t="s">
        <x:v>48</x:v>
      </x:c>
      <x:c r="F168" s="10">
        <x:v>18</x:v>
      </x:c>
      <x:c r="G168" s="10">
        <x:v>103</x:v>
      </x:c>
      <x:c r="H168" s="22">
        <x:f t="shared" si="2"/>
        <x:v>9783.3587473433108</x:v>
      </x:c>
      <x:c r="I168" s="22">
        <x:v>1007685.9509763611</x:v>
      </x:c>
    </x:row>
    <x:row r="169">
      <x:c r="A169" s="10" t="s">
        <x:v>75</x:v>
      </x:c>
      <x:c r="B169" s="10">
        <x:v>6509</x:v>
      </x:c>
      <x:c r="C169" s="10">
        <x:v>13147</x:v>
      </x:c>
      <x:c r="D169" s="10" t="s">
        <x:v>2</x:v>
      </x:c>
      <x:c r="E169" s="10" t="s">
        <x:v>48</x:v>
      </x:c>
      <x:c r="F169" s="10">
        <x:v>18</x:v>
      </x:c>
      <x:c r="G169" s="10">
        <x:v>104</x:v>
      </x:c>
      <x:c r="H169" s="22">
        <x:f t="shared" si="2"/>
        <x:v>9833.5187593880873</x:v>
      </x:c>
      <x:c r="I169" s="22">
        <x:v>1022685.9509763611</x:v>
      </x:c>
    </x:row>
    <x:row r="170">
      <x:c r="A170" s="10" t="s">
        <x:v>75</x:v>
      </x:c>
      <x:c r="B170" s="10">
        <x:v>6511</x:v>
      </x:c>
      <x:c r="C170" s="10">
        <x:v>13040</x:v>
      </x:c>
      <x:c r="D170" s="10" t="s">
        <x:v>2</x:v>
      </x:c>
      <x:c r="E170" s="10" t="s">
        <x:v>48</x:v>
      </x:c>
      <x:c r="F170" s="10">
        <x:v>19</x:v>
      </x:c>
      <x:c r="G170" s="10">
        <x:v>106</x:v>
      </x:c>
      <x:c r="H170" s="22">
        <x:f t="shared" si="2"/>
        <x:v>9647.9806695883126</x:v>
      </x:c>
      <x:c r="I170" s="22">
        <x:v>1022685.9509763611</x:v>
      </x:c>
    </x:row>
    <x:row r="171">
      <x:c r="A171" s="10" t="s">
        <x:v>75</x:v>
      </x:c>
      <x:c r="B171" s="10">
        <x:v>6512</x:v>
      </x:c>
      <x:c r="C171" s="10">
        <x:v>13148</x:v>
      </x:c>
      <x:c r="D171" s="10" t="s">
        <x:v>2</x:v>
      </x:c>
      <x:c r="E171" s="10" t="s">
        <x:v>48</x:v>
      </x:c>
      <x:c r="F171" s="10">
        <x:v>19</x:v>
      </x:c>
      <x:c r="G171" s="10">
        <x:v>102</x:v>
      </x:c>
      <x:c r="H171" s="22">
        <x:f t="shared" si="2"/>
        <x:v>10026.332852709422</x:v>
      </x:c>
      <x:c r="I171" s="22">
        <x:v>1022685.9509763611</x:v>
      </x:c>
    </x:row>
    <x:row r="172">
      <x:c r="A172" s="10" t="s">
        <x:v>75</x:v>
      </x:c>
      <x:c r="B172" s="10">
        <x:v>6513</x:v>
      </x:c>
      <x:c r="C172" s="10">
        <x:v>13333</x:v>
      </x:c>
      <x:c r="D172" s="10" t="s">
        <x:v>2</x:v>
      </x:c>
      <x:c r="E172" s="10" t="s">
        <x:v>48</x:v>
      </x:c>
      <x:c r="F172" s="10">
        <x:v>19</x:v>
      </x:c>
      <x:c r="G172" s="10">
        <x:v>106</x:v>
      </x:c>
      <x:c r="H172" s="22">
        <x:f t="shared" si="2"/>
        <x:v>9506.4712356260479</x:v>
      </x:c>
      <x:c r="I172" s="22">
        <x:v>1007685.9509763611</x:v>
      </x:c>
    </x:row>
    <x:row r="173">
      <x:c r="A173" s="10" t="s">
        <x:v>75</x:v>
      </x:c>
      <x:c r="B173" s="10">
        <x:v>6514</x:v>
      </x:c>
      <x:c r="C173" s="10">
        <x:v>13222</x:v>
      </x:c>
      <x:c r="D173" s="10" t="s">
        <x:v>2</x:v>
      </x:c>
      <x:c r="E173" s="10" t="s">
        <x:v>48</x:v>
      </x:c>
      <x:c r="F173" s="10">
        <x:v>19</x:v>
      </x:c>
      <x:c r="G173" s="10">
        <x:v>102</x:v>
      </x:c>
      <x:c r="H173" s="22">
        <x:f t="shared" si="2"/>
        <x:v>10026.332852709422</x:v>
      </x:c>
      <x:c r="I173" s="22">
        <x:v>1022685.9509763611</x:v>
      </x:c>
    </x:row>
    <x:row r="174">
      <x:c r="A174" s="10" t="s">
        <x:v>75</x:v>
      </x:c>
      <x:c r="B174" s="10">
        <x:v>6515</x:v>
      </x:c>
      <x:c r="C174" s="10">
        <x:v>13149</x:v>
      </x:c>
      <x:c r="D174" s="10" t="s">
        <x:v>2</x:v>
      </x:c>
      <x:c r="E174" s="10" t="s">
        <x:v>48</x:v>
      </x:c>
      <x:c r="F174" s="10">
        <x:v>19</x:v>
      </x:c>
      <x:c r="G174" s="10">
        <x:v>99</x:v>
      </x:c>
      <x:c r="H174" s="22">
        <x:f t="shared" si="2"/>
        <x:v>10178.645969458192</x:v>
      </x:c>
      <x:c r="I174" s="22">
        <x:v>1007685.9509763611</x:v>
      </x:c>
    </x:row>
    <x:row r="175">
      <x:c r="A175" s="10" t="s">
        <x:v>75</x:v>
      </x:c>
      <x:c r="B175" s="10">
        <x:v>6516</x:v>
      </x:c>
      <x:c r="C175" s="10">
        <x:v>13150</x:v>
      </x:c>
      <x:c r="D175" s="10" t="s">
        <x:v>2</x:v>
      </x:c>
      <x:c r="E175" s="10" t="s">
        <x:v>48</x:v>
      </x:c>
      <x:c r="F175" s="10">
        <x:v>19</x:v>
      </x:c>
      <x:c r="G175" s="10">
        <x:v>97</x:v>
      </x:c>
      <x:c r="H175" s="22">
        <x:f t="shared" si="2"/>
        <x:v>10388.514958519187</x:v>
      </x:c>
      <x:c r="I175" s="22">
        <x:v>1007685.9509763611</x:v>
      </x:c>
    </x:row>
    <x:row r="176">
      <x:c r="A176" s="10" t="s">
        <x:v>75</x:v>
      </x:c>
      <x:c r="B176" s="10">
        <x:v>6517</x:v>
      </x:c>
      <x:c r="C176" s="10">
        <x:v>13151</x:v>
      </x:c>
      <x:c r="D176" s="10" t="s">
        <x:v>2</x:v>
      </x:c>
      <x:c r="E176" s="10" t="s">
        <x:v>48</x:v>
      </x:c>
      <x:c r="F176" s="10">
        <x:v>19</x:v>
      </x:c>
      <x:c r="G176" s="10">
        <x:v>103</x:v>
      </x:c>
      <x:c r="H176" s="22">
        <x:f t="shared" si="2"/>
        <x:v>9928.989815304476</x:v>
      </x:c>
      <x:c r="I176" s="22">
        <x:v>1022685.9509763611</x:v>
      </x:c>
    </x:row>
    <x:row r="177">
      <x:c r="A177" s="10" t="s">
        <x:v>75</x:v>
      </x:c>
      <x:c r="B177" s="10">
        <x:v>6522</x:v>
      </x:c>
      <x:c r="C177" s="10">
        <x:v>13152</x:v>
      </x:c>
      <x:c r="D177" s="10" t="s">
        <x:v>2</x:v>
      </x:c>
      <x:c r="E177" s="10" t="s">
        <x:v>48</x:v>
      </x:c>
      <x:c r="F177" s="10">
        <x:v>19</x:v>
      </x:c>
      <x:c r="G177" s="10">
        <x:v>101</x:v>
      </x:c>
      <x:c r="H177" s="22">
        <x:f t="shared" si="2"/>
        <x:v>10125.603475013475</x:v>
      </x:c>
      <x:c r="I177" s="22">
        <x:v>1022685.9509763611</x:v>
      </x:c>
    </x:row>
    <x:row r="178">
      <x:c r="A178" s="10" t="s">
        <x:v>75</x:v>
      </x:c>
      <x:c r="B178" s="10">
        <x:v>6523</x:v>
      </x:c>
      <x:c r="C178" s="10">
        <x:v>13153</x:v>
      </x:c>
      <x:c r="D178" s="10" t="s">
        <x:v>2</x:v>
      </x:c>
      <x:c r="E178" s="10" t="s">
        <x:v>48</x:v>
      </x:c>
      <x:c r="F178" s="10">
        <x:v>19</x:v>
      </x:c>
      <x:c r="G178" s="10">
        <x:v>104</x:v>
      </x:c>
      <x:c r="H178" s="22">
        <x:f t="shared" si="2"/>
        <x:v>9833.5187593880873</x:v>
      </x:c>
      <x:c r="I178" s="22">
        <x:v>1022685.9509763611</x:v>
      </x:c>
    </x:row>
    <x:row r="179">
      <x:c r="A179" s="10" t="s">
        <x:v>75</x:v>
      </x:c>
      <x:c r="B179" s="10">
        <x:v>6548</x:v>
      </x:c>
      <x:c r="C179" s="10">
        <x:v>13154</x:v>
      </x:c>
      <x:c r="D179" s="10" t="s">
        <x:v>2</x:v>
      </x:c>
      <x:c r="E179" s="10" t="s">
        <x:v>48</x:v>
      </x:c>
      <x:c r="F179" s="10">
        <x:v>19</x:v>
      </x:c>
      <x:c r="G179" s="10">
        <x:v>103</x:v>
      </x:c>
      <x:c r="H179" s="22">
        <x:f t="shared" si="2"/>
        <x:v>9783.3587473433108</x:v>
      </x:c>
      <x:c r="I179" s="22">
        <x:v>1007685.9509763611</x:v>
      </x:c>
    </x:row>
    <x:row r="180">
      <x:c r="A180" s="10" t="s">
        <x:v>75</x:v>
      </x:c>
      <x:c r="B180" s="10">
        <x:v>6549</x:v>
      </x:c>
      <x:c r="C180" s="10">
        <x:v>13360</x:v>
      </x:c>
      <x:c r="D180" s="10" t="s">
        <x:v>2</x:v>
      </x:c>
      <x:c r="E180" s="10" t="s">
        <x:v>48</x:v>
      </x:c>
      <x:c r="F180" s="10">
        <x:v>19</x:v>
      </x:c>
      <x:c r="G180" s="10">
        <x:v>103</x:v>
      </x:c>
      <x:c r="H180" s="22">
        <x:f t="shared" si="2"/>
        <x:v>9928.989815304476</x:v>
      </x:c>
      <x:c r="I180" s="22">
        <x:v>1022685.9509763611</x:v>
      </x:c>
    </x:row>
    <x:row r="181">
      <x:c r="A181" s="10" t="s">
        <x:v>75</x:v>
      </x:c>
      <x:c r="B181" s="10">
        <x:v>6556</x:v>
      </x:c>
      <x:c r="C181" s="10">
        <x:v>13361</x:v>
      </x:c>
      <x:c r="D181" s="10" t="s">
        <x:v>2</x:v>
      </x:c>
      <x:c r="E181" s="10" t="s">
        <x:v>48</x:v>
      </x:c>
      <x:c r="F181" s="10">
        <x:v>19</x:v>
      </x:c>
      <x:c r="G181" s="10">
        <x:v>102</x:v>
      </x:c>
      <x:c r="H181" s="22">
        <x:f t="shared" si="2"/>
        <x:v>10026.332852709422</x:v>
      </x:c>
      <x:c r="I181" s="22">
        <x:v>1022685.9509763611</x:v>
      </x:c>
    </x:row>
    <x:row r="182">
      <x:c r="A182" s="10" t="s">
        <x:v>75</x:v>
      </x:c>
      <x:c r="B182" s="10">
        <x:v>6557</x:v>
      </x:c>
      <x:c r="C182" s="10">
        <x:v>13155</x:v>
      </x:c>
      <x:c r="D182" s="10" t="s">
        <x:v>2</x:v>
      </x:c>
      <x:c r="E182" s="10" t="s">
        <x:v>48</x:v>
      </x:c>
      <x:c r="F182" s="10">
        <x:v>19</x:v>
      </x:c>
      <x:c r="G182" s="10">
        <x:v>101</x:v>
      </x:c>
      <x:c r="H182" s="22">
        <x:f t="shared" si="2"/>
        <x:v>9977.0886235283269</x:v>
      </x:c>
      <x:c r="I182" s="22">
        <x:v>1007685.9509763611</x:v>
      </x:c>
    </x:row>
    <x:row r="183">
      <x:c r="A183" s="10" t="s">
        <x:v>75</x:v>
      </x:c>
      <x:c r="B183" s="10">
        <x:v>6558</x:v>
      </x:c>
      <x:c r="C183" s="10">
        <x:v>13362</x:v>
      </x:c>
      <x:c r="D183" s="10" t="s">
        <x:v>2</x:v>
      </x:c>
      <x:c r="E183" s="10" t="s">
        <x:v>48</x:v>
      </x:c>
      <x:c r="F183" s="10">
        <x:v>19</x:v>
      </x:c>
      <x:c r="G183" s="10">
        <x:v>103</x:v>
      </x:c>
      <x:c r="H183" s="22">
        <x:f t="shared" si="2"/>
        <x:v>9783.3587473433108</x:v>
      </x:c>
      <x:c r="I183" s="22">
        <x:v>1007685.9509763611</x:v>
      </x:c>
    </x:row>
    <x:row r="184">
      <x:c r="A184" s="10" t="s">
        <x:v>75</x:v>
      </x:c>
      <x:c r="B184" s="10">
        <x:v>6559</x:v>
      </x:c>
      <x:c r="C184" s="10">
        <x:v>13363</x:v>
      </x:c>
      <x:c r="D184" s="10" t="s">
        <x:v>2</x:v>
      </x:c>
      <x:c r="E184" s="10" t="s">
        <x:v>48</x:v>
      </x:c>
      <x:c r="F184" s="10">
        <x:v>19</x:v>
      </x:c>
      <x:c r="G184" s="10">
        <x:v>105</x:v>
      </x:c>
      <x:c r="H184" s="22">
        <x:f t="shared" si="2"/>
        <x:v>9597.0090569177246</x:v>
      </x:c>
      <x:c r="I184" s="22">
        <x:v>1007685.9509763611</x:v>
      </x:c>
    </x:row>
    <x:row r="185">
      <x:c r="A185" s="10" t="s">
        <x:v>75</x:v>
      </x:c>
      <x:c r="B185" s="10">
        <x:v>6561</x:v>
      </x:c>
      <x:c r="C185" s="10">
        <x:v>13364</x:v>
      </x:c>
      <x:c r="D185" s="10" t="s">
        <x:v>2</x:v>
      </x:c>
      <x:c r="E185" s="10" t="s">
        <x:v>48</x:v>
      </x:c>
      <x:c r="F185" s="10">
        <x:v>19</x:v>
      </x:c>
      <x:c r="G185" s="10">
        <x:v>104</x:v>
      </x:c>
      <x:c r="H185" s="22">
        <x:f t="shared" si="2"/>
        <x:v>9689.2879901573178</x:v>
      </x:c>
      <x:c r="I185" s="22">
        <x:v>1007685.9509763611</x:v>
      </x:c>
    </x:row>
    <x:row r="186">
      <x:c r="A186" s="10" t="s">
        <x:v>75</x:v>
      </x:c>
      <x:c r="B186" s="10">
        <x:v>6562</x:v>
      </x:c>
      <x:c r="C186" s="10">
        <x:v>13334</x:v>
      </x:c>
      <x:c r="D186" s="10" t="s">
        <x:v>2</x:v>
      </x:c>
      <x:c r="E186" s="10" t="s">
        <x:v>48</x:v>
      </x:c>
      <x:c r="F186" s="10">
        <x:v>19</x:v>
      </x:c>
      <x:c r="G186" s="10">
        <x:v>102</x:v>
      </x:c>
      <x:c r="H186" s="22">
        <x:f t="shared" si="2"/>
        <x:v>10026.332852709422</x:v>
      </x:c>
      <x:c r="I186" s="22">
        <x:v>1022685.9509763611</x:v>
      </x:c>
    </x:row>
    <x:row r="187">
      <x:c r="A187" s="10" t="s">
        <x:v>75</x:v>
      </x:c>
      <x:c r="B187" s="10">
        <x:v>6563</x:v>
      </x:c>
      <x:c r="C187" s="10">
        <x:v>13156</x:v>
      </x:c>
      <x:c r="D187" s="10" t="s">
        <x:v>2</x:v>
      </x:c>
      <x:c r="E187" s="10" t="s">
        <x:v>48</x:v>
      </x:c>
      <x:c r="F187" s="10">
        <x:v>19</x:v>
      </x:c>
      <x:c r="G187" s="10">
        <x:v>102</x:v>
      </x:c>
      <x:c r="H187" s="22">
        <x:f t="shared" si="2"/>
        <x:v>10026.332852709422</x:v>
      </x:c>
      <x:c r="I187" s="22">
        <x:v>1022685.9509763611</x:v>
      </x:c>
    </x:row>
    <x:row r="188">
      <x:c r="A188" s="10" t="s">
        <x:v>75</x:v>
      </x:c>
      <x:c r="B188" s="10">
        <x:v>6564</x:v>
      </x:c>
      <x:c r="C188" s="10">
        <x:v>13365</x:v>
      </x:c>
      <x:c r="D188" s="10" t="s">
        <x:v>2</x:v>
      </x:c>
      <x:c r="E188" s="10" t="s">
        <x:v>48</x:v>
      </x:c>
      <x:c r="F188" s="10">
        <x:v>19</x:v>
      </x:c>
      <x:c r="G188" s="10">
        <x:v>108</x:v>
      </x:c>
      <x:c r="H188" s="22">
        <x:f t="shared" si="2"/>
        <x:v>9469.3143608922328</x:v>
      </x:c>
      <x:c r="I188" s="22">
        <x:v>1022685.9509763611</x:v>
      </x:c>
    </x:row>
    <x:row r="189">
      <x:c r="A189" s="10" t="s">
        <x:v>75</x:v>
      </x:c>
      <x:c r="B189" s="10">
        <x:v>6575</x:v>
      </x:c>
      <x:c r="C189" s="10">
        <x:v>13335</x:v>
      </x:c>
      <x:c r="D189" s="10" t="s">
        <x:v>2</x:v>
      </x:c>
      <x:c r="E189" s="10" t="s">
        <x:v>48</x:v>
      </x:c>
      <x:c r="F189" s="10">
        <x:v>19</x:v>
      </x:c>
      <x:c r="G189" s="10">
        <x:v>104</x:v>
      </x:c>
      <x:c r="H189" s="22">
        <x:f t="shared" si="2"/>
        <x:v>9833.5187593880873</x:v>
      </x:c>
      <x:c r="I189" s="22">
        <x:v>1022685.9509763611</x:v>
      </x:c>
    </x:row>
    <x:row r="190">
      <x:c r="A190" s="10" t="s">
        <x:v>75</x:v>
      </x:c>
      <x:c r="B190" s="10">
        <x:v>6576</x:v>
      </x:c>
      <x:c r="C190" s="10">
        <x:v>13366</x:v>
      </x:c>
      <x:c r="D190" s="10" t="s">
        <x:v>2</x:v>
      </x:c>
      <x:c r="E190" s="10" t="s">
        <x:v>48</x:v>
      </x:c>
      <x:c r="F190" s="10">
        <x:v>19</x:v>
      </x:c>
      <x:c r="G190" s="10">
        <x:v>107</x:v>
      </x:c>
      <x:c r="H190" s="22">
        <x:f t="shared" si="2"/>
        <x:v>9557.8126259472992</x:v>
      </x:c>
      <x:c r="I190" s="22">
        <x:v>1022685.9509763611</x:v>
      </x:c>
    </x:row>
    <x:row r="191">
      <x:c r="A191" s="10" t="s">
        <x:v>75</x:v>
      </x:c>
      <x:c r="B191" s="10">
        <x:v>6578</x:v>
      </x:c>
      <x:c r="C191" s="10">
        <x:v>13367</x:v>
      </x:c>
      <x:c r="D191" s="10" t="s">
        <x:v>2</x:v>
      </x:c>
      <x:c r="E191" s="10" t="s">
        <x:v>48</x:v>
      </x:c>
      <x:c r="F191" s="10">
        <x:v>19</x:v>
      </x:c>
      <x:c r="G191" s="10">
        <x:v>109</x:v>
      </x:c>
      <x:c r="H191" s="22">
        <x:f t="shared" si="2"/>
        <x:v>9382.4399172143221</x:v>
      </x:c>
      <x:c r="I191" s="22">
        <x:v>1022685.9509763611</x:v>
      </x:c>
    </x:row>
    <x:row r="192">
      <x:c r="A192" s="10" t="s">
        <x:v>75</x:v>
      </x:c>
      <x:c r="B192" s="10">
        <x:v>6581</x:v>
      </x:c>
      <x:c r="C192" s="10">
        <x:v>13157</x:v>
      </x:c>
      <x:c r="D192" s="10" t="s">
        <x:v>2</x:v>
      </x:c>
      <x:c r="E192" s="10" t="s">
        <x:v>48</x:v>
      </x:c>
      <x:c r="F192" s="10">
        <x:v>19</x:v>
      </x:c>
      <x:c r="G192" s="10">
        <x:v>97</x:v>
      </x:c>
      <x:c r="H192" s="22">
        <x:f t="shared" si="2"/>
        <x:v>10388.514958519187</x:v>
      </x:c>
      <x:c r="I192" s="22">
        <x:v>1007685.9509763611</x:v>
      </x:c>
    </x:row>
    <x:row r="193">
      <x:c r="A193" s="10" t="s">
        <x:v>75</x:v>
      </x:c>
      <x:c r="B193" s="10">
        <x:v>6582</x:v>
      </x:c>
      <x:c r="C193" s="10">
        <x:v>13336</x:v>
      </x:c>
      <x:c r="D193" s="10" t="s">
        <x:v>2</x:v>
      </x:c>
      <x:c r="E193" s="10" t="s">
        <x:v>48</x:v>
      </x:c>
      <x:c r="F193" s="10">
        <x:v>19</x:v>
      </x:c>
      <x:c r="G193" s="10">
        <x:v>102</x:v>
      </x:c>
      <x:c r="H193" s="22">
        <x:f t="shared" si="2"/>
        <x:v>9879.274029180011</x:v>
      </x:c>
      <x:c r="I193" s="22">
        <x:v>1007685.9509763611</x:v>
      </x:c>
    </x:row>
    <x:row r="194">
      <x:c r="A194" s="10" t="s">
        <x:v>75</x:v>
      </x:c>
      <x:c r="B194" s="10">
        <x:v>6583</x:v>
      </x:c>
      <x:c r="C194" s="10">
        <x:v>13368</x:v>
      </x:c>
      <x:c r="D194" s="10" t="s">
        <x:v>2</x:v>
      </x:c>
      <x:c r="E194" s="10" t="s">
        <x:v>48</x:v>
      </x:c>
      <x:c r="F194" s="10">
        <x:v>19</x:v>
      </x:c>
      <x:c r="G194" s="10">
        <x:v>105</x:v>
      </x:c>
      <x:c r="H194" s="22">
        <x:f t="shared" si="2"/>
        <x:v>9739.8661997748677</x:v>
      </x:c>
      <x:c r="I194" s="22">
        <x:v>1022685.9509763611</x:v>
      </x:c>
    </x:row>
    <x:row r="195">
      <x:c r="A195" s="10" t="s">
        <x:v>75</x:v>
      </x:c>
      <x:c r="B195" s="10">
        <x:v>6592</x:v>
      </x:c>
      <x:c r="C195" s="10">
        <x:v>13158</x:v>
      </x:c>
      <x:c r="D195" s="10" t="s">
        <x:v>2</x:v>
      </x:c>
      <x:c r="E195" s="10" t="s">
        <x:v>48</x:v>
      </x:c>
      <x:c r="F195" s="10">
        <x:v>19</x:v>
      </x:c>
      <x:c r="G195" s="10">
        <x:v>105</x:v>
      </x:c>
      <x:c r="H195" s="22" t="n">
        <x:f t="shared" ref="H195:H258" si="3">I195/G195</x:f>
        <x:v>9597.009056917725</x:v>
      </x:c>
      <x:c r="I195" s="22">
        <x:v>1007685.9509763611</x:v>
      </x:c>
    </x:row>
    <x:row r="196">
      <x:c r="A196" s="10" t="s">
        <x:v>75</x:v>
      </x:c>
      <x:c r="B196" s="10">
        <x:v>6593</x:v>
      </x:c>
      <x:c r="C196" s="10">
        <x:v>13369</x:v>
      </x:c>
      <x:c r="D196" s="10" t="s">
        <x:v>2</x:v>
      </x:c>
      <x:c r="E196" s="10" t="s">
        <x:v>48</x:v>
      </x:c>
      <x:c r="F196" s="10">
        <x:v>19</x:v>
      </x:c>
      <x:c r="G196" s="10">
        <x:v>106</x:v>
      </x:c>
      <x:c r="H196" s="22">
        <x:f t="shared" si="3"/>
        <x:v>9506.4712356260479</x:v>
      </x:c>
      <x:c r="I196" s="22">
        <x:v>1007685.9509763611</x:v>
      </x:c>
    </x:row>
    <x:row r="197">
      <x:c r="A197" s="10" t="s">
        <x:v>75</x:v>
      </x:c>
      <x:c r="B197" s="10">
        <x:v>6605</x:v>
      </x:c>
      <x:c r="C197" s="10">
        <x:v>13370</x:v>
      </x:c>
      <x:c r="D197" s="10" t="s">
        <x:v>2</x:v>
      </x:c>
      <x:c r="E197" s="10" t="s">
        <x:v>48</x:v>
      </x:c>
      <x:c r="F197" s="10">
        <x:v>19</x:v>
      </x:c>
      <x:c r="G197" s="10">
        <x:v>102</x:v>
      </x:c>
      <x:c r="H197" s="22">
        <x:f t="shared" si="3"/>
        <x:v>10026.332852709422</x:v>
      </x:c>
      <x:c r="I197" s="22">
        <x:v>1022685.9509763611</x:v>
      </x:c>
    </x:row>
    <x:row r="198">
      <x:c r="A198" s="10" t="s">
        <x:v>75</x:v>
      </x:c>
      <x:c r="B198" s="10">
        <x:v>6609</x:v>
      </x:c>
      <x:c r="C198" s="10">
        <x:v>13371</x:v>
      </x:c>
      <x:c r="D198" s="10" t="s">
        <x:v>2</x:v>
      </x:c>
      <x:c r="E198" s="10" t="s">
        <x:v>48</x:v>
      </x:c>
      <x:c r="F198" s="10">
        <x:v>19</x:v>
      </x:c>
      <x:c r="G198" s="10">
        <x:v>102</x:v>
      </x:c>
      <x:c r="H198" s="22">
        <x:f t="shared" si="3"/>
        <x:v>10026.332852709422</x:v>
      </x:c>
      <x:c r="I198" s="22">
        <x:v>1022685.9509763611</x:v>
      </x:c>
    </x:row>
    <x:row r="199">
      <x:c r="A199" s="10" t="s">
        <x:v>75</x:v>
      </x:c>
      <x:c r="B199" s="10">
        <x:v>6793</x:v>
      </x:c>
      <x:c r="C199" s="10">
        <x:v>13337</x:v>
      </x:c>
      <x:c r="D199" s="10" t="s">
        <x:v>6</x:v>
      </x:c>
      <x:c r="E199" s="10" t="s">
        <x:v>78</x:v>
      </x:c>
      <x:c r="F199" s="10">
        <x:v>22</x:v>
      </x:c>
      <x:c r="G199" s="10">
        <x:v>119</x:v>
      </x:c>
      <x:c r="H199" s="22">
        <x:f t="shared" si="3"/>
        <x:v>11510.810942175378</x:v>
      </x:c>
      <x:c r="I199" s="22">
        <x:v>1369786.5021188699</x:v>
      </x:c>
    </x:row>
    <x:row r="200">
      <x:c r="A200" s="10" t="s">
        <x:v>75</x:v>
      </x:c>
      <x:c r="B200" s="10">
        <x:v>6808</x:v>
      </x:c>
      <x:c r="C200" s="10">
        <x:v>13159</x:v>
      </x:c>
      <x:c r="D200" s="10" t="s">
        <x:v>0</x:v>
      </x:c>
      <x:c r="E200" s="10" t="s">
        <x:v>22</x:v>
      </x:c>
      <x:c r="F200" s="10">
        <x:v>34</x:v>
      </x:c>
      <x:c r="G200" s="10">
        <x:v>209</x:v>
      </x:c>
      <x:c r="H200" s="22">
        <x:f t="shared" si="3"/>
        <x:v>10157.760296424498</x:v>
      </x:c>
      <x:c r="I200" s="22">
        <x:v>2122971.9019527202</x:v>
      </x:c>
    </x:row>
    <x:row r="201">
      <x:c r="A201" s="10" t="s">
        <x:v>75</x:v>
      </x:c>
      <x:c r="B201" s="10">
        <x:v>6813</x:v>
      </x:c>
      <x:c r="C201" s="10">
        <x:v>13338</x:v>
      </x:c>
      <x:c r="D201" s="10" t="s">
        <x:v>0</x:v>
      </x:c>
      <x:c r="E201" s="10" t="s">
        <x:v>22</x:v>
      </x:c>
      <x:c r="F201" s="10">
        <x:v>34</x:v>
      </x:c>
      <x:c r="G201" s="10">
        <x:v>183</x:v>
      </x:c>
      <x:c r="H201" s="22">
        <x:f t="shared" si="3"/>
        <x:v>11549.573234714318</x:v>
      </x:c>
      <x:c r="I201" s="22">
        <x:v>2113571.9019527202</x:v>
      </x:c>
    </x:row>
    <x:row r="202">
      <x:c r="A202" s="10" t="s">
        <x:v>75</x:v>
      </x:c>
      <x:c r="B202" s="10">
        <x:v>6816</x:v>
      </x:c>
      <x:c r="C202" s="10">
        <x:v>13339</x:v>
      </x:c>
      <x:c r="D202" s="10" t="s">
        <x:v>0</x:v>
      </x:c>
      <x:c r="E202" s="10" t="s">
        <x:v>24</x:v>
      </x:c>
      <x:c r="F202" s="10">
        <x:v>28</x:v>
      </x:c>
      <x:c r="G202" s="10">
        <x:v>190</x:v>
      </x:c>
      <x:c r="H202" s="22">
        <x:f t="shared" si="3"/>
        <x:v>11123.010010277476</x:v>
      </x:c>
      <x:c r="I202" s="22">
        <x:v>2113371.9019527202</x:v>
      </x:c>
    </x:row>
    <x:row r="203">
      <x:c r="A203" s="10" t="s">
        <x:v>75</x:v>
      </x:c>
      <x:c r="B203" s="10">
        <x:v>6818</x:v>
      </x:c>
      <x:c r="C203" s="10">
        <x:v>13340</x:v>
      </x:c>
      <x:c r="D203" s="10" t="s">
        <x:v>0</x:v>
      </x:c>
      <x:c r="E203" s="10" t="s">
        <x:v>24</x:v>
      </x:c>
      <x:c r="F203" s="10">
        <x:v>28</x:v>
      </x:c>
      <x:c r="G203" s="10">
        <x:v>222</x:v>
      </x:c>
      <x:c r="H203" s="22">
        <x:f t="shared" si="3"/>
        <x:v>9559.3328916789196</x:v>
      </x:c>
      <x:c r="I203" s="22">
        <x:v>2122171.9019527202</x:v>
      </x:c>
    </x:row>
    <x:row r="204">
      <x:c r="A204" s="10" t="s">
        <x:v>75</x:v>
      </x:c>
      <x:c r="B204" s="10">
        <x:v>6821</x:v>
      </x:c>
      <x:c r="C204" s="10">
        <x:v>13160</x:v>
      </x:c>
      <x:c r="D204" s="10" t="s">
        <x:v>0</x:v>
      </x:c>
      <x:c r="E204" s="10" t="s">
        <x:v>24</x:v>
      </x:c>
      <x:c r="F204" s="10">
        <x:v>26</x:v>
      </x:c>
      <x:c r="G204" s="10">
        <x:v>150</x:v>
      </x:c>
      <x:c r="H204" s="22">
        <x:f t="shared" si="3"/>
        <x:v>14002.479346351469</x:v>
      </x:c>
      <x:c r="I204" s="22">
        <x:v>2100371.9019527202</x:v>
      </x:c>
    </x:row>
    <x:row r="205">
      <x:c r="A205" s="10" t="s">
        <x:v>75</x:v>
      </x:c>
      <x:c r="B205" s="10">
        <x:v>6825</x:v>
      </x:c>
      <x:c r="C205" s="10">
        <x:v>13161</x:v>
      </x:c>
      <x:c r="D205" s="10" t="s">
        <x:v>0</x:v>
      </x:c>
      <x:c r="E205" s="10" t="s">
        <x:v>24</x:v>
      </x:c>
      <x:c r="F205" s="10">
        <x:v>28</x:v>
      </x:c>
      <x:c r="G205" s="10">
        <x:v>193</x:v>
      </x:c>
      <x:c r="H205" s="22">
        <x:f t="shared" si="3"/>
        <x:v>10948.040942760208</x:v>
      </x:c>
      <x:c r="I205" s="22">
        <x:v>2112971.9019527202</x:v>
      </x:c>
    </x:row>
    <x:row r="206">
      <x:c r="A206" s="10" t="s">
        <x:v>75</x:v>
      </x:c>
      <x:c r="B206" s="10">
        <x:v>6826</x:v>
      </x:c>
      <x:c r="C206" s="10">
        <x:v>13162</x:v>
      </x:c>
      <x:c r="D206" s="10" t="s">
        <x:v>0</x:v>
      </x:c>
      <x:c r="E206" s="10" t="s">
        <x:v>24</x:v>
      </x:c>
      <x:c r="F206" s="10">
        <x:v>28</x:v>
      </x:c>
      <x:c r="G206" s="10">
        <x:v>189</x:v>
      </x:c>
      <x:c r="H206" s="22">
        <x:f t="shared" si="3"/>
        <x:v>11141.650274882119</x:v>
      </x:c>
      <x:c r="I206" s="22">
        <x:v>2105771.9019527202</x:v>
      </x:c>
    </x:row>
    <x:row r="207">
      <x:c r="A207" s="10" t="s">
        <x:v>75</x:v>
      </x:c>
      <x:c r="B207" s="10">
        <x:v>6830</x:v>
      </x:c>
      <x:c r="C207" s="10">
        <x:v>13163</x:v>
      </x:c>
      <x:c r="D207" s="10" t="s">
        <x:v>0</x:v>
      </x:c>
      <x:c r="E207" s="10" t="s">
        <x:v>24</x:v>
      </x:c>
      <x:c r="F207" s="10">
        <x:v>28</x:v>
      </x:c>
      <x:c r="G207" s="10">
        <x:v>188</x:v>
      </x:c>
      <x:c r="H207" s="22">
        <x:f t="shared" si="3"/>
        <x:v>11194.531393365532</x:v>
      </x:c>
      <x:c r="I207" s="22">
        <x:v>2104571.9019527202</x:v>
      </x:c>
    </x:row>
    <x:row r="208">
      <x:c r="A208" s="10" t="s">
        <x:v>75</x:v>
      </x:c>
      <x:c r="B208" s="10">
        <x:v>6835</x:v>
      </x:c>
      <x:c r="C208" s="10">
        <x:v>13164</x:v>
      </x:c>
      <x:c r="D208" s="10" t="s">
        <x:v>0</x:v>
      </x:c>
      <x:c r="E208" s="10" t="s">
        <x:v>42</x:v>
      </x:c>
      <x:c r="F208" s="10">
        <x:v>34</x:v>
      </x:c>
      <x:c r="G208" s="10">
        <x:v>190</x:v>
      </x:c>
      <x:c r="H208" s="22">
        <x:f t="shared" si="3"/>
        <x:v>10988.799483961684</x:v>
      </x:c>
      <x:c r="I208" s="22">
        <x:v>2087871.90195272</x:v>
      </x:c>
    </x:row>
    <x:row r="209">
      <x:c r="A209" s="10" t="s">
        <x:v>75</x:v>
      </x:c>
      <x:c r="B209" s="10">
        <x:v>6925</x:v>
      </x:c>
      <x:c r="C209" s="10">
        <x:v>13341</x:v>
      </x:c>
      <x:c r="D209" s="10" t="s">
        <x:v>6</x:v>
      </x:c>
      <x:c r="E209" s="10" t="s">
        <x:v>54</x:v>
      </x:c>
      <x:c r="F209" s="10">
        <x:v>20</x:v>
      </x:c>
      <x:c r="G209" s="10">
        <x:v>89</x:v>
      </x:c>
      <x:c r="H209" s="22">
        <x:f t="shared" si="3"/>
        <x:v>11322.314055914168</x:v>
      </x:c>
      <x:c r="I209" s="22">
        <x:v>1007685.9509763611</x:v>
      </x:c>
    </x:row>
    <x:row r="210">
      <x:c r="A210" s="10" t="s">
        <x:v>75</x:v>
      </x:c>
      <x:c r="B210" s="10">
        <x:v>6948</x:v>
      </x:c>
      <x:c r="C210" s="10">
        <x:v>13165</x:v>
      </x:c>
      <x:c r="D210" s="10" t="s">
        <x:v>0</x:v>
      </x:c>
      <x:c r="E210" s="10" t="s">
        <x:v>22</x:v>
      </x:c>
      <x:c r="F210" s="10">
        <x:v>34</x:v>
      </x:c>
      <x:c r="G210" s="10">
        <x:v>193</x:v>
      </x:c>
      <x:c r="H210" s="22">
        <x:f t="shared" si="3"/>
        <x:v>10964.621253641037</x:v>
      </x:c>
      <x:c r="I210" s="22">
        <x:v>2116171.9019527202</x:v>
      </x:c>
    </x:row>
    <x:row r="211">
      <x:c r="A211" s="10" t="s">
        <x:v>75</x:v>
      </x:c>
      <x:c r="B211" s="10">
        <x:v>6998</x:v>
      </x:c>
      <x:c r="C211" s="10">
        <x:v>13166</x:v>
      </x:c>
      <x:c r="D211" s="10" t="s">
        <x:v>0</x:v>
      </x:c>
      <x:c r="E211" s="10" t="s">
        <x:v>23</x:v>
      </x:c>
      <x:c r="F211" s="10">
        <x:v>34</x:v>
      </x:c>
      <x:c r="G211" s="10">
        <x:v>201</x:v>
      </x:c>
      <x:c r="H211" s="22">
        <x:f t="shared" si="3"/>
        <x:v>9877.4721490185075</x:v>
      </x:c>
      <x:c r="I211" s="22">
        <x:v>1985371.90195272</x:v>
      </x:c>
    </x:row>
    <x:row r="212">
      <x:c r="A212" s="10" t="s">
        <x:v>75</x:v>
      </x:c>
      <x:c r="B212" s="10">
        <x:v>7248</x:v>
      </x:c>
      <x:c r="C212" s="10">
        <x:v>13257</x:v>
      </x:c>
      <x:c r="D212" s="10" t="s">
        <x:v>0</x:v>
      </x:c>
      <x:c r="E212" s="10" t="s">
        <x:v>0</x:v>
      </x:c>
      <x:c r="F212" s="10">
        <x:v>24</x:v>
      </x:c>
      <x:c r="G212" s="10">
        <x:v>122</x:v>
      </x:c>
      <x:c r="H212" s="22">
        <x:f t="shared" si="3"/>
        <x:v>13000</x:v>
      </x:c>
      <x:c r="I212" s="22">
        <x:v>1586000</x:v>
      </x:c>
    </x:row>
    <x:row r="213">
      <x:c r="A213" s="10" t="s">
        <x:v>75</x:v>
      </x:c>
      <x:c r="B213" s="10">
        <x:v>7348</x:v>
      </x:c>
      <x:c r="C213" s="10">
        <x:v>13169</x:v>
      </x:c>
      <x:c r="D213" s="10" t="s">
        <x:v>1</x:v>
      </x:c>
      <x:c r="E213" s="10" t="s">
        <x:v>1</x:v>
      </x:c>
      <x:c r="F213" s="10">
        <x:v>54</x:v>
      </x:c>
      <x:c r="G213" s="10">
        <x:v>231</x:v>
      </x:c>
      <x:c r="H213" s="22">
        <x:f t="shared" si="3"/>
        <x:v>10000</x:v>
      </x:c>
      <x:c r="I213" s="22">
        <x:v>2310000</x:v>
      </x:c>
    </x:row>
    <x:row r="214">
      <x:c r="A214" s="10" t="s">
        <x:v>75</x:v>
      </x:c>
      <x:c r="B214" s="10">
        <x:v>7432</x:v>
      </x:c>
      <x:c r="C214" s="10">
        <x:v>13258</x:v>
      </x:c>
      <x:c r="D214" s="10" t="s">
        <x:v>5</x:v>
      </x:c>
      <x:c r="E214" s="10" t="s">
        <x:v>79</x:v>
      </x:c>
      <x:c r="F214" s="10">
        <x:v>0</x:v>
      </x:c>
      <x:c r="G214" s="10">
        <x:v>37</x:v>
      </x:c>
      <x:c r="H214" s="22">
        <x:f t="shared" si="3"/>
        <x:v>1</x:v>
      </x:c>
      <x:c r="I214" s="22">
        <x:v>37</x:v>
      </x:c>
    </x:row>
    <x:row r="215">
      <x:c r="A215" s="10" t="s">
        <x:v>75</x:v>
      </x:c>
      <x:c r="B215" s="10">
        <x:v>7433</x:v>
      </x:c>
      <x:c r="C215" s="10">
        <x:v>13170</x:v>
      </x:c>
      <x:c r="D215" s="10" t="s">
        <x:v>0</x:v>
      </x:c>
      <x:c r="E215" s="10" t="s">
        <x:v>0</x:v>
      </x:c>
      <x:c r="F215" s="10">
        <x:v>68</x:v>
      </x:c>
      <x:c r="G215" s="10">
        <x:v>431</x:v>
      </x:c>
      <x:c r="H215" s="22">
        <x:f t="shared" si="3"/>
        <x:v>13000</x:v>
      </x:c>
      <x:c r="I215" s="22">
        <x:v>5603000</x:v>
      </x:c>
    </x:row>
    <x:row r="216">
      <x:c r="A216" s="10" t="s">
        <x:v>75</x:v>
      </x:c>
      <x:c r="B216" s="10">
        <x:v>8525</x:v>
      </x:c>
      <x:c r="C216" s="10">
        <x:v>13171</x:v>
      </x:c>
      <x:c r="D216" s="10" t="s">
        <x:v>9</x:v>
      </x:c>
      <x:c r="E216" s="10" t="s">
        <x:v>9</x:v>
      </x:c>
      <x:c r="F216" s="10">
        <x:v>50</x:v>
      </x:c>
      <x:c r="G216" s="10">
        <x:v>216</x:v>
      </x:c>
      <x:c r="H216" s="22">
        <x:f t="shared" si="3"/>
        <x:v>8520.8333333333339</x:v>
      </x:c>
      <x:c r="I216" s="22">
        <x:v>1840500</x:v>
      </x:c>
    </x:row>
    <x:row r="217">
      <x:c r="A217" s="10" t="s">
        <x:v>75</x:v>
      </x:c>
      <x:c r="B217" s="10">
        <x:v>8549</x:v>
      </x:c>
      <x:c r="C217" s="10">
        <x:v>13172</x:v>
      </x:c>
      <x:c r="D217" s="10" t="s">
        <x:v>9</x:v>
      </x:c>
      <x:c r="E217" s="10" t="s">
        <x:v>9</x:v>
      </x:c>
      <x:c r="F217" s="10">
        <x:v>41</x:v>
      </x:c>
      <x:c r="G217" s="10">
        <x:v>193</x:v>
      </x:c>
      <x:c r="H217" s="22">
        <x:f t="shared" si="3"/>
        <x:v>9576.4248704663205</x:v>
      </x:c>
      <x:c r="I217" s="22">
        <x:v>1848250</x:v>
      </x:c>
    </x:row>
    <x:row r="218">
      <x:c r="A218" s="10" t="s">
        <x:v>75</x:v>
      </x:c>
      <x:c r="B218" s="10">
        <x:v>8555</x:v>
      </x:c>
      <x:c r="C218" s="10">
        <x:v>13173</x:v>
      </x:c>
      <x:c r="D218" s="10" t="s">
        <x:v>9</x:v>
      </x:c>
      <x:c r="E218" s="10" t="s">
        <x:v>9</x:v>
      </x:c>
      <x:c r="F218" s="10">
        <x:v>58</x:v>
      </x:c>
      <x:c r="G218" s="10">
        <x:v>219</x:v>
      </x:c>
      <x:c r="H218" s="22">
        <x:f t="shared" si="3"/>
        <x:v>8423.5159817351596</x:v>
      </x:c>
      <x:c r="I218" s="22">
        <x:v>1844750</x:v>
      </x:c>
    </x:row>
    <x:row r="219">
      <x:c r="A219" s="10" t="s">
        <x:v>75</x:v>
      </x:c>
      <x:c r="B219" s="10">
        <x:v>8575</x:v>
      </x:c>
      <x:c r="C219" s="10">
        <x:v>13174</x:v>
      </x:c>
      <x:c r="D219" s="10" t="s">
        <x:v>9</x:v>
      </x:c>
      <x:c r="E219" s="10" t="s">
        <x:v>9</x:v>
      </x:c>
      <x:c r="F219" s="10">
        <x:v>51</x:v>
      </x:c>
      <x:c r="G219" s="10">
        <x:v>187</x:v>
      </x:c>
      <x:c r="H219" s="22">
        <x:f t="shared" si="3"/>
        <x:v>9767.3796791443856</x:v>
      </x:c>
      <x:c r="I219" s="22">
        <x:v>1826500</x:v>
      </x:c>
    </x:row>
    <x:row r="220">
      <x:c r="A220" s="10" t="s">
        <x:v>75</x:v>
      </x:c>
      <x:c r="B220" s="10">
        <x:v>8576</x:v>
      </x:c>
      <x:c r="C220" s="10">
        <x:v>13259</x:v>
      </x:c>
      <x:c r="D220" s="10" t="s">
        <x:v>9</x:v>
      </x:c>
      <x:c r="E220" s="10" t="s">
        <x:v>9</x:v>
      </x:c>
      <x:c r="F220" s="10">
        <x:v>36</x:v>
      </x:c>
      <x:c r="G220" s="10">
        <x:v>206</x:v>
      </x:c>
      <x:c r="H220" s="22">
        <x:f t="shared" si="3"/>
        <x:v>8951.4563106796122</x:v>
      </x:c>
      <x:c r="I220" s="22">
        <x:v>1844000</x:v>
      </x:c>
    </x:row>
    <x:row r="221">
      <x:c r="A221" s="10" t="s">
        <x:v>75</x:v>
      </x:c>
      <x:c r="B221" s="10">
        <x:v>8583</x:v>
      </x:c>
      <x:c r="C221" s="10">
        <x:v>13175</x:v>
      </x:c>
      <x:c r="D221" s="10" t="s">
        <x:v>9</x:v>
      </x:c>
      <x:c r="E221" s="10" t="s">
        <x:v>9</x:v>
      </x:c>
      <x:c r="F221" s="10">
        <x:v>52</x:v>
      </x:c>
      <x:c r="G221" s="10">
        <x:v>204</x:v>
      </x:c>
      <x:c r="H221" s="22">
        <x:f t="shared" si="3"/>
        <x:v>9056.3725490196084</x:v>
      </x:c>
      <x:c r="I221" s="22">
        <x:v>1847500</x:v>
      </x:c>
    </x:row>
    <x:row r="222">
      <x:c r="A222" s="10" t="s">
        <x:v>75</x:v>
      </x:c>
      <x:c r="B222" s="10">
        <x:v>8643</x:v>
      </x:c>
      <x:c r="C222" s="10">
        <x:v>13260</x:v>
      </x:c>
      <x:c r="D222" s="10" t="s">
        <x:v>9</x:v>
      </x:c>
      <x:c r="E222" s="10" t="s">
        <x:v>9</x:v>
      </x:c>
      <x:c r="F222" s="10">
        <x:v>52</x:v>
      </x:c>
      <x:c r="G222" s="10">
        <x:v>199</x:v>
      </x:c>
      <x:c r="H222" s="22">
        <x:f t="shared" si="3"/>
        <x:v>8954.7738693467345</x:v>
      </x:c>
      <x:c r="I222" s="22">
        <x:v>1782000</x:v>
      </x:c>
    </x:row>
    <x:row r="223">
      <x:c r="A223" s="10" t="s">
        <x:v>75</x:v>
      </x:c>
      <x:c r="B223" s="10">
        <x:v>8656</x:v>
      </x:c>
      <x:c r="C223" s="10">
        <x:v>13176</x:v>
      </x:c>
      <x:c r="D223" s="10" t="s">
        <x:v>9</x:v>
      </x:c>
      <x:c r="E223" s="10" t="s">
        <x:v>9</x:v>
      </x:c>
      <x:c r="F223" s="10">
        <x:v>37</x:v>
      </x:c>
      <x:c r="G223" s="10">
        <x:v>203</x:v>
      </x:c>
      <x:c r="H223" s="22">
        <x:f t="shared" si="3"/>
        <x:v>9087.4384236453207</x:v>
      </x:c>
      <x:c r="I223" s="22">
        <x:v>1844750</x:v>
      </x:c>
    </x:row>
    <x:row r="224">
      <x:c r="A224" s="10" t="s">
        <x:v>75</x:v>
      </x:c>
      <x:c r="B224" s="10">
        <x:v>8661</x:v>
      </x:c>
      <x:c r="C224" s="10">
        <x:v>13044</x:v>
      </x:c>
      <x:c r="D224" s="10" t="s">
        <x:v>9</x:v>
      </x:c>
      <x:c r="E224" s="10" t="s">
        <x:v>9</x:v>
      </x:c>
      <x:c r="F224" s="10">
        <x:v>42</x:v>
      </x:c>
      <x:c r="G224" s="10">
        <x:v>215</x:v>
      </x:c>
      <x:c r="H224" s="22">
        <x:f t="shared" si="3"/>
        <x:v>9454.6511627906984</x:v>
      </x:c>
      <x:c r="I224" s="22">
        <x:v>2032750</x:v>
      </x:c>
    </x:row>
    <x:row r="225">
      <x:c r="A225" s="10" t="s">
        <x:v>75</x:v>
      </x:c>
      <x:c r="B225" s="10">
        <x:v>8666</x:v>
      </x:c>
      <x:c r="C225" s="10">
        <x:v>13177</x:v>
      </x:c>
      <x:c r="D225" s="10" t="s">
        <x:v>9</x:v>
      </x:c>
      <x:c r="E225" s="10" t="s">
        <x:v>9</x:v>
      </x:c>
      <x:c r="F225" s="10">
        <x:v>54</x:v>
      </x:c>
      <x:c r="G225" s="10">
        <x:v>200</x:v>
      </x:c>
      <x:c r="H225" s="22">
        <x:f t="shared" si="3"/>
        <x:v>9216.25</x:v>
      </x:c>
      <x:c r="I225" s="22">
        <x:v>1843250</x:v>
      </x:c>
    </x:row>
    <x:row r="226">
      <x:c r="A226" s="10" t="s">
        <x:v>75</x:v>
      </x:c>
      <x:c r="B226" s="10">
        <x:v>8675</x:v>
      </x:c>
      <x:c r="C226" s="10">
        <x:v>13178</x:v>
      </x:c>
      <x:c r="D226" s="10" t="s">
        <x:v>0</x:v>
      </x:c>
      <x:c r="E226" s="10" t="s">
        <x:v>0</x:v>
      </x:c>
      <x:c r="F226" s="10">
        <x:v>41</x:v>
      </x:c>
      <x:c r="G226" s="10">
        <x:v>206</x:v>
      </x:c>
      <x:c r="H226" s="22">
        <x:f t="shared" si="3"/>
        <x:v>12875.728155339806</x:v>
      </x:c>
      <x:c r="I226" s="22">
        <x:v>2652400</x:v>
      </x:c>
    </x:row>
    <x:row r="227">
      <x:c r="A227" s="10" t="s">
        <x:v>75</x:v>
      </x:c>
      <x:c r="B227" s="10">
        <x:v>8682</x:v>
      </x:c>
      <x:c r="C227" s="10">
        <x:v>13179</x:v>
      </x:c>
      <x:c r="D227" s="10" t="s">
        <x:v>0</x:v>
      </x:c>
      <x:c r="E227" s="10" t="s">
        <x:v>0</x:v>
      </x:c>
      <x:c r="F227" s="10">
        <x:v>45</x:v>
      </x:c>
      <x:c r="G227" s="10">
        <x:v>203</x:v>
      </x:c>
      <x:c r="H227" s="22">
        <x:f t="shared" si="3"/>
        <x:v>13173.399014778324</x:v>
      </x:c>
      <x:c r="I227" s="22">
        <x:v>2674200</x:v>
      </x:c>
    </x:row>
    <x:row r="228">
      <x:c r="A228" s="10" t="s">
        <x:v>75</x:v>
      </x:c>
      <x:c r="B228" s="10">
        <x:v>8697</x:v>
      </x:c>
      <x:c r="C228" s="10">
        <x:v>13261</x:v>
      </x:c>
      <x:c r="D228" s="10" t="s">
        <x:v>2</x:v>
      </x:c>
      <x:c r="E228" s="10" t="s">
        <x:v>2</x:v>
      </x:c>
      <x:c r="F228" s="10">
        <x:v>30</x:v>
      </x:c>
      <x:c r="G228" s="10">
        <x:v>162</x:v>
      </x:c>
      <x:c r="H228" s="22">
        <x:f t="shared" si="3"/>
        <x:v>11714.506172839507</x:v>
      </x:c>
      <x:c r="I228" s="22">
        <x:v>1897750</x:v>
      </x:c>
    </x:row>
    <x:row r="229">
      <x:c r="A229" s="10" t="s">
        <x:v>75</x:v>
      </x:c>
      <x:c r="B229" s="10">
        <x:v>8703</x:v>
      </x:c>
      <x:c r="C229" s="10">
        <x:v>13180</x:v>
      </x:c>
      <x:c r="D229" s="10" t="s">
        <x:v>2</x:v>
      </x:c>
      <x:c r="E229" s="10" t="s">
        <x:v>2</x:v>
      </x:c>
      <x:c r="F229" s="10">
        <x:v>14</x:v>
      </x:c>
      <x:c r="G229" s="10">
        <x:v>79</x:v>
      </x:c>
      <x:c r="H229" s="22">
        <x:f t="shared" si="3"/>
        <x:v>10876.582278481013</x:v>
      </x:c>
      <x:c r="I229" s="22">
        <x:v>859250</x:v>
      </x:c>
    </x:row>
    <x:row r="230">
      <x:c r="A230" s="10" t="s">
        <x:v>75</x:v>
      </x:c>
      <x:c r="B230" s="10">
        <x:v>8704</x:v>
      </x:c>
      <x:c r="C230" s="10">
        <x:v>13262</x:v>
      </x:c>
      <x:c r="D230" s="10" t="s">
        <x:v>2</x:v>
      </x:c>
      <x:c r="E230" s="10" t="s">
        <x:v>2</x:v>
      </x:c>
      <x:c r="F230" s="10">
        <x:v>32</x:v>
      </x:c>
      <x:c r="G230" s="10">
        <x:v>195</x:v>
      </x:c>
      <x:c r="H230" s="22">
        <x:f t="shared" si="3"/>
        <x:v>11830.76923076923</x:v>
      </x:c>
      <x:c r="I230" s="22">
        <x:v>2307000</x:v>
      </x:c>
    </x:row>
    <x:row r="231">
      <x:c r="A231" s="10" t="s">
        <x:v>75</x:v>
      </x:c>
      <x:c r="B231" s="10">
        <x:v>8710</x:v>
      </x:c>
      <x:c r="C231" s="10">
        <x:v>13181</x:v>
      </x:c>
      <x:c r="D231" s="10" t="s">
        <x:v>2</x:v>
      </x:c>
      <x:c r="E231" s="10" t="s">
        <x:v>2</x:v>
      </x:c>
      <x:c r="F231" s="10">
        <x:v>31</x:v>
      </x:c>
      <x:c r="G231" s="10">
        <x:v>178</x:v>
      </x:c>
      <x:c r="H231" s="22">
        <x:f t="shared" si="3"/>
        <x:v>11181.1797752809</x:v>
      </x:c>
      <x:c r="I231" s="22">
        <x:v>1990250</x:v>
      </x:c>
    </x:row>
    <x:row r="232">
      <x:c r="A232" s="10" t="s">
        <x:v>75</x:v>
      </x:c>
      <x:c r="B232" s="10">
        <x:v>8715</x:v>
      </x:c>
      <x:c r="C232" s="10">
        <x:v>13182</x:v>
      </x:c>
      <x:c r="D232" s="10" t="s">
        <x:v>2</x:v>
      </x:c>
      <x:c r="E232" s="10" t="s">
        <x:v>2</x:v>
      </x:c>
      <x:c r="F232" s="10">
        <x:v>43</x:v>
      </x:c>
      <x:c r="G232" s="10">
        <x:v>187</x:v>
      </x:c>
      <x:c r="H232" s="22">
        <x:f t="shared" si="3"/>
        <x:v>11073.529411764706</x:v>
      </x:c>
      <x:c r="I232" s="22">
        <x:v>2070750</x:v>
      </x:c>
    </x:row>
    <x:row r="233">
      <x:c r="A233" s="10" t="s">
        <x:v>75</x:v>
      </x:c>
      <x:c r="B233" s="10">
        <x:v>8754</x:v>
      </x:c>
      <x:c r="C233" s="10">
        <x:v>13263</x:v>
      </x:c>
      <x:c r="D233" s="10" t="s">
        <x:v>9</x:v>
      </x:c>
      <x:c r="E233" s="10" t="s">
        <x:v>9</x:v>
      </x:c>
      <x:c r="F233" s="10">
        <x:v>23</x:v>
      </x:c>
      <x:c r="G233" s="10">
        <x:v>84</x:v>
      </x:c>
      <x:c r="H233" s="22">
        <x:f t="shared" si="3"/>
        <x:v>9000</x:v>
      </x:c>
      <x:c r="I233" s="22">
        <x:v>756000</x:v>
      </x:c>
    </x:row>
    <x:row r="234">
      <x:c r="A234" s="10" t="s">
        <x:v>75</x:v>
      </x:c>
      <x:c r="B234" s="10">
        <x:v>8755</x:v>
      </x:c>
      <x:c r="C234" s="10">
        <x:v>13183</x:v>
      </x:c>
      <x:c r="D234" s="10" t="s">
        <x:v>0</x:v>
      </x:c>
      <x:c r="E234" s="10" t="s">
        <x:v>0</x:v>
      </x:c>
      <x:c r="F234" s="10">
        <x:v>28</x:v>
      </x:c>
      <x:c r="G234" s="10">
        <x:v>128</x:v>
      </x:c>
      <x:c r="H234" s="22">
        <x:f t="shared" si="3"/>
        <x:v>10657.8125</x:v>
      </x:c>
      <x:c r="I234" s="22">
        <x:v>1364200</x:v>
      </x:c>
    </x:row>
    <x:row r="235">
      <x:c r="A235" s="10" t="s">
        <x:v>75</x:v>
      </x:c>
      <x:c r="B235" s="10">
        <x:v>8760</x:v>
      </x:c>
      <x:c r="C235" s="10">
        <x:v>13184</x:v>
      </x:c>
      <x:c r="D235" s="10" t="s">
        <x:v>2</x:v>
      </x:c>
      <x:c r="E235" s="10" t="s">
        <x:v>2</x:v>
      </x:c>
      <x:c r="F235" s="10">
        <x:v>43</x:v>
      </x:c>
      <x:c r="G235" s="10">
        <x:v>208</x:v>
      </x:c>
      <x:c r="H235" s="22">
        <x:f t="shared" si="3"/>
        <x:v>10305.288461538461</x:v>
      </x:c>
      <x:c r="I235" s="22">
        <x:v>2143500</x:v>
      </x:c>
    </x:row>
    <x:row r="236">
      <x:c r="A236" s="10" t="s">
        <x:v>75</x:v>
      </x:c>
      <x:c r="B236" s="10">
        <x:v>8762</x:v>
      </x:c>
      <x:c r="C236" s="10">
        <x:v>13238</x:v>
      </x:c>
      <x:c r="D236" s="10" t="s">
        <x:v>0</x:v>
      </x:c>
      <x:c r="E236" s="10" t="s">
        <x:v>76</x:v>
      </x:c>
      <x:c r="F236" s="10">
        <x:v>28</x:v>
      </x:c>
      <x:c r="G236" s="10">
        <x:v>163</x:v>
      </x:c>
      <x:c r="H236" s="22">
        <x:f t="shared" si="3"/>
        <x:v>11820.552147239263</x:v>
      </x:c>
      <x:c r="I236" s="22">
        <x:v>1926750</x:v>
      </x:c>
    </x:row>
    <x:row r="237">
      <x:c r="A237" s="10" t="s">
        <x:v>75</x:v>
      </x:c>
      <x:c r="B237" s="10">
        <x:v>8763</x:v>
      </x:c>
      <x:c r="C237" s="10">
        <x:v>13185</x:v>
      </x:c>
      <x:c r="D237" s="10" t="s">
        <x:v>0</x:v>
      </x:c>
      <x:c r="E237" s="10" t="s">
        <x:v>0</x:v>
      </x:c>
      <x:c r="F237" s="10">
        <x:v>38</x:v>
      </x:c>
      <x:c r="G237" s="10">
        <x:v>201</x:v>
      </x:c>
      <x:c r="H237" s="22">
        <x:f t="shared" si="3"/>
        <x:v>12300.497512437811</x:v>
      </x:c>
      <x:c r="I237" s="22">
        <x:v>2472400</x:v>
      </x:c>
    </x:row>
    <x:row r="238">
      <x:c r="A238" s="10" t="s">
        <x:v>75</x:v>
      </x:c>
      <x:c r="B238" s="10">
        <x:v>8767</x:v>
      </x:c>
      <x:c r="C238" s="10">
        <x:v>13186</x:v>
      </x:c>
      <x:c r="D238" s="10" t="s">
        <x:v>0</x:v>
      </x:c>
      <x:c r="E238" s="10" t="s">
        <x:v>0</x:v>
      </x:c>
      <x:c r="F238" s="10">
        <x:v>37</x:v>
      </x:c>
      <x:c r="G238" s="10">
        <x:v>203</x:v>
      </x:c>
      <x:c r="H238" s="22">
        <x:f t="shared" si="3"/>
        <x:v>13154.679802955665</x:v>
      </x:c>
      <x:c r="I238" s="22">
        <x:v>2670400</x:v>
      </x:c>
    </x:row>
    <x:row r="239">
      <x:c r="A239" s="10" t="s">
        <x:v>75</x:v>
      </x:c>
      <x:c r="B239" s="10">
        <x:v>8779</x:v>
      </x:c>
      <x:c r="C239" s="10">
        <x:v>13187</x:v>
      </x:c>
      <x:c r="D239" s="10" t="s">
        <x:v>2</x:v>
      </x:c>
      <x:c r="E239" s="10" t="s">
        <x:v>2</x:v>
      </x:c>
      <x:c r="F239" s="10">
        <x:v>28</x:v>
      </x:c>
      <x:c r="G239" s="10">
        <x:v>175</x:v>
      </x:c>
      <x:c r="H239" s="22">
        <x:f t="shared" si="3"/>
        <x:v>11741.428571428571</x:v>
      </x:c>
      <x:c r="I239" s="22">
        <x:v>2054750</x:v>
      </x:c>
    </x:row>
    <x:row r="240">
      <x:c r="A240" s="10" t="s">
        <x:v>75</x:v>
      </x:c>
      <x:c r="B240" s="10">
        <x:v>8780</x:v>
      </x:c>
      <x:c r="C240" s="10">
        <x:v>13188</x:v>
      </x:c>
      <x:c r="D240" s="10" t="s">
        <x:v>2</x:v>
      </x:c>
      <x:c r="E240" s="10" t="s">
        <x:v>2</x:v>
      </x:c>
      <x:c r="F240" s="10">
        <x:v>41</x:v>
      </x:c>
      <x:c r="G240" s="10">
        <x:v>204</x:v>
      </x:c>
      <x:c r="H240" s="22">
        <x:f t="shared" si="3"/>
        <x:v>11186.274509803921</x:v>
      </x:c>
      <x:c r="I240" s="22">
        <x:v>2282000</x:v>
      </x:c>
    </x:row>
    <x:row r="241">
      <x:c r="A241" s="10" t="s">
        <x:v>75</x:v>
      </x:c>
      <x:c r="B241" s="10">
        <x:v>8788</x:v>
      </x:c>
      <x:c r="C241" s="10">
        <x:v>13189</x:v>
      </x:c>
      <x:c r="D241" s="10" t="s">
        <x:v>2</x:v>
      </x:c>
      <x:c r="E241" s="10" t="s">
        <x:v>2</x:v>
      </x:c>
      <x:c r="F241" s="10">
        <x:v>49</x:v>
      </x:c>
      <x:c r="G241" s="10">
        <x:v>211</x:v>
      </x:c>
      <x:c r="H241" s="22">
        <x:f t="shared" si="3"/>
        <x:v>11723.9336492891</x:v>
      </x:c>
      <x:c r="I241" s="22">
        <x:v>2473750</x:v>
      </x:c>
    </x:row>
    <x:row r="242">
      <x:c r="A242" s="10" t="s">
        <x:v>75</x:v>
      </x:c>
      <x:c r="B242" s="10">
        <x:v>8798</x:v>
      </x:c>
      <x:c r="C242" s="10">
        <x:v>13190</x:v>
      </x:c>
      <x:c r="D242" s="10" t="s">
        <x:v>2</x:v>
      </x:c>
      <x:c r="E242" s="10" t="s">
        <x:v>2</x:v>
      </x:c>
      <x:c r="F242" s="10">
        <x:v>43</x:v>
      </x:c>
      <x:c r="G242" s="10">
        <x:v>257</x:v>
      </x:c>
      <x:c r="H242" s="22">
        <x:f t="shared" si="3"/>
        <x:v>10873.540856031128</x:v>
      </x:c>
      <x:c r="I242" s="22">
        <x:v>2794500</x:v>
      </x:c>
    </x:row>
    <x:row r="243">
      <x:c r="A243" s="10" t="s">
        <x:v>75</x:v>
      </x:c>
      <x:c r="B243" s="10">
        <x:v>8799</x:v>
      </x:c>
      <x:c r="C243" s="10">
        <x:v>13191</x:v>
      </x:c>
      <x:c r="D243" s="10" t="s">
        <x:v>2</x:v>
      </x:c>
      <x:c r="E243" s="10" t="s">
        <x:v>2</x:v>
      </x:c>
      <x:c r="F243" s="10">
        <x:v>28</x:v>
      </x:c>
      <x:c r="G243" s="10">
        <x:v>165</x:v>
      </x:c>
      <x:c r="H243" s="22">
        <x:f t="shared" si="3"/>
        <x:v>12013.636363636364</x:v>
      </x:c>
      <x:c r="I243" s="22">
        <x:v>1982250</x:v>
      </x:c>
    </x:row>
    <x:row r="244">
      <x:c r="A244" s="10" t="s">
        <x:v>75</x:v>
      </x:c>
      <x:c r="B244" s="10">
        <x:v>8801</x:v>
      </x:c>
      <x:c r="C244" s="10">
        <x:v>13264</x:v>
      </x:c>
      <x:c r="D244" s="10" t="s">
        <x:v>9</x:v>
      </x:c>
      <x:c r="E244" s="10" t="s">
        <x:v>9</x:v>
      </x:c>
      <x:c r="F244" s="10">
        <x:v>58</x:v>
      </x:c>
      <x:c r="G244" s="10">
        <x:v>209</x:v>
      </x:c>
      <x:c r="H244" s="22">
        <x:f t="shared" si="3"/>
        <x:v>9818.181818181818</x:v>
      </x:c>
      <x:c r="I244" s="22">
        <x:v>2052000</x:v>
      </x:c>
    </x:row>
    <x:row r="245">
      <x:c r="A245" s="10" t="s">
        <x:v>75</x:v>
      </x:c>
      <x:c r="B245" s="10">
        <x:v>8806</x:v>
      </x:c>
      <x:c r="C245" s="10">
        <x:v>13265</x:v>
      </x:c>
      <x:c r="D245" s="10" t="s">
        <x:v>0</x:v>
      </x:c>
      <x:c r="E245" s="10" t="s">
        <x:v>0</x:v>
      </x:c>
      <x:c r="F245" s="10">
        <x:v>31</x:v>
      </x:c>
      <x:c r="G245" s="10">
        <x:v>168</x:v>
      </x:c>
      <x:c r="H245" s="22">
        <x:f t="shared" si="3"/>
        <x:v>13554.761904761905</x:v>
      </x:c>
      <x:c r="I245" s="22">
        <x:v>2277200</x:v>
      </x:c>
    </x:row>
    <x:row r="246">
      <x:c r="A246" s="10" t="s">
        <x:v>75</x:v>
      </x:c>
      <x:c r="B246" s="10">
        <x:v>8808</x:v>
      </x:c>
      <x:c r="C246" s="10">
        <x:v>13192</x:v>
      </x:c>
      <x:c r="D246" s="10" t="s">
        <x:v>0</x:v>
      </x:c>
      <x:c r="E246" s="10" t="s">
        <x:v>0</x:v>
      </x:c>
      <x:c r="F246" s="10">
        <x:v>72</x:v>
      </x:c>
      <x:c r="G246" s="10">
        <x:v>386</x:v>
      </x:c>
      <x:c r="H246" s="22">
        <x:f t="shared" si="3"/>
        <x:v>12999.481865284974</x:v>
      </x:c>
      <x:c r="I246" s="22">
        <x:v>5017800</x:v>
      </x:c>
    </x:row>
    <x:row r="247">
      <x:c r="A247" s="10" t="s">
        <x:v>75</x:v>
      </x:c>
      <x:c r="B247" s="10">
        <x:v>8816</x:v>
      </x:c>
      <x:c r="C247" s="10">
        <x:v>13193</x:v>
      </x:c>
      <x:c r="D247" s="10" t="s">
        <x:v>2</x:v>
      </x:c>
      <x:c r="E247" s="10" t="s">
        <x:v>2</x:v>
      </x:c>
      <x:c r="F247" s="10">
        <x:v>41</x:v>
      </x:c>
      <x:c r="G247" s="10">
        <x:v>207</x:v>
      </x:c>
      <x:c r="H247" s="22">
        <x:f t="shared" si="3"/>
        <x:v>10194.444444444445</x:v>
      </x:c>
      <x:c r="I247" s="22">
        <x:v>2110250</x:v>
      </x:c>
    </x:row>
    <x:row r="248">
      <x:c r="A248" s="10" t="s">
        <x:v>75</x:v>
      </x:c>
      <x:c r="B248" s="10">
        <x:v>8820</x:v>
      </x:c>
      <x:c r="C248" s="10">
        <x:v>13266</x:v>
      </x:c>
      <x:c r="D248" s="10" t="s">
        <x:v>0</x:v>
      </x:c>
      <x:c r="E248" s="10" t="s">
        <x:v>0</x:v>
      </x:c>
      <x:c r="F248" s="10">
        <x:v>85</x:v>
      </x:c>
      <x:c r="G248" s="10">
        <x:v>359</x:v>
      </x:c>
      <x:c r="H248" s="22">
        <x:f t="shared" si="3"/>
        <x:v>13116.991643454039</x:v>
      </x:c>
      <x:c r="I248" s="22">
        <x:v>4709000</x:v>
      </x:c>
    </x:row>
    <x:row r="249">
      <x:c r="A249" s="10" t="s">
        <x:v>75</x:v>
      </x:c>
      <x:c r="B249" s="10">
        <x:v>8827</x:v>
      </x:c>
      <x:c r="C249" s="10">
        <x:v>13194</x:v>
      </x:c>
      <x:c r="D249" s="10" t="s">
        <x:v>0</x:v>
      </x:c>
      <x:c r="E249" s="10" t="s">
        <x:v>0</x:v>
      </x:c>
      <x:c r="F249" s="10">
        <x:v>44</x:v>
      </x:c>
      <x:c r="G249" s="10">
        <x:v>191</x:v>
      </x:c>
      <x:c r="H249" s="22">
        <x:f t="shared" si="3"/>
        <x:v>12624.083769633507</x:v>
      </x:c>
      <x:c r="I249" s="22">
        <x:v>2411200</x:v>
      </x:c>
    </x:row>
    <x:row r="250">
      <x:c r="A250" s="10" t="s">
        <x:v>75</x:v>
      </x:c>
      <x:c r="B250" s="10">
        <x:v>8831</x:v>
      </x:c>
      <x:c r="C250" s="10">
        <x:v>13267</x:v>
      </x:c>
      <x:c r="D250" s="10" t="s">
        <x:v>9</x:v>
      </x:c>
      <x:c r="E250" s="10" t="s">
        <x:v>9</x:v>
      </x:c>
      <x:c r="F250" s="10">
        <x:v>59</x:v>
      </x:c>
      <x:c r="G250" s="10">
        <x:v>200</x:v>
      </x:c>
      <x:c r="H250" s="22">
        <x:f t="shared" si="3"/>
        <x:v>9205</x:v>
      </x:c>
      <x:c r="I250" s="22">
        <x:v>1841000</x:v>
      </x:c>
    </x:row>
    <x:row r="251">
      <x:c r="A251" s="10" t="s">
        <x:v>75</x:v>
      </x:c>
      <x:c r="B251" s="10">
        <x:v>8838</x:v>
      </x:c>
      <x:c r="C251" s="10">
        <x:v>13268</x:v>
      </x:c>
      <x:c r="D251" s="10" t="s">
        <x:v>9</x:v>
      </x:c>
      <x:c r="E251" s="10" t="s">
        <x:v>9</x:v>
      </x:c>
      <x:c r="F251" s="10">
        <x:v>17</x:v>
      </x:c>
      <x:c r="G251" s="10">
        <x:v>82</x:v>
      </x:c>
      <x:c r="H251" s="22">
        <x:f t="shared" si="3"/>
        <x:v>9140.2439024390242</x:v>
      </x:c>
      <x:c r="I251" s="22">
        <x:v>749500</x:v>
      </x:c>
    </x:row>
    <x:row r="252">
      <x:c r="A252" s="10" t="s">
        <x:v>75</x:v>
      </x:c>
      <x:c r="B252" s="10">
        <x:v>8840</x:v>
      </x:c>
      <x:c r="C252" s="10">
        <x:v>13269</x:v>
      </x:c>
      <x:c r="D252" s="10" t="s">
        <x:v>9</x:v>
      </x:c>
      <x:c r="E252" s="10" t="s">
        <x:v>9</x:v>
      </x:c>
      <x:c r="F252" s="10">
        <x:v>28</x:v>
      </x:c>
      <x:c r="G252" s="10">
        <x:v>122</x:v>
      </x:c>
      <x:c r="H252" s="22">
        <x:f t="shared" si="3"/>
        <x:v>7745.9016393442625</x:v>
      </x:c>
      <x:c r="I252" s="22">
        <x:v>945000</x:v>
      </x:c>
    </x:row>
    <x:row r="253">
      <x:c r="A253" s="10" t="s">
        <x:v>75</x:v>
      </x:c>
      <x:c r="B253" s="10">
        <x:v>8846</x:v>
      </x:c>
      <x:c r="C253" s="10">
        <x:v>13195</x:v>
      </x:c>
      <x:c r="D253" s="10" t="s">
        <x:v>0</x:v>
      </x:c>
      <x:c r="E253" s="10" t="s">
        <x:v>0</x:v>
      </x:c>
      <x:c r="F253" s="10">
        <x:v>76</x:v>
      </x:c>
      <x:c r="G253" s="10">
        <x:v>385</x:v>
      </x:c>
      <x:c r="H253" s="22">
        <x:f t="shared" si="3"/>
        <x:v>13323.636363636364</x:v>
      </x:c>
      <x:c r="I253" s="22">
        <x:v>5129600</x:v>
      </x:c>
    </x:row>
    <x:row r="254">
      <x:c r="A254" s="10" t="s">
        <x:v>75</x:v>
      </x:c>
      <x:c r="B254" s="10">
        <x:v>8849</x:v>
      </x:c>
      <x:c r="C254" s="10">
        <x:v>13270</x:v>
      </x:c>
      <x:c r="D254" s="10" t="s">
        <x:v>9</x:v>
      </x:c>
      <x:c r="E254" s="10" t="s">
        <x:v>9</x:v>
      </x:c>
      <x:c r="F254" s="10">
        <x:v>30</x:v>
      </x:c>
      <x:c r="G254" s="10">
        <x:v>185</x:v>
      </x:c>
      <x:c r="H254" s="22">
        <x:f t="shared" si="3"/>
        <x:v>9344.594594594595</x:v>
      </x:c>
      <x:c r="I254" s="22">
        <x:v>1728750</x:v>
      </x:c>
    </x:row>
    <x:row r="255">
      <x:c r="A255" s="10" t="s">
        <x:v>75</x:v>
      </x:c>
      <x:c r="B255" s="10">
        <x:v>8855</x:v>
      </x:c>
      <x:c r="C255" s="10">
        <x:v>13196</x:v>
      </x:c>
      <x:c r="D255" s="10" t="s">
        <x:v>0</x:v>
      </x:c>
      <x:c r="E255" s="10" t="s">
        <x:v>0</x:v>
      </x:c>
      <x:c r="F255" s="10">
        <x:v>29</x:v>
      </x:c>
      <x:c r="G255" s="10">
        <x:v>196</x:v>
      </x:c>
      <x:c r="H255" s="22">
        <x:f t="shared" si="3"/>
        <x:v>12090.816326530612</x:v>
      </x:c>
      <x:c r="I255" s="22">
        <x:v>2369800</x:v>
      </x:c>
    </x:row>
    <x:row r="256">
      <x:c r="A256" s="10" t="s">
        <x:v>75</x:v>
      </x:c>
      <x:c r="B256" s="10">
        <x:v>8859</x:v>
      </x:c>
      <x:c r="C256" s="10">
        <x:v>13197</x:v>
      </x:c>
      <x:c r="D256" s="10" t="s">
        <x:v>9</x:v>
      </x:c>
      <x:c r="E256" s="10" t="s">
        <x:v>9</x:v>
      </x:c>
      <x:c r="F256" s="10">
        <x:v>23</x:v>
      </x:c>
      <x:c r="G256" s="10">
        <x:v>84</x:v>
      </x:c>
      <x:c r="H256" s="22">
        <x:f t="shared" si="3"/>
        <x:v>9654.7619047619046</x:v>
      </x:c>
      <x:c r="I256" s="22">
        <x:v>811000</x:v>
      </x:c>
    </x:row>
    <x:row r="257">
      <x:c r="A257" s="10" t="s">
        <x:v>75</x:v>
      </x:c>
      <x:c r="B257" s="10">
        <x:v>8875</x:v>
      </x:c>
      <x:c r="C257" s="10">
        <x:v>13231</x:v>
      </x:c>
      <x:c r="D257" s="10" t="s">
        <x:v>0</x:v>
      </x:c>
      <x:c r="E257" s="10" t="s">
        <x:v>76</x:v>
      </x:c>
      <x:c r="F257" s="10">
        <x:v>29</x:v>
      </x:c>
      <x:c r="G257" s="10">
        <x:v>198</x:v>
      </x:c>
      <x:c r="H257" s="22">
        <x:f t="shared" si="3"/>
        <x:v>11714.646464646465</x:v>
      </x:c>
      <x:c r="I257" s="22">
        <x:v>2319500</x:v>
      </x:c>
    </x:row>
    <x:row r="258">
      <x:c r="A258" s="10" t="s">
        <x:v>75</x:v>
      </x:c>
      <x:c r="B258" s="10">
        <x:v>8890</x:v>
      </x:c>
      <x:c r="C258" s="10">
        <x:v>13198</x:v>
      </x:c>
      <x:c r="D258" s="10" t="s">
        <x:v>1</x:v>
      </x:c>
      <x:c r="E258" s="10" t="s">
        <x:v>1</x:v>
      </x:c>
      <x:c r="F258" s="10">
        <x:v>12</x:v>
      </x:c>
      <x:c r="G258" s="10">
        <x:v>116</x:v>
      </x:c>
      <x:c r="H258" s="22">
        <x:f t="shared" si="3"/>
        <x:v>8241.3793103448279</x:v>
      </x:c>
      <x:c r="I258" s="22">
        <x:v>956000</x:v>
      </x:c>
    </x:row>
    <x:row r="259">
      <x:c r="A259" s="10" t="s">
        <x:v>75</x:v>
      </x:c>
      <x:c r="B259" s="10">
        <x:v>8897</x:v>
      </x:c>
      <x:c r="C259" s="10">
        <x:v>13271</x:v>
      </x:c>
      <x:c r="D259" s="10" t="s">
        <x:v>2</x:v>
      </x:c>
      <x:c r="E259" s="10" t="s">
        <x:v>2</x:v>
      </x:c>
      <x:c r="F259" s="10">
        <x:v>31</x:v>
      </x:c>
      <x:c r="G259" s="10">
        <x:v>167</x:v>
      </x:c>
      <x:c r="H259" s="22" t="n">
        <x:f t="shared" ref="H259:H322" si="4">I259/G259</x:f>
        <x:v>11797.904191616766</x:v>
      </x:c>
      <x:c r="I259" s="22">
        <x:v>1970250</x:v>
      </x:c>
    </x:row>
    <x:row r="260">
      <x:c r="A260" s="10" t="s">
        <x:v>75</x:v>
      </x:c>
      <x:c r="B260" s="10">
        <x:v>8904</x:v>
      </x:c>
      <x:c r="C260" s="10">
        <x:v>13199</x:v>
      </x:c>
      <x:c r="D260" s="10" t="s">
        <x:v>0</x:v>
      </x:c>
      <x:c r="E260" s="10" t="s">
        <x:v>0</x:v>
      </x:c>
      <x:c r="F260" s="10">
        <x:v>88</x:v>
      </x:c>
      <x:c r="G260" s="10">
        <x:v>363</x:v>
      </x:c>
      <x:c r="H260" s="22">
        <x:f t="shared" si="4"/>
        <x:v>13303.719008264463</x:v>
      </x:c>
      <x:c r="I260" s="22">
        <x:v>4829250</x:v>
      </x:c>
    </x:row>
    <x:row r="261">
      <x:c r="A261" s="10" t="s">
        <x:v>75</x:v>
      </x:c>
      <x:c r="B261" s="10">
        <x:v>8906</x:v>
      </x:c>
      <x:c r="C261" s="10">
        <x:v>13200</x:v>
      </x:c>
      <x:c r="D261" s="10" t="s">
        <x:v>0</x:v>
      </x:c>
      <x:c r="E261" s="10" t="s">
        <x:v>0</x:v>
      </x:c>
      <x:c r="F261" s="10">
        <x:v>71</x:v>
      </x:c>
      <x:c r="G261" s="10">
        <x:v>407</x:v>
      </x:c>
      <x:c r="H261" s="22">
        <x:f t="shared" si="4"/>
        <x:v>13370.515970515971</x:v>
      </x:c>
      <x:c r="I261" s="22">
        <x:v>5441800</x:v>
      </x:c>
    </x:row>
    <x:row r="262">
      <x:c r="A262" s="10" t="s">
        <x:v>75</x:v>
      </x:c>
      <x:c r="B262" s="10">
        <x:v>8908</x:v>
      </x:c>
      <x:c r="C262" s="10">
        <x:v>13201</x:v>
      </x:c>
      <x:c r="D262" s="10" t="s">
        <x:v>0</x:v>
      </x:c>
      <x:c r="E262" s="10" t="s">
        <x:v>0</x:v>
      </x:c>
      <x:c r="F262" s="10">
        <x:v>58</x:v>
      </x:c>
      <x:c r="G262" s="10">
        <x:v>375</x:v>
      </x:c>
      <x:c r="H262" s="22">
        <x:f t="shared" si="4"/>
        <x:v>12958.933333333332</x:v>
      </x:c>
      <x:c r="I262" s="22">
        <x:v>4859600</x:v>
      </x:c>
    </x:row>
    <x:row r="263">
      <x:c r="A263" s="10" t="s">
        <x:v>75</x:v>
      </x:c>
      <x:c r="B263" s="10">
        <x:v>8916</x:v>
      </x:c>
      <x:c r="C263" s="10">
        <x:v>13202</x:v>
      </x:c>
      <x:c r="D263" s="10" t="s">
        <x:v>0</x:v>
      </x:c>
      <x:c r="E263" s="10" t="s">
        <x:v>0</x:v>
      </x:c>
      <x:c r="F263" s="10">
        <x:v>75</x:v>
      </x:c>
      <x:c r="G263" s="10">
        <x:v>382</x:v>
      </x:c>
      <x:c r="H263" s="22">
        <x:f t="shared" si="4"/>
        <x:v>13177.486910994765</x:v>
      </x:c>
      <x:c r="I263" s="22">
        <x:v>5033800</x:v>
      </x:c>
    </x:row>
    <x:row r="264">
      <x:c r="A264" s="10" t="s">
        <x:v>75</x:v>
      </x:c>
      <x:c r="B264" s="10">
        <x:v>8924</x:v>
      </x:c>
      <x:c r="C264" s="10">
        <x:v>13272</x:v>
      </x:c>
      <x:c r="D264" s="10" t="s">
        <x:v>1</x:v>
      </x:c>
      <x:c r="E264" s="10" t="s">
        <x:v>1</x:v>
      </x:c>
      <x:c r="F264" s="10">
        <x:v>44</x:v>
      </x:c>
      <x:c r="G264" s="10">
        <x:v>195</x:v>
      </x:c>
      <x:c r="H264" s="22">
        <x:f t="shared" si="4"/>
        <x:v>10000</x:v>
      </x:c>
      <x:c r="I264" s="22">
        <x:v>1950000</x:v>
      </x:c>
    </x:row>
    <x:row r="265">
      <x:c r="A265" s="10" t="s">
        <x:v>75</x:v>
      </x:c>
      <x:c r="B265" s="10">
        <x:v>8925</x:v>
      </x:c>
      <x:c r="C265" s="10">
        <x:v>13273</x:v>
      </x:c>
      <x:c r="D265" s="10" t="s">
        <x:v>9</x:v>
      </x:c>
      <x:c r="E265" s="10" t="s">
        <x:v>9</x:v>
      </x:c>
      <x:c r="F265" s="10">
        <x:v>37</x:v>
      </x:c>
      <x:c r="G265" s="10">
        <x:v>183</x:v>
      </x:c>
      <x:c r="H265" s="22">
        <x:f t="shared" si="4"/>
        <x:v>9517.7595628415293</x:v>
      </x:c>
      <x:c r="I265" s="22">
        <x:v>1741750</x:v>
      </x:c>
    </x:row>
    <x:row r="266">
      <x:c r="A266" s="10" t="s">
        <x:v>75</x:v>
      </x:c>
      <x:c r="B266" s="10">
        <x:v>8928</x:v>
      </x:c>
      <x:c r="C266" s="10">
        <x:v>13274</x:v>
      </x:c>
      <x:c r="D266" s="10" t="s">
        <x:v>0</x:v>
      </x:c>
      <x:c r="E266" s="10" t="s">
        <x:v>0</x:v>
      </x:c>
      <x:c r="F266" s="10">
        <x:v>68</x:v>
      </x:c>
      <x:c r="G266" s="10">
        <x:v>416</x:v>
      </x:c>
      <x:c r="H266" s="22">
        <x:f t="shared" si="4"/>
        <x:v>11314.903846153846</x:v>
      </x:c>
      <x:c r="I266" s="22">
        <x:v>4707000</x:v>
      </x:c>
    </x:row>
    <x:row r="267">
      <x:c r="A267" s="12" t="s">
        <x:v>75</x:v>
      </x:c>
      <x:c r="B267" s="12">
        <x:v>8970</x:v>
      </x:c>
      <x:c r="C267" s="12">
        <x:v>13247</x:v>
      </x:c>
      <x:c r="D267" s="10" t="s">
        <x:v>0</x:v>
      </x:c>
      <x:c r="E267" s="12" t="s">
        <x:v>0</x:v>
      </x:c>
      <x:c r="F267" s="12">
        <x:v>33</x:v>
      </x:c>
      <x:c r="G267" s="12">
        <x:v>114</x:v>
      </x:c>
      <x:c r="H267" s="22">
        <x:f t="shared" si="4"/>
        <x:v>11059.649122807017</x:v>
      </x:c>
      <x:c r="I267" s="22">
        <x:v>1260800</x:v>
      </x:c>
    </x:row>
    <x:row r="268">
      <x:c r="A268" s="10" t="s">
        <x:v>75</x:v>
      </x:c>
      <x:c r="B268" s="10">
        <x:v>8983</x:v>
      </x:c>
      <x:c r="C268" s="10">
        <x:v>13203</x:v>
      </x:c>
      <x:c r="D268" s="10" t="s">
        <x:v>0</x:v>
      </x:c>
      <x:c r="E268" s="10" t="s">
        <x:v>0</x:v>
      </x:c>
      <x:c r="F268" s="10">
        <x:v>39</x:v>
      </x:c>
      <x:c r="G268" s="10">
        <x:v>188</x:v>
      </x:c>
      <x:c r="H268" s="22">
        <x:f t="shared" si="4"/>
        <x:v>12985.106382978724</x:v>
      </x:c>
      <x:c r="I268" s="22">
        <x:v>2441200</x:v>
      </x:c>
    </x:row>
    <x:row r="269">
      <x:c r="A269" s="10" t="s">
        <x:v>75</x:v>
      </x:c>
      <x:c r="B269" s="10">
        <x:v>8987</x:v>
      </x:c>
      <x:c r="C269" s="10">
        <x:v>13204</x:v>
      </x:c>
      <x:c r="D269" s="10" t="s">
        <x:v>0</x:v>
      </x:c>
      <x:c r="E269" s="10" t="s">
        <x:v>0</x:v>
      </x:c>
      <x:c r="F269" s="10">
        <x:v>35</x:v>
      </x:c>
      <x:c r="G269" s="10">
        <x:v>181</x:v>
      </x:c>
      <x:c r="H269" s="22">
        <x:f t="shared" si="4"/>
        <x:v>13328.17679558011</x:v>
      </x:c>
      <x:c r="I269" s="22">
        <x:v>2412400</x:v>
      </x:c>
    </x:row>
    <x:row r="270">
      <x:c r="A270" s="10" t="s">
        <x:v>75</x:v>
      </x:c>
      <x:c r="B270" s="10">
        <x:v>8992</x:v>
      </x:c>
      <x:c r="C270" s="10">
        <x:v>13275</x:v>
      </x:c>
      <x:c r="D270" s="10" t="s">
        <x:v>2</x:v>
      </x:c>
      <x:c r="E270" s="10" t="s">
        <x:v>2</x:v>
      </x:c>
      <x:c r="F270" s="10">
        <x:v>38</x:v>
      </x:c>
      <x:c r="G270" s="10">
        <x:v>200</x:v>
      </x:c>
      <x:c r="H270" s="22">
        <x:f t="shared" si="4"/>
        <x:v>10867.5</x:v>
      </x:c>
      <x:c r="I270" s="22">
        <x:v>2173500</x:v>
      </x:c>
    </x:row>
    <x:row r="271">
      <x:c r="A271" s="10" t="s">
        <x:v>75</x:v>
      </x:c>
      <x:c r="B271" s="10">
        <x:v>8995</x:v>
      </x:c>
      <x:c r="C271" s="10">
        <x:v>13276</x:v>
      </x:c>
      <x:c r="D271" s="10" t="s">
        <x:v>9</x:v>
      </x:c>
      <x:c r="E271" s="10" t="s">
        <x:v>9</x:v>
      </x:c>
      <x:c r="F271" s="10">
        <x:v>33</x:v>
      </x:c>
      <x:c r="G271" s="10">
        <x:v>179</x:v>
      </x:c>
      <x:c r="H271" s="22">
        <x:f t="shared" si="4"/>
        <x:v>8646.648044692738</x:v>
      </x:c>
      <x:c r="I271" s="22">
        <x:v>1547750</x:v>
      </x:c>
    </x:row>
    <x:row r="272">
      <x:c r="A272" s="10" t="s">
        <x:v>75</x:v>
      </x:c>
      <x:c r="B272" s="10">
        <x:v>9017</x:v>
      </x:c>
      <x:c r="C272" s="10">
        <x:v>13205</x:v>
      </x:c>
      <x:c r="D272" s="10" t="s">
        <x:v>9</x:v>
      </x:c>
      <x:c r="E272" s="10" t="s">
        <x:v>9</x:v>
      </x:c>
      <x:c r="F272" s="10">
        <x:v>37</x:v>
      </x:c>
      <x:c r="G272" s="10">
        <x:v>169</x:v>
      </x:c>
      <x:c r="H272" s="22">
        <x:f t="shared" si="4"/>
        <x:v>9442.3076923076915</x:v>
      </x:c>
      <x:c r="I272" s="22">
        <x:v>1595750</x:v>
      </x:c>
    </x:row>
    <x:row r="273">
      <x:c r="A273" s="10" t="s">
        <x:v>75</x:v>
      </x:c>
      <x:c r="B273" s="10">
        <x:v>9025</x:v>
      </x:c>
      <x:c r="C273" s="10">
        <x:v>13277</x:v>
      </x:c>
      <x:c r="D273" s="10" t="s">
        <x:v>2</x:v>
      </x:c>
      <x:c r="E273" s="10" t="s">
        <x:v>2</x:v>
      </x:c>
      <x:c r="F273" s="10">
        <x:v>32</x:v>
      </x:c>
      <x:c r="G273" s="10">
        <x:v>188</x:v>
      </x:c>
      <x:c r="H273" s="22">
        <x:f t="shared" si="4"/>
        <x:v>10868.351063829787</x:v>
      </x:c>
      <x:c r="I273" s="22">
        <x:v>2043250</x:v>
      </x:c>
    </x:row>
    <x:row r="274">
      <x:c r="A274" s="10" t="s">
        <x:v>75</x:v>
      </x:c>
      <x:c r="B274" s="10">
        <x:v>9027</x:v>
      </x:c>
      <x:c r="C274" s="10">
        <x:v>13278</x:v>
      </x:c>
      <x:c r="D274" s="10" t="s">
        <x:v>2</x:v>
      </x:c>
      <x:c r="E274" s="10" t="s">
        <x:v>2</x:v>
      </x:c>
      <x:c r="F274" s="10">
        <x:v>36</x:v>
      </x:c>
      <x:c r="G274" s="10">
        <x:v>175</x:v>
      </x:c>
      <x:c r="H274" s="22">
        <x:f t="shared" si="4"/>
        <x:v>11552.857142857143</x:v>
      </x:c>
      <x:c r="I274" s="22">
        <x:v>2021750</x:v>
      </x:c>
    </x:row>
    <x:row r="275">
      <x:c r="A275" s="10" t="s">
        <x:v>75</x:v>
      </x:c>
      <x:c r="B275" s="10">
        <x:v>9035</x:v>
      </x:c>
      <x:c r="C275" s="10">
        <x:v>13279</x:v>
      </x:c>
      <x:c r="D275" s="10" t="s">
        <x:v>1</x:v>
      </x:c>
      <x:c r="E275" s="10" t="s">
        <x:v>1</x:v>
      </x:c>
      <x:c r="F275" s="10">
        <x:v>37</x:v>
      </x:c>
      <x:c r="G275" s="10">
        <x:v>187</x:v>
      </x:c>
      <x:c r="H275" s="22">
        <x:f t="shared" si="4"/>
        <x:v>10036.096256684492</x:v>
      </x:c>
      <x:c r="I275" s="22">
        <x:v>1876750</x:v>
      </x:c>
    </x:row>
    <x:row r="276">
      <x:c r="A276" s="10" t="s">
        <x:v>75</x:v>
      </x:c>
      <x:c r="B276" s="10">
        <x:v>9040</x:v>
      </x:c>
      <x:c r="C276" s="10">
        <x:v>13206</x:v>
      </x:c>
      <x:c r="D276" s="10" t="s">
        <x:v>1</x:v>
      </x:c>
      <x:c r="E276" s="10" t="s">
        <x:v>1</x:v>
      </x:c>
      <x:c r="F276" s="10">
        <x:v>45</x:v>
      </x:c>
      <x:c r="G276" s="10">
        <x:v>212</x:v>
      </x:c>
      <x:c r="H276" s="22">
        <x:f t="shared" si="4"/>
        <x:v>9791.2735849056608</x:v>
      </x:c>
      <x:c r="I276" s="22">
        <x:v>2075750</x:v>
      </x:c>
    </x:row>
    <x:row r="277">
      <x:c r="A277" s="10" t="s">
        <x:v>75</x:v>
      </x:c>
      <x:c r="B277" s="10">
        <x:v>9041</x:v>
      </x:c>
      <x:c r="C277" s="10">
        <x:v>13280</x:v>
      </x:c>
      <x:c r="D277" s="10" t="s">
        <x:v>0</x:v>
      </x:c>
      <x:c r="E277" s="10" t="s">
        <x:v>0</x:v>
      </x:c>
      <x:c r="F277" s="10">
        <x:v>36</x:v>
      </x:c>
      <x:c r="G277" s="10">
        <x:v>196</x:v>
      </x:c>
      <x:c r="H277" s="22">
        <x:f t="shared" si="4"/>
        <x:v>12007.142857142857</x:v>
      </x:c>
      <x:c r="I277" s="22">
        <x:v>2353400</x:v>
      </x:c>
    </x:row>
    <x:row r="278">
      <x:c r="A278" s="10" t="s">
        <x:v>75</x:v>
      </x:c>
      <x:c r="B278" s="10">
        <x:v>9042</x:v>
      </x:c>
      <x:c r="C278" s="10">
        <x:v>13207</x:v>
      </x:c>
      <x:c r="D278" s="10" t="s">
        <x:v>0</x:v>
      </x:c>
      <x:c r="E278" s="10" t="s">
        <x:v>0</x:v>
      </x:c>
      <x:c r="F278" s="10">
        <x:v>33</x:v>
      </x:c>
      <x:c r="G278" s="10">
        <x:v>207</x:v>
      </x:c>
      <x:c r="H278" s="22">
        <x:f t="shared" si="4"/>
        <x:v>12685.990338164251</x:v>
      </x:c>
      <x:c r="I278" s="22">
        <x:v>2626000</x:v>
      </x:c>
    </x:row>
    <x:row r="279">
      <x:c r="A279" s="10" t="s">
        <x:v>75</x:v>
      </x:c>
      <x:c r="B279" s="10">
        <x:v>9053</x:v>
      </x:c>
      <x:c r="C279" s="10">
        <x:v>13208</x:v>
      </x:c>
      <x:c r="D279" s="10" t="s">
        <x:v>0</x:v>
      </x:c>
      <x:c r="E279" s="10" t="s">
        <x:v>0</x:v>
      </x:c>
      <x:c r="F279" s="10">
        <x:v>17</x:v>
      </x:c>
      <x:c r="G279" s="10">
        <x:v>101</x:v>
      </x:c>
      <x:c r="H279" s="22">
        <x:f t="shared" si="4"/>
        <x:v>13142.574257425742</x:v>
      </x:c>
      <x:c r="I279" s="22">
        <x:v>1327400</x:v>
      </x:c>
    </x:row>
    <x:row r="280">
      <x:c r="A280" s="10" t="s">
        <x:v>75</x:v>
      </x:c>
      <x:c r="B280" s="10">
        <x:v>9072</x:v>
      </x:c>
      <x:c r="C280" s="10">
        <x:v>13209</x:v>
      </x:c>
      <x:c r="D280" s="10" t="s">
        <x:v>0</x:v>
      </x:c>
      <x:c r="E280" s="10" t="s">
        <x:v>0</x:v>
      </x:c>
      <x:c r="F280" s="10">
        <x:v>18</x:v>
      </x:c>
      <x:c r="G280" s="10">
        <x:v>113</x:v>
      </x:c>
      <x:c r="H280" s="22">
        <x:f t="shared" si="4"/>
        <x:v>11276.106194690265</x:v>
      </x:c>
      <x:c r="I280" s="22">
        <x:v>1274200</x:v>
      </x:c>
    </x:row>
    <x:row r="281">
      <x:c r="A281" s="10" t="s">
        <x:v>75</x:v>
      </x:c>
      <x:c r="B281" s="10">
        <x:v>9073</x:v>
      </x:c>
      <x:c r="C281" s="10">
        <x:v>13281</x:v>
      </x:c>
      <x:c r="D281" s="10" t="s">
        <x:v>9</x:v>
      </x:c>
      <x:c r="E281" s="10" t="s">
        <x:v>9</x:v>
      </x:c>
      <x:c r="F281" s="10">
        <x:v>15</x:v>
      </x:c>
      <x:c r="G281" s="10">
        <x:v>91</x:v>
      </x:c>
      <x:c r="H281" s="22">
        <x:f t="shared" si="4"/>
        <x:v>9250</x:v>
      </x:c>
      <x:c r="I281" s="22">
        <x:v>841750</x:v>
      </x:c>
    </x:row>
    <x:row r="282">
      <x:c r="A282" s="10" t="s">
        <x:v>75</x:v>
      </x:c>
      <x:c r="B282" s="10">
        <x:v>9090</x:v>
      </x:c>
      <x:c r="C282" s="10">
        <x:v>13210</x:v>
      </x:c>
      <x:c r="D282" s="10" t="s">
        <x:v>0</x:v>
      </x:c>
      <x:c r="E282" s="10" t="s">
        <x:v>0</x:v>
      </x:c>
      <x:c r="F282" s="10">
        <x:v>16</x:v>
      </x:c>
      <x:c r="G282" s="10">
        <x:v>100</x:v>
      </x:c>
      <x:c r="H282" s="22">
        <x:f t="shared" si="4"/>
        <x:v>13104</x:v>
      </x:c>
      <x:c r="I282" s="22">
        <x:v>1310400</x:v>
      </x:c>
    </x:row>
    <x:row r="283">
      <x:c r="A283" s="10" t="s">
        <x:v>75</x:v>
      </x:c>
      <x:c r="B283" s="10">
        <x:v>9096</x:v>
      </x:c>
      <x:c r="C283" s="10">
        <x:v>13211</x:v>
      </x:c>
      <x:c r="D283" s="10" t="s">
        <x:v>0</x:v>
      </x:c>
      <x:c r="E283" s="10" t="s">
        <x:v>0</x:v>
      </x:c>
      <x:c r="F283" s="10">
        <x:v>17</x:v>
      </x:c>
      <x:c r="G283" s="10">
        <x:v>107</x:v>
      </x:c>
      <x:c r="H283" s="22">
        <x:f t="shared" si="4"/>
        <x:v>11904.672897196262</x:v>
      </x:c>
      <x:c r="I283" s="22">
        <x:v>1273800</x:v>
      </x:c>
    </x:row>
    <x:row r="284">
      <x:c r="A284" s="10" t="s">
        <x:v>75</x:v>
      </x:c>
      <x:c r="B284" s="10">
        <x:v>9099</x:v>
      </x:c>
      <x:c r="C284" s="10">
        <x:v>13212</x:v>
      </x:c>
      <x:c r="D284" s="10" t="s">
        <x:v>0</x:v>
      </x:c>
      <x:c r="E284" s="10" t="s">
        <x:v>0</x:v>
      </x:c>
      <x:c r="F284" s="10">
        <x:v>17</x:v>
      </x:c>
      <x:c r="G284" s="10">
        <x:v>106</x:v>
      </x:c>
      <x:c r="H284" s="22">
        <x:f t="shared" si="4"/>
        <x:v>11805.66037735849</x:v>
      </x:c>
      <x:c r="I284" s="22">
        <x:v>1251400</x:v>
      </x:c>
    </x:row>
    <x:row r="285">
      <x:c r="A285" s="10" t="s">
        <x:v>75</x:v>
      </x:c>
      <x:c r="B285" s="10">
        <x:v>9114</x:v>
      </x:c>
      <x:c r="C285" s="10">
        <x:v>13213</x:v>
      </x:c>
      <x:c r="D285" s="10" t="s">
        <x:v>9</x:v>
      </x:c>
      <x:c r="E285" s="10" t="s">
        <x:v>9</x:v>
      </x:c>
      <x:c r="F285" s="10">
        <x:v>20</x:v>
      </x:c>
      <x:c r="G285" s="10">
        <x:v>95</x:v>
      </x:c>
      <x:c r="H285" s="22">
        <x:f t="shared" si="4"/>
        <x:v>9378.9473684210534</x:v>
      </x:c>
      <x:c r="I285" s="22">
        <x:v>891000</x:v>
      </x:c>
    </x:row>
    <x:row r="286">
      <x:c r="A286" s="10" t="s">
        <x:v>75</x:v>
      </x:c>
      <x:c r="B286" s="10">
        <x:v>9228</x:v>
      </x:c>
      <x:c r="C286" s="10">
        <x:v>13282</x:v>
      </x:c>
      <x:c r="D286" s="10" t="s">
        <x:v>9</x:v>
      </x:c>
      <x:c r="E286" s="10" t="s">
        <x:v>9</x:v>
      </x:c>
      <x:c r="F286" s="10">
        <x:v>21</x:v>
      </x:c>
      <x:c r="G286" s="10">
        <x:v>105</x:v>
      </x:c>
      <x:c r="H286" s="22">
        <x:f t="shared" si="4"/>
        <x:v>8478.5714285714294</x:v>
      </x:c>
      <x:c r="I286" s="22">
        <x:v>890250</x:v>
      </x:c>
    </x:row>
    <x:row r="287">
      <x:c r="A287" s="10" t="s">
        <x:v>75</x:v>
      </x:c>
      <x:c r="B287" s="10">
        <x:v>9235</x:v>
      </x:c>
      <x:c r="C287" s="10">
        <x:v>13283</x:v>
      </x:c>
      <x:c r="D287" s="10" t="s">
        <x:v>9</x:v>
      </x:c>
      <x:c r="E287" s="10" t="s">
        <x:v>9</x:v>
      </x:c>
      <x:c r="F287" s="10">
        <x:v>17</x:v>
      </x:c>
      <x:c r="G287" s="10">
        <x:v>92</x:v>
      </x:c>
      <x:c r="H287" s="22">
        <x:f t="shared" si="4"/>
        <x:v>8510.8695652173919</x:v>
      </x:c>
      <x:c r="I287" s="22">
        <x:v>783000</x:v>
      </x:c>
    </x:row>
    <x:row r="288">
      <x:c r="A288" s="10" t="s">
        <x:v>75</x:v>
      </x:c>
      <x:c r="B288" s="10">
        <x:v>9236</x:v>
      </x:c>
      <x:c r="C288" s="10">
        <x:v>13214</x:v>
      </x:c>
      <x:c r="D288" s="10" t="s">
        <x:v>0</x:v>
      </x:c>
      <x:c r="E288" s="10" t="s">
        <x:v>0</x:v>
      </x:c>
      <x:c r="F288" s="10">
        <x:v>16</x:v>
      </x:c>
      <x:c r="G288" s="10">
        <x:v>92</x:v>
      </x:c>
      <x:c r="H288" s="22">
        <x:f t="shared" si="4"/>
        <x:v>14063.04347826087</x:v>
      </x:c>
      <x:c r="I288" s="22">
        <x:v>1293800</x:v>
      </x:c>
    </x:row>
    <x:row r="289">
      <x:c r="A289" s="10" t="s">
        <x:v>75</x:v>
      </x:c>
      <x:c r="B289" s="10">
        <x:v>9239</x:v>
      </x:c>
      <x:c r="C289" s="10">
        <x:v>13215</x:v>
      </x:c>
      <x:c r="D289" s="10" t="s">
        <x:v>0</x:v>
      </x:c>
      <x:c r="E289" s="10" t="s">
        <x:v>0</x:v>
      </x:c>
      <x:c r="F289" s="10">
        <x:v>17</x:v>
      </x:c>
      <x:c r="G289" s="10">
        <x:v>103</x:v>
      </x:c>
      <x:c r="H289" s="22">
        <x:f t="shared" si="4"/>
        <x:v>12390.291262135923</x:v>
      </x:c>
      <x:c r="I289" s="22">
        <x:v>1276200</x:v>
      </x:c>
    </x:row>
    <x:row r="290">
      <x:c r="A290" s="10" t="s">
        <x:v>75</x:v>
      </x:c>
      <x:c r="B290" s="10">
        <x:v>9246</x:v>
      </x:c>
      <x:c r="C290" s="10">
        <x:v>13284</x:v>
      </x:c>
      <x:c r="D290" s="10" t="s">
        <x:v>2</x:v>
      </x:c>
      <x:c r="E290" s="10" t="s">
        <x:v>2</x:v>
      </x:c>
      <x:c r="F290" s="10">
        <x:v>33</x:v>
      </x:c>
      <x:c r="G290" s="10">
        <x:v>169</x:v>
      </x:c>
      <x:c r="H290" s="22">
        <x:f t="shared" si="4"/>
        <x:v>11137.573964497042</x:v>
      </x:c>
      <x:c r="I290" s="22">
        <x:v>1882250</x:v>
      </x:c>
    </x:row>
    <x:row r="291">
      <x:c r="A291" s="10" t="s">
        <x:v>75</x:v>
      </x:c>
      <x:c r="B291" s="10">
        <x:v>9268</x:v>
      </x:c>
      <x:c r="C291" s="10">
        <x:v>13226</x:v>
      </x:c>
      <x:c r="D291" s="10" t="s">
        <x:v>0</x:v>
      </x:c>
      <x:c r="E291" s="10" t="s">
        <x:v>76</x:v>
      </x:c>
      <x:c r="F291" s="10">
        <x:v>33</x:v>
      </x:c>
      <x:c r="G291" s="10">
        <x:v>195</x:v>
      </x:c>
      <x:c r="H291" s="22">
        <x:f t="shared" si="4"/>
        <x:v>12132.051282051281</x:v>
      </x:c>
      <x:c r="I291" s="22">
        <x:v>2365750</x:v>
      </x:c>
    </x:row>
    <x:row r="292">
      <x:c r="A292" s="10" t="s">
        <x:v>75</x:v>
      </x:c>
      <x:c r="B292" s="10">
        <x:v>9269</x:v>
      </x:c>
      <x:c r="C292" s="10">
        <x:v>13285</x:v>
      </x:c>
      <x:c r="D292" s="10" t="s">
        <x:v>2</x:v>
      </x:c>
      <x:c r="E292" s="10" t="s">
        <x:v>2</x:v>
      </x:c>
      <x:c r="F292" s="10">
        <x:v>40</x:v>
      </x:c>
      <x:c r="G292" s="10">
        <x:v>214</x:v>
      </x:c>
      <x:c r="H292" s="22">
        <x:f t="shared" si="4"/>
        <x:v>11750</x:v>
      </x:c>
      <x:c r="I292" s="22">
        <x:v>2514500</x:v>
      </x:c>
    </x:row>
    <x:row r="293">
      <x:c r="A293" s="10" t="s">
        <x:v>75</x:v>
      </x:c>
      <x:c r="B293" s="10">
        <x:v>9274</x:v>
      </x:c>
      <x:c r="C293" s="10">
        <x:v>13216</x:v>
      </x:c>
      <x:c r="D293" s="10" t="s">
        <x:v>0</x:v>
      </x:c>
      <x:c r="E293" s="10" t="s">
        <x:v>0</x:v>
      </x:c>
      <x:c r="F293" s="10">
        <x:v>18</x:v>
      </x:c>
      <x:c r="G293" s="10">
        <x:v>112</x:v>
      </x:c>
      <x:c r="H293" s="22">
        <x:f t="shared" si="4"/>
        <x:v>12450</x:v>
      </x:c>
      <x:c r="I293" s="22">
        <x:v>1394400</x:v>
      </x:c>
    </x:row>
    <x:row r="294">
      <x:c r="A294" s="10" t="s">
        <x:v>75</x:v>
      </x:c>
      <x:c r="B294" s="10">
        <x:v>9278</x:v>
      </x:c>
      <x:c r="C294" s="10">
        <x:v>13217</x:v>
      </x:c>
      <x:c r="D294" s="10" t="s">
        <x:v>0</x:v>
      </x:c>
      <x:c r="E294" s="10" t="s">
        <x:v>0</x:v>
      </x:c>
      <x:c r="F294" s="10">
        <x:v>16</x:v>
      </x:c>
      <x:c r="G294" s="10">
        <x:v>96</x:v>
      </x:c>
      <x:c r="H294" s="22">
        <x:f t="shared" si="4"/>
        <x:v>13091.666666666666</x:v>
      </x:c>
      <x:c r="I294" s="22">
        <x:v>1256800</x:v>
      </x:c>
    </x:row>
    <x:row r="295">
      <x:c r="A295" s="10" t="s">
        <x:v>75</x:v>
      </x:c>
      <x:c r="B295" s="10">
        <x:v>9283</x:v>
      </x:c>
      <x:c r="C295" s="10">
        <x:v>13114</x:v>
      </x:c>
      <x:c r="D295" s="10" t="s">
        <x:v>9</x:v>
      </x:c>
      <x:c r="E295" s="10" t="s">
        <x:v>9</x:v>
      </x:c>
      <x:c r="F295" s="10">
        <x:v>29</x:v>
      </x:c>
      <x:c r="G295" s="10">
        <x:v>179</x:v>
      </x:c>
      <x:c r="H295" s="22">
        <x:f t="shared" si="4"/>
        <x:v>9251.3966480446925</x:v>
      </x:c>
      <x:c r="I295" s="22">
        <x:v>1656000</x:v>
      </x:c>
    </x:row>
    <x:row r="296">
      <x:c r="A296" s="10" t="s">
        <x:v>75</x:v>
      </x:c>
      <x:c r="B296" s="10">
        <x:v>9285</x:v>
      </x:c>
      <x:c r="C296" s="10">
        <x:v>13115</x:v>
      </x:c>
      <x:c r="D296" s="10" t="s">
        <x:v>9</x:v>
      </x:c>
      <x:c r="E296" s="10" t="s">
        <x:v>9</x:v>
      </x:c>
      <x:c r="F296" s="10">
        <x:v>34</x:v>
      </x:c>
      <x:c r="G296" s="10">
        <x:v>180</x:v>
      </x:c>
      <x:c r="H296" s="22">
        <x:f t="shared" si="4"/>
        <x:v>9536.1111111111113</x:v>
      </x:c>
      <x:c r="I296" s="22">
        <x:v>1716500</x:v>
      </x:c>
    </x:row>
    <x:row r="297">
      <x:c r="A297" s="10" t="s">
        <x:v>75</x:v>
      </x:c>
      <x:c r="B297" s="10">
        <x:v>9286</x:v>
      </x:c>
      <x:c r="C297" s="10">
        <x:v>13248</x:v>
      </x:c>
      <x:c r="D297" s="10" t="s">
        <x:v>0</x:v>
      </x:c>
      <x:c r="E297" s="10" t="s">
        <x:v>0</x:v>
      </x:c>
      <x:c r="F297" s="10">
        <x:v>17</x:v>
      </x:c>
      <x:c r="G297" s="10">
        <x:v>101</x:v>
      </x:c>
      <x:c r="H297" s="22">
        <x:f t="shared" si="4"/>
        <x:v>12112.871287128713</x:v>
      </x:c>
      <x:c r="I297" s="22">
        <x:v>1223400</x:v>
      </x:c>
    </x:row>
    <x:row r="298">
      <x:c r="A298" s="10" t="s">
        <x:v>75</x:v>
      </x:c>
      <x:c r="B298" s="10">
        <x:v>9297</x:v>
      </x:c>
      <x:c r="C298" s="10">
        <x:v>13116</x:v>
      </x:c>
      <x:c r="D298" s="10" t="s">
        <x:v>2</x:v>
      </x:c>
      <x:c r="E298" s="10" t="s">
        <x:v>2</x:v>
      </x:c>
      <x:c r="F298" s="10">
        <x:v>15</x:v>
      </x:c>
      <x:c r="G298" s="10">
        <x:v>110</x:v>
      </x:c>
      <x:c r="H298" s="22">
        <x:f t="shared" si="4"/>
        <x:v>10150</x:v>
      </x:c>
      <x:c r="I298" s="22">
        <x:v>1116500</x:v>
      </x:c>
    </x:row>
    <x:row r="299">
      <x:c r="A299" s="10" t="s">
        <x:v>75</x:v>
      </x:c>
      <x:c r="B299" s="10">
        <x:v>9301</x:v>
      </x:c>
      <x:c r="C299" s="10">
        <x:v>13117</x:v>
      </x:c>
      <x:c r="D299" s="10" t="s">
        <x:v>0</x:v>
      </x:c>
      <x:c r="E299" s="10" t="s">
        <x:v>0</x:v>
      </x:c>
      <x:c r="F299" s="10">
        <x:v>17</x:v>
      </x:c>
      <x:c r="G299" s="10">
        <x:v>102</x:v>
      </x:c>
      <x:c r="H299" s="22">
        <x:f t="shared" si="4"/>
        <x:v>12715.686274509804</x:v>
      </x:c>
      <x:c r="I299" s="22">
        <x:v>1297000</x:v>
      </x:c>
    </x:row>
    <x:row r="300">
      <x:c r="A300" s="10" t="s">
        <x:v>75</x:v>
      </x:c>
      <x:c r="B300" s="10">
        <x:v>9302</x:v>
      </x:c>
      <x:c r="C300" s="10">
        <x:v>13249</x:v>
      </x:c>
      <x:c r="D300" s="10" t="s">
        <x:v>0</x:v>
      </x:c>
      <x:c r="E300" s="10" t="s">
        <x:v>0</x:v>
      </x:c>
      <x:c r="F300" s="10">
        <x:v>17</x:v>
      </x:c>
      <x:c r="G300" s="10">
        <x:v>99</x:v>
      </x:c>
      <x:c r="H300" s="22">
        <x:f t="shared" si="4"/>
        <x:v>13400</x:v>
      </x:c>
      <x:c r="I300" s="22">
        <x:v>1326600</x:v>
      </x:c>
    </x:row>
    <x:row r="301">
      <x:c r="A301" s="10" t="s">
        <x:v>75</x:v>
      </x:c>
      <x:c r="B301" s="10">
        <x:v>9303</x:v>
      </x:c>
      <x:c r="C301" s="10">
        <x:v>13250</x:v>
      </x:c>
      <x:c r="D301" s="10" t="s">
        <x:v>9</x:v>
      </x:c>
      <x:c r="E301" s="10" t="s">
        <x:v>9</x:v>
      </x:c>
      <x:c r="F301" s="10">
        <x:v>29</x:v>
      </x:c>
      <x:c r="G301" s="10">
        <x:v>186</x:v>
      </x:c>
      <x:c r="H301" s="22">
        <x:f t="shared" si="4"/>
        <x:v>9213.7096774193542</x:v>
      </x:c>
      <x:c r="I301" s="22">
        <x:v>1713750</x:v>
      </x:c>
    </x:row>
    <x:row r="302">
      <x:c r="A302" s="10" t="s">
        <x:v>75</x:v>
      </x:c>
      <x:c r="B302" s="10">
        <x:v>9309</x:v>
      </x:c>
      <x:c r="C302" s="10">
        <x:v>13251</x:v>
      </x:c>
      <x:c r="D302" s="10" t="s">
        <x:v>9</x:v>
      </x:c>
      <x:c r="E302" s="10" t="s">
        <x:v>9</x:v>
      </x:c>
      <x:c r="F302" s="10">
        <x:v>26</x:v>
      </x:c>
      <x:c r="G302" s="10">
        <x:v>183</x:v>
      </x:c>
      <x:c r="H302" s="22">
        <x:f t="shared" si="4"/>
        <x:v>9192.622950819672</x:v>
      </x:c>
      <x:c r="I302" s="22">
        <x:v>1682250</x:v>
      </x:c>
    </x:row>
    <x:row r="303">
      <x:c r="A303" s="10" t="s">
        <x:v>75</x:v>
      </x:c>
      <x:c r="B303" s="10">
        <x:v>9331</x:v>
      </x:c>
      <x:c r="C303" s="10">
        <x:v>13252</x:v>
      </x:c>
      <x:c r="D303" s="10" t="s">
        <x:v>9</x:v>
      </x:c>
      <x:c r="E303" s="10" t="s">
        <x:v>9</x:v>
      </x:c>
      <x:c r="F303" s="10">
        <x:v>0</x:v>
      </x:c>
      <x:c r="G303" s="10">
        <x:v>104</x:v>
      </x:c>
      <x:c r="H303" s="22">
        <x:f t="shared" si="4"/>
        <x:v>9250</x:v>
      </x:c>
      <x:c r="I303" s="22">
        <x:v>962000</x:v>
      </x:c>
    </x:row>
    <x:row r="304">
      <x:c r="A304" s="10" t="s">
        <x:v>75</x:v>
      </x:c>
      <x:c r="B304" s="10">
        <x:v>9335</x:v>
      </x:c>
      <x:c r="C304" s="10">
        <x:v>13253</x:v>
      </x:c>
      <x:c r="D304" s="10" t="s">
        <x:v>9</x:v>
      </x:c>
      <x:c r="E304" s="10" t="s">
        <x:v>9</x:v>
      </x:c>
      <x:c r="F304" s="10">
        <x:v>0</x:v>
      </x:c>
      <x:c r="G304" s="10">
        <x:v>97</x:v>
      </x:c>
      <x:c r="H304" s="22">
        <x:f t="shared" si="4"/>
        <x:v>8693.2989690721643</x:v>
      </x:c>
      <x:c r="I304" s="22">
        <x:v>843250</x:v>
      </x:c>
    </x:row>
    <x:row r="305">
      <x:c r="A305" s="10" t="s">
        <x:v>75</x:v>
      </x:c>
      <x:c r="B305" s="10">
        <x:v>9341</x:v>
      </x:c>
      <x:c r="C305" s="10">
        <x:v>13118</x:v>
      </x:c>
      <x:c r="D305" s="10" t="s">
        <x:v>0</x:v>
      </x:c>
      <x:c r="E305" s="10" t="s">
        <x:v>0</x:v>
      </x:c>
      <x:c r="F305" s="10">
        <x:v>16</x:v>
      </x:c>
      <x:c r="G305" s="10">
        <x:v>95</x:v>
      </x:c>
      <x:c r="H305" s="22">
        <x:f t="shared" si="4"/>
        <x:v>13947.368421052632</x:v>
      </x:c>
      <x:c r="I305" s="22">
        <x:v>1325000</x:v>
      </x:c>
    </x:row>
    <x:row r="306">
      <x:c r="A306" s="10" t="s">
        <x:v>75</x:v>
      </x:c>
      <x:c r="B306" s="10">
        <x:v>9351</x:v>
      </x:c>
      <x:c r="C306" s="10">
        <x:v>13119</x:v>
      </x:c>
      <x:c r="D306" s="10" t="s">
        <x:v>0</x:v>
      </x:c>
      <x:c r="E306" s="10" t="s">
        <x:v>0</x:v>
      </x:c>
      <x:c r="F306" s="10">
        <x:v>16</x:v>
      </x:c>
      <x:c r="G306" s="10">
        <x:v>98</x:v>
      </x:c>
      <x:c r="H306" s="22">
        <x:f t="shared" si="4"/>
        <x:v>13387.755102040815</x:v>
      </x:c>
      <x:c r="I306" s="22">
        <x:v>1312000</x:v>
      </x:c>
    </x:row>
    <x:row r="307">
      <x:c r="A307" s="10" t="s">
        <x:v>75</x:v>
      </x:c>
      <x:c r="B307" s="10">
        <x:v>9363</x:v>
      </x:c>
      <x:c r="C307" s="10">
        <x:v>13120</x:v>
      </x:c>
      <x:c r="D307" s="10" t="s">
        <x:v>0</x:v>
      </x:c>
      <x:c r="E307" s="10" t="s">
        <x:v>0</x:v>
      </x:c>
      <x:c r="F307" s="10">
        <x:v>33</x:v>
      </x:c>
      <x:c r="G307" s="10">
        <x:v>180</x:v>
      </x:c>
      <x:c r="H307" s="22">
        <x:f t="shared" si="4"/>
        <x:v>12388.888888888889</x:v>
      </x:c>
      <x:c r="I307" s="22">
        <x:v>2230000</x:v>
      </x:c>
    </x:row>
    <x:row r="308">
      <x:c r="A308" s="10" t="s">
        <x:v>75</x:v>
      </x:c>
      <x:c r="B308" s="10">
        <x:v>9374</x:v>
      </x:c>
      <x:c r="C308" s="10">
        <x:v>13254</x:v>
      </x:c>
      <x:c r="D308" s="10" t="s">
        <x:v>0</x:v>
      </x:c>
      <x:c r="E308" s="10" t="s">
        <x:v>0</x:v>
      </x:c>
      <x:c r="F308" s="10">
        <x:v>18</x:v>
      </x:c>
      <x:c r="G308" s="10">
        <x:v>107</x:v>
      </x:c>
      <x:c r="H308" s="22">
        <x:f t="shared" si="4"/>
        <x:v>12063.551401869159</x:v>
      </x:c>
      <x:c r="I308" s="22">
        <x:v>1290800</x:v>
      </x:c>
    </x:row>
    <x:row r="309">
      <x:c r="A309" s="10" t="s">
        <x:v>75</x:v>
      </x:c>
      <x:c r="B309" s="10">
        <x:v>9388</x:v>
      </x:c>
      <x:c r="C309" s="10">
        <x:v>13121</x:v>
      </x:c>
      <x:c r="D309" s="10" t="s">
        <x:v>9</x:v>
      </x:c>
      <x:c r="E309" s="10" t="s">
        <x:v>9</x:v>
      </x:c>
      <x:c r="F309" s="10">
        <x:v>34</x:v>
      </x:c>
      <x:c r="G309" s="10">
        <x:v>187</x:v>
      </x:c>
      <x:c r="H309" s="22">
        <x:f t="shared" si="4"/>
        <x:v>9110.9625668449189</x:v>
      </x:c>
      <x:c r="I309" s="22">
        <x:v>1703750</x:v>
      </x:c>
    </x:row>
    <x:row r="310">
      <x:c r="A310" s="10" t="s">
        <x:v>75</x:v>
      </x:c>
      <x:c r="B310" s="10">
        <x:v>9390</x:v>
      </x:c>
      <x:c r="C310" s="10">
        <x:v>13122</x:v>
      </x:c>
      <x:c r="D310" s="10" t="s">
        <x:v>0</x:v>
      </x:c>
      <x:c r="E310" s="10" t="s">
        <x:v>0</x:v>
      </x:c>
      <x:c r="F310" s="10">
        <x:v>18</x:v>
      </x:c>
      <x:c r="G310" s="10">
        <x:v>98</x:v>
      </x:c>
      <x:c r="H310" s="22">
        <x:f t="shared" si="4"/>
        <x:v>13134.693877551021</x:v>
      </x:c>
      <x:c r="I310" s="22">
        <x:v>1287200</x:v>
      </x:c>
    </x:row>
    <x:row r="311">
      <x:c r="A311" s="10" t="s">
        <x:v>75</x:v>
      </x:c>
      <x:c r="B311" s="10">
        <x:v>9397</x:v>
      </x:c>
      <x:c r="C311" s="10">
        <x:v>13123</x:v>
      </x:c>
      <x:c r="D311" s="10" t="s">
        <x:v>0</x:v>
      </x:c>
      <x:c r="E311" s="10" t="s">
        <x:v>0</x:v>
      </x:c>
      <x:c r="F311" s="10">
        <x:v>18</x:v>
      </x:c>
      <x:c r="G311" s="10">
        <x:v>112</x:v>
      </x:c>
      <x:c r="H311" s="22">
        <x:f t="shared" si="4"/>
        <x:v>11026.785714285714</x:v>
      </x:c>
      <x:c r="I311" s="22">
        <x:v>1235000</x:v>
      </x:c>
    </x:row>
    <x:row r="312">
      <x:c r="A312" s="10" t="s">
        <x:v>75</x:v>
      </x:c>
      <x:c r="B312" s="10">
        <x:v>9425</x:v>
      </x:c>
      <x:c r="C312" s="10">
        <x:v>13124</x:v>
      </x:c>
      <x:c r="D312" s="10" t="s">
        <x:v>2</x:v>
      </x:c>
      <x:c r="E312" s="10" t="s">
        <x:v>2</x:v>
      </x:c>
      <x:c r="F312" s="10">
        <x:v>16</x:v>
      </x:c>
      <x:c r="G312" s="10">
        <x:v>86</x:v>
      </x:c>
      <x:c r="H312" s="22">
        <x:f t="shared" si="4"/>
        <x:v>11883.720930232557</x:v>
      </x:c>
      <x:c r="I312" s="22">
        <x:v>1022000</x:v>
      </x:c>
    </x:row>
    <x:row r="313">
      <x:c r="A313" s="10" t="s">
        <x:v>75</x:v>
      </x:c>
      <x:c r="B313" s="10">
        <x:v>9466</x:v>
      </x:c>
      <x:c r="C313" s="10">
        <x:v>13125</x:v>
      </x:c>
      <x:c r="D313" s="10" t="s">
        <x:v>9</x:v>
      </x:c>
      <x:c r="E313" s="10" t="s">
        <x:v>9</x:v>
      </x:c>
      <x:c r="F313" s="10">
        <x:v>0</x:v>
      </x:c>
      <x:c r="G313" s="10">
        <x:v>87</x:v>
      </x:c>
      <x:c r="H313" s="22">
        <x:f t="shared" si="4"/>
        <x:v>9413.7931034482754</x:v>
      </x:c>
      <x:c r="I313" s="22">
        <x:v>819000</x:v>
      </x:c>
    </x:row>
    <x:row r="314">
      <x:c r="A314" s="10" t="s">
        <x:v>75</x:v>
      </x:c>
      <x:c r="B314" s="10">
        <x:v>9481</x:v>
      </x:c>
      <x:c r="C314" s="10">
        <x:v>13255</x:v>
      </x:c>
      <x:c r="D314" s="10" t="s">
        <x:v>9</x:v>
      </x:c>
      <x:c r="E314" s="10" t="s">
        <x:v>9</x:v>
      </x:c>
      <x:c r="F314" s="10">
        <x:v>20</x:v>
      </x:c>
      <x:c r="G314" s="10">
        <x:v>95</x:v>
      </x:c>
      <x:c r="H314" s="22">
        <x:f t="shared" si="4"/>
        <x:v>9723.6842105263149</x:v>
      </x:c>
      <x:c r="I314" s="22">
        <x:v>923750</x:v>
      </x:c>
    </x:row>
    <x:row r="315">
      <x:c r="A315" s="10" t="s">
        <x:v>75</x:v>
      </x:c>
      <x:c r="B315" s="10">
        <x:v>9508</x:v>
      </x:c>
      <x:c r="C315" s="10">
        <x:v>13286</x:v>
      </x:c>
      <x:c r="D315" s="10" t="s">
        <x:v>9</x:v>
      </x:c>
      <x:c r="E315" s="10" t="s">
        <x:v>9</x:v>
      </x:c>
      <x:c r="F315" s="10">
        <x:v>0</x:v>
      </x:c>
      <x:c r="G315" s="10">
        <x:v>82</x:v>
      </x:c>
      <x:c r="H315" s="22">
        <x:f t="shared" si="4"/>
        <x:v>10786.585365853658</x:v>
      </x:c>
      <x:c r="I315" s="22">
        <x:v>884500</x:v>
      </x:c>
    </x:row>
    <x:row r="316">
      <x:c r="A316" s="10" t="s">
        <x:v>75</x:v>
      </x:c>
      <x:c r="B316" s="10">
        <x:v>9511</x:v>
      </x:c>
      <x:c r="C316" s="10">
        <x:v>13287</x:v>
      </x:c>
      <x:c r="D316" s="10" t="s">
        <x:v>9</x:v>
      </x:c>
      <x:c r="E316" s="10" t="s">
        <x:v>9</x:v>
      </x:c>
      <x:c r="F316" s="10">
        <x:v>0</x:v>
      </x:c>
      <x:c r="G316" s="10">
        <x:v>80</x:v>
      </x:c>
      <x:c r="H316" s="22">
        <x:f t="shared" si="4"/>
        <x:v>9812.5</x:v>
      </x:c>
      <x:c r="I316" s="22">
        <x:v>785000</x:v>
      </x:c>
    </x:row>
    <x:row r="317">
      <x:c r="A317" s="10" t="s">
        <x:v>75</x:v>
      </x:c>
      <x:c r="B317" s="10">
        <x:v>9513</x:v>
      </x:c>
      <x:c r="C317" s="10">
        <x:v>13288</x:v>
      </x:c>
      <x:c r="D317" s="10" t="s">
        <x:v>9</x:v>
      </x:c>
      <x:c r="E317" s="10" t="s">
        <x:v>9</x:v>
      </x:c>
      <x:c r="F317" s="10">
        <x:v>19</x:v>
      </x:c>
      <x:c r="G317" s="10">
        <x:v>85</x:v>
      </x:c>
      <x:c r="H317" s="22">
        <x:f t="shared" si="4"/>
        <x:v>8788.2352941176468</x:v>
      </x:c>
      <x:c r="I317" s="22">
        <x:v>747000</x:v>
      </x:c>
    </x:row>
    <x:row r="318">
      <x:c r="A318" s="10" t="s">
        <x:v>75</x:v>
      </x:c>
      <x:c r="B318" s="10">
        <x:v>9529</x:v>
      </x:c>
      <x:c r="C318" s="10">
        <x:v>13289</x:v>
      </x:c>
      <x:c r="D318" s="10" t="s">
        <x:v>9</x:v>
      </x:c>
      <x:c r="E318" s="10" t="s">
        <x:v>9</x:v>
      </x:c>
      <x:c r="F318" s="10">
        <x:v>0</x:v>
      </x:c>
      <x:c r="G318" s="10">
        <x:v>128</x:v>
      </x:c>
      <x:c r="H318" s="22">
        <x:f t="shared" si="4"/>
        <x:v>6529.296875</x:v>
      </x:c>
      <x:c r="I318" s="22">
        <x:v>835750</x:v>
      </x:c>
    </x:row>
    <x:row r="319">
      <x:c r="A319" s="10" t="s">
        <x:v>75</x:v>
      </x:c>
      <x:c r="B319" s="10">
        <x:v>9530</x:v>
      </x:c>
      <x:c r="C319" s="10">
        <x:v>13042</x:v>
      </x:c>
      <x:c r="D319" s="10" t="s">
        <x:v>0</x:v>
      </x:c>
      <x:c r="E319" s="10" t="s">
        <x:v>0</x:v>
      </x:c>
      <x:c r="F319" s="10">
        <x:v>17</x:v>
      </x:c>
      <x:c r="G319" s="10">
        <x:v>89</x:v>
      </x:c>
      <x:c r="H319" s="22">
        <x:f t="shared" si="4"/>
        <x:v>13988.76404494382</x:v>
      </x:c>
      <x:c r="I319" s="22">
        <x:v>1245000</x:v>
      </x:c>
    </x:row>
    <x:row r="320">
      <x:c r="A320" s="10" t="s">
        <x:v>75</x:v>
      </x:c>
      <x:c r="B320" s="10">
        <x:v>9531</x:v>
      </x:c>
      <x:c r="C320" s="10">
        <x:v>13290</x:v>
      </x:c>
      <x:c r="D320" s="10" t="s">
        <x:v>9</x:v>
      </x:c>
      <x:c r="E320" s="10" t="s">
        <x:v>9</x:v>
      </x:c>
      <x:c r="F320" s="10">
        <x:v>18</x:v>
      </x:c>
      <x:c r="G320" s="10">
        <x:v>91</x:v>
      </x:c>
      <x:c r="H320" s="22">
        <x:f t="shared" si="4"/>
        <x:v>9250</x:v>
      </x:c>
      <x:c r="I320" s="22">
        <x:v>841750</x:v>
      </x:c>
    </x:row>
    <x:row r="321">
      <x:c r="A321" s="10" t="s">
        <x:v>75</x:v>
      </x:c>
      <x:c r="B321" s="10">
        <x:v>9533</x:v>
      </x:c>
      <x:c r="C321" s="10">
        <x:v>13218</x:v>
      </x:c>
      <x:c r="D321" s="10" t="s">
        <x:v>0</x:v>
      </x:c>
      <x:c r="E321" s="10" t="s">
        <x:v>0</x:v>
      </x:c>
      <x:c r="F321" s="10">
        <x:v>16</x:v>
      </x:c>
      <x:c r="G321" s="10">
        <x:v>94</x:v>
      </x:c>
      <x:c r="H321" s="22">
        <x:f t="shared" si="4"/>
        <x:v>13814.893617021276</x:v>
      </x:c>
      <x:c r="I321" s="22">
        <x:v>1298600</x:v>
      </x:c>
    </x:row>
    <x:row r="322">
      <x:c r="A322" s="10" t="s">
        <x:v>75</x:v>
      </x:c>
      <x:c r="B322" s="10">
        <x:v>9542</x:v>
      </x:c>
      <x:c r="C322" s="10">
        <x:v>13291</x:v>
      </x:c>
      <x:c r="D322" s="10" t="s">
        <x:v>9</x:v>
      </x:c>
      <x:c r="E322" s="10" t="s">
        <x:v>9</x:v>
      </x:c>
      <x:c r="F322" s="10">
        <x:v>0</x:v>
      </x:c>
      <x:c r="G322" s="10">
        <x:v>93</x:v>
      </x:c>
      <x:c r="H322" s="22">
        <x:f t="shared" si="4"/>
        <x:v>9580.645161290322</x:v>
      </x:c>
      <x:c r="I322" s="22">
        <x:v>891000</x:v>
      </x:c>
    </x:row>
    <x:row r="323">
      <x:c r="A323" s="10" t="s">
        <x:v>75</x:v>
      </x:c>
      <x:c r="B323" s="10">
        <x:v>9545</x:v>
      </x:c>
      <x:c r="C323" s="10">
        <x:v>13292</x:v>
      </x:c>
      <x:c r="D323" s="10" t="s">
        <x:v>9</x:v>
      </x:c>
      <x:c r="E323" s="10" t="s">
        <x:v>9</x:v>
      </x:c>
      <x:c r="F323" s="10">
        <x:v>0</x:v>
      </x:c>
      <x:c r="G323" s="10">
        <x:v>136</x:v>
      </x:c>
      <x:c r="H323" s="22" t="n">
        <x:f t="shared" ref="H323:H349" si="5">I323/G323</x:f>
        <x:v>7147.058823529412</x:v>
      </x:c>
      <x:c r="I323" s="22">
        <x:v>972000</x:v>
      </x:c>
    </x:row>
    <x:row r="324">
      <x:c r="A324" s="10" t="s">
        <x:v>75</x:v>
      </x:c>
      <x:c r="B324" s="10">
        <x:v>9563</x:v>
      </x:c>
      <x:c r="C324" s="10">
        <x:v>13293</x:v>
      </x:c>
      <x:c r="D324" s="10" t="s">
        <x:v>9</x:v>
      </x:c>
      <x:c r="E324" s="10" t="s">
        <x:v>9</x:v>
      </x:c>
      <x:c r="F324" s="10">
        <x:v>29</x:v>
      </x:c>
      <x:c r="G324" s="10">
        <x:v>171</x:v>
      </x:c>
      <x:c r="H324" s="22">
        <x:f t="shared" si="5"/>
        <x:v>9437.1345029239765</x:v>
      </x:c>
      <x:c r="I324" s="22">
        <x:v>1613750</x:v>
      </x:c>
    </x:row>
    <x:row r="325">
      <x:c r="A325" s="10" t="s">
        <x:v>75</x:v>
      </x:c>
      <x:c r="B325" s="10">
        <x:v>9603</x:v>
      </x:c>
      <x:c r="C325" s="10">
        <x:v>13294</x:v>
      </x:c>
      <x:c r="D325" s="10" t="s">
        <x:v>0</x:v>
      </x:c>
      <x:c r="E325" s="10" t="s">
        <x:v>0</x:v>
      </x:c>
      <x:c r="F325" s="10">
        <x:v>81</x:v>
      </x:c>
      <x:c r="G325" s="10">
        <x:v>371</x:v>
      </x:c>
      <x:c r="H325" s="22">
        <x:f t="shared" si="5"/>
        <x:v>13289.083557951482</x:v>
      </x:c>
      <x:c r="I325" s="22">
        <x:v>4930250</x:v>
      </x:c>
    </x:row>
    <x:row r="326">
      <x:c r="A326" s="10" t="s">
        <x:v>75</x:v>
      </x:c>
      <x:c r="B326" s="10">
        <x:v>10100</x:v>
      </x:c>
      <x:c r="C326" s="10">
        <x:v>13167</x:v>
      </x:c>
      <x:c r="D326" s="10" t="s">
        <x:v>9</x:v>
      </x:c>
      <x:c r="E326" s="10" t="s">
        <x:v>9</x:v>
      </x:c>
      <x:c r="F326" s="10">
        <x:v>58</x:v>
      </x:c>
      <x:c r="G326" s="10">
        <x:v>204</x:v>
      </x:c>
      <x:c r="H326" s="22">
        <x:f t="shared" si="5"/>
        <x:v>9020.8333333333339</x:v>
      </x:c>
      <x:c r="I326" s="22">
        <x:v>1840250</x:v>
      </x:c>
    </x:row>
    <x:row r="327">
      <x:c r="A327" s="10" t="s">
        <x:v>75</x:v>
      </x:c>
      <x:c r="B327" s="10">
        <x:v>10104</x:v>
      </x:c>
      <x:c r="C327" s="10">
        <x:v>13256</x:v>
      </x:c>
      <x:c r="D327" s="10" t="s">
        <x:v>2</x:v>
      </x:c>
      <x:c r="E327" s="10" t="s">
        <x:v>2</x:v>
      </x:c>
      <x:c r="F327" s="10">
        <x:v>14</x:v>
      </x:c>
      <x:c r="G327" s="10">
        <x:v>80</x:v>
      </x:c>
      <x:c r="H327" s="22">
        <x:f t="shared" si="5"/>
        <x:v>12612.5</x:v>
      </x:c>
      <x:c r="I327" s="22">
        <x:v>1009000</x:v>
      </x:c>
    </x:row>
    <x:row r="328">
      <x:c r="A328" s="10" t="s">
        <x:v>75</x:v>
      </x:c>
      <x:c r="B328" s="10">
        <x:v>10133</x:v>
      </x:c>
      <x:c r="C328" s="10">
        <x:v>13168</x:v>
      </x:c>
      <x:c r="D328" s="10" t="s">
        <x:v>0</x:v>
      </x:c>
      <x:c r="E328" s="10" t="s">
        <x:v>0</x:v>
      </x:c>
      <x:c r="F328" s="10">
        <x:v>27</x:v>
      </x:c>
      <x:c r="G328" s="10">
        <x:v>178</x:v>
      </x:c>
      <x:c r="H328" s="22">
        <x:f t="shared" si="5"/>
        <x:v>13980.337078651686</x:v>
      </x:c>
      <x:c r="I328" s="22">
        <x:v>2488500</x:v>
      </x:c>
    </x:row>
    <x:row r="329">
      <x:c r="A329" s="10" t="s">
        <x:v>75</x:v>
      </x:c>
      <x:c r="B329" s="10">
        <x:v>10271</x:v>
      </x:c>
      <x:c r="C329" s="10">
        <x:v>13126</x:v>
      </x:c>
      <x:c r="D329" s="10" t="s">
        <x:v>2</x:v>
      </x:c>
      <x:c r="E329" s="10" t="s">
        <x:v>2</x:v>
      </x:c>
      <x:c r="F329" s="10">
        <x:v>86</x:v>
      </x:c>
      <x:c r="G329" s="10">
        <x:v>444</x:v>
      </x:c>
      <x:c r="H329" s="22">
        <x:f t="shared" si="5"/>
        <x:v>6119.8091706261939</x:v>
      </x:c>
      <x:c r="I329" s="22">
        <x:v>2717195.2717580302</x:v>
      </x:c>
    </x:row>
    <x:row r="330">
      <x:c r="A330" s="10" t="s">
        <x:v>75</x:v>
      </x:c>
      <x:c r="B330" s="10">
        <x:v>10272</x:v>
      </x:c>
      <x:c r="C330" s="10">
        <x:v>13034</x:v>
      </x:c>
      <x:c r="D330" s="10" t="s">
        <x:v>2</x:v>
      </x:c>
      <x:c r="E330" s="10" t="s">
        <x:v>2</x:v>
      </x:c>
      <x:c r="F330" s="10">
        <x:v>83</x:v>
      </x:c>
      <x:c r="G330" s="10">
        <x:v>433</x:v>
      </x:c>
      <x:c r="H330" s="22">
        <x:f t="shared" si="5"/>
        <x:v>6119.8091706261903</x:v>
      </x:c>
      <x:c r="I330" s="22">
        <x:v>2649877.3708811402</x:v>
      </x:c>
    </x:row>
    <x:row r="331">
      <x:c r="A331" s="10" t="s">
        <x:v>75</x:v>
      </x:c>
      <x:c r="B331" s="10">
        <x:v>10273</x:v>
      </x:c>
      <x:c r="C331" s="10">
        <x:v>13035</x:v>
      </x:c>
      <x:c r="D331" s="10" t="s">
        <x:v>2</x:v>
      </x:c>
      <x:c r="E331" s="10" t="s">
        <x:v>2</x:v>
      </x:c>
      <x:c r="F331" s="10">
        <x:v>85</x:v>
      </x:c>
      <x:c r="G331" s="10">
        <x:v>438</x:v>
      </x:c>
      <x:c r="H331" s="22">
        <x:f t="shared" si="5"/>
        <x:v>6119.8091706261866</x:v>
      </x:c>
      <x:c r="I331" s="22">
        <x:v>2680476.4167342698</x:v>
      </x:c>
    </x:row>
    <x:row r="332">
      <x:c r="A332" s="10" t="s">
        <x:v>75</x:v>
      </x:c>
      <x:c r="B332" s="10">
        <x:v>10314</x:v>
      </x:c>
      <x:c r="C332" s="10">
        <x:v>13127</x:v>
      </x:c>
      <x:c r="D332" s="10" t="s">
        <x:v>9</x:v>
      </x:c>
      <x:c r="E332" s="10" t="s">
        <x:v>9</x:v>
      </x:c>
      <x:c r="F332" s="10">
        <x:v>0</x:v>
      </x:c>
      <x:c r="G332" s="10">
        <x:v>399</x:v>
      </x:c>
      <x:c r="H332" s="22">
        <x:f t="shared" si="5"/>
        <x:v>6119.8091706261903</x:v>
      </x:c>
      <x:c r="I332" s="22">
        <x:v>2441803.8590798499</x:v>
      </x:c>
    </x:row>
    <x:row r="333">
      <x:c r="A333" s="10" t="s">
        <x:v>75</x:v>
      </x:c>
      <x:c r="B333" s="10">
        <x:v>10315</x:v>
      </x:c>
      <x:c r="C333" s="10">
        <x:v>13033</x:v>
      </x:c>
      <x:c r="D333" s="10" t="s">
        <x:v>9</x:v>
      </x:c>
      <x:c r="E333" s="10" t="s">
        <x:v>9</x:v>
      </x:c>
      <x:c r="F333" s="10">
        <x:v>0</x:v>
      </x:c>
      <x:c r="G333" s="10">
        <x:v>2</x:v>
      </x:c>
      <x:c r="H333" s="22">
        <x:f t="shared" si="5"/>
        <x:v>6119.8091706262003</x:v>
      </x:c>
      <x:c r="I333" s="22">
        <x:v>12239.618341252401</x:v>
      </x:c>
    </x:row>
    <x:row r="334">
      <x:c r="A334" s="10" t="s">
        <x:v>75</x:v>
      </x:c>
      <x:c r="B334" s="10">
        <x:v>10355</x:v>
      </x:c>
      <x:c r="C334" s="10">
        <x:v>13049</x:v>
      </x:c>
      <x:c r="D334" s="10" t="s">
        <x:v>6</x:v>
      </x:c>
      <x:c r="E334" s="10" t="s">
        <x:v>54</x:v>
      </x:c>
      <x:c r="F334" s="10">
        <x:v>91</x:v>
      </x:c>
      <x:c r="G334" s="10">
        <x:v>400</x:v>
      </x:c>
      <x:c r="H334" s="22">
        <x:f t="shared" si="5"/>
        <x:v>11086.553028037799</x:v>
      </x:c>
      <x:c r="I334" s="22">
        <x:v>4434621.2112151198</x:v>
      </x:c>
    </x:row>
    <x:row r="335">
      <x:c r="A335" s="10" t="s">
        <x:v>75</x:v>
      </x:c>
      <x:c r="B335" s="10">
        <x:v>10356</x:v>
      </x:c>
      <x:c r="C335" s="10">
        <x:v>13239</x:v>
      </x:c>
      <x:c r="D335" s="10" t="s">
        <x:v>6</x:v>
      </x:c>
      <x:c r="E335" s="10" t="s">
        <x:v>54</x:v>
      </x:c>
      <x:c r="F335" s="10">
        <x:v>94</x:v>
      </x:c>
      <x:c r="G335" s="10">
        <x:v>408</x:v>
      </x:c>
      <x:c r="H335" s="22">
        <x:f t="shared" si="5"/>
        <x:v>10869.169635331176</x:v>
      </x:c>
      <x:c r="I335" s="22">
        <x:v>4434621.2112151198</x:v>
      </x:c>
    </x:row>
    <x:row r="336">
      <x:c r="A336" s="10" t="s">
        <x:v>75</x:v>
      </x:c>
      <x:c r="B336" s="10">
        <x:v>10357</x:v>
      </x:c>
      <x:c r="C336" s="10">
        <x:v>13038</x:v>
      </x:c>
      <x:c r="D336" s="10" t="s">
        <x:v>6</x:v>
      </x:c>
      <x:c r="E336" s="10" t="s">
        <x:v>54</x:v>
      </x:c>
      <x:c r="F336" s="10">
        <x:v>94</x:v>
      </x:c>
      <x:c r="G336" s="10">
        <x:v>431</x:v>
      </x:c>
      <x:c r="H336" s="22">
        <x:f t="shared" si="5"/>
        <x:v>10289.144341566403</x:v>
      </x:c>
      <x:c r="I336" s="22">
        <x:v>4434621.2112151198</x:v>
      </x:c>
    </x:row>
    <x:row r="337">
      <x:c r="A337" s="10" t="s">
        <x:v>75</x:v>
      </x:c>
      <x:c r="B337" s="10">
        <x:v>10358</x:v>
      </x:c>
      <x:c r="C337" s="10">
        <x:v>13045</x:v>
      </x:c>
      <x:c r="D337" s="10" t="s">
        <x:v>6</x:v>
      </x:c>
      <x:c r="E337" s="10" t="s">
        <x:v>54</x:v>
      </x:c>
      <x:c r="F337" s="10">
        <x:v>99</x:v>
      </x:c>
      <x:c r="G337" s="10">
        <x:v>475</x:v>
      </x:c>
      <x:c r="H337" s="22">
        <x:f t="shared" si="5"/>
        <x:v>9336.0446551897257</x:v>
      </x:c>
      <x:c r="I337" s="22">
        <x:v>4434621.2112151198</x:v>
      </x:c>
    </x:row>
    <x:row r="338">
      <x:c r="A338" s="10" t="s">
        <x:v>75</x:v>
      </x:c>
      <x:c r="B338" s="10">
        <x:v>10359</x:v>
      </x:c>
      <x:c r="C338" s="10">
        <x:v>13230</x:v>
      </x:c>
      <x:c r="D338" s="10" t="s">
        <x:v>9</x:v>
      </x:c>
      <x:c r="E338" s="10" t="s">
        <x:v>9</x:v>
      </x:c>
      <x:c r="F338" s="10">
        <x:v>110</x:v>
      </x:c>
      <x:c r="G338" s="10">
        <x:v>455</x:v>
      </x:c>
      <x:c r="H338" s="22">
        <x:f t="shared" si="5"/>
        <x:v>9746.4202444288348</x:v>
      </x:c>
      <x:c r="I338" s="22">
        <x:v>4434621.2112151198</x:v>
      </x:c>
    </x:row>
    <x:row r="339">
      <x:c r="A339" s="10" t="s">
        <x:v>75</x:v>
      </x:c>
      <x:c r="B339" s="10">
        <x:v>10360</x:v>
      </x:c>
      <x:c r="C339" s="10">
        <x:v>13228</x:v>
      </x:c>
      <x:c r="D339" s="10" t="s">
        <x:v>9</x:v>
      </x:c>
      <x:c r="E339" s="10" t="s">
        <x:v>9</x:v>
      </x:c>
      <x:c r="F339" s="10">
        <x:v>95</x:v>
      </x:c>
      <x:c r="G339" s="10">
        <x:v>464</x:v>
      </x:c>
      <x:c r="H339" s="22">
        <x:f t="shared" si="5"/>
        <x:v>9557.3733000325865</x:v>
      </x:c>
      <x:c r="I339" s="22">
        <x:v>4434621.2112151198</x:v>
      </x:c>
    </x:row>
    <x:row r="340">
      <x:c r="A340" s="10" t="s">
        <x:v>75</x:v>
      </x:c>
      <x:c r="B340" s="10">
        <x:v>10361</x:v>
      </x:c>
      <x:c r="C340" s="10">
        <x:v>13227</x:v>
      </x:c>
      <x:c r="D340" s="10" t="s">
        <x:v>9</x:v>
      </x:c>
      <x:c r="E340" s="10" t="s">
        <x:v>9</x:v>
      </x:c>
      <x:c r="F340" s="10">
        <x:v>107</x:v>
      </x:c>
      <x:c r="G340" s="10">
        <x:v>466</x:v>
      </x:c>
      <x:c r="H340" s="22">
        <x:f t="shared" si="5"/>
        <x:v>9516.3545305045482</x:v>
      </x:c>
      <x:c r="I340" s="22">
        <x:v>4434621.2112151198</x:v>
      </x:c>
    </x:row>
    <x:row r="341">
      <x:c r="A341" s="10" t="s">
        <x:v>75</x:v>
      </x:c>
      <x:c r="B341" s="10">
        <x:v>10401</x:v>
      </x:c>
      <x:c r="C341" s="10">
        <x:v>13025</x:v>
      </x:c>
      <x:c r="D341" s="10" t="s">
        <x:v>1</x:v>
      </x:c>
      <x:c r="E341" s="10" t="s">
        <x:v>49</x:v>
      </x:c>
      <x:c r="F341" s="10">
        <x:v>20</x:v>
      </x:c>
      <x:c r="G341" s="10">
        <x:v>94</x:v>
      </x:c>
      <x:c r="H341" s="22">
        <x:f t="shared" si="5"/>
        <x:v>8860.8961940747231</x:v>
      </x:c>
      <x:c r="I341" s="22">
        <x:v>832924.24224302405</x:v>
      </x:c>
    </x:row>
    <x:row r="342">
      <x:c r="A342" s="10" t="s">
        <x:v>75</x:v>
      </x:c>
      <x:c r="B342" s="10">
        <x:v>10402</x:v>
      </x:c>
      <x:c r="C342" s="10">
        <x:v>13024</x:v>
      </x:c>
      <x:c r="D342" s="10" t="s">
        <x:v>1</x:v>
      </x:c>
      <x:c r="E342" s="10" t="s">
        <x:v>49</x:v>
      </x:c>
      <x:c r="F342" s="10">
        <x:v>20</x:v>
      </x:c>
      <x:c r="G342" s="10">
        <x:v>90</x:v>
      </x:c>
      <x:c r="H342" s="22">
        <x:f t="shared" si="5"/>
        <x:v>9254.7138027002675</x:v>
      </x:c>
      <x:c r="I342" s="22">
        <x:v>832924.24224302405</x:v>
      </x:c>
    </x:row>
    <x:row r="343">
      <x:c r="A343" s="10" t="s">
        <x:v>75</x:v>
      </x:c>
      <x:c r="B343" s="10">
        <x:v>10403</x:v>
      </x:c>
      <x:c r="C343" s="10">
        <x:v>13026</x:v>
      </x:c>
      <x:c r="D343" s="10" t="s">
        <x:v>1</x:v>
      </x:c>
      <x:c r="E343" s="10" t="s">
        <x:v>49</x:v>
      </x:c>
      <x:c r="F343" s="10">
        <x:v>21</x:v>
      </x:c>
      <x:c r="G343" s="10">
        <x:v>92</x:v>
      </x:c>
      <x:c r="H343" s="22">
        <x:f t="shared" si="5"/>
        <x:v>9053.5243722067826</x:v>
      </x:c>
      <x:c r="I343" s="22">
        <x:v>832924.24224302405</x:v>
      </x:c>
    </x:row>
    <x:row r="344">
      <x:c r="A344" s="10" t="s">
        <x:v>75</x:v>
      </x:c>
      <x:c r="B344" s="10">
        <x:v>10404</x:v>
      </x:c>
      <x:c r="C344" s="10">
        <x:v>13028</x:v>
      </x:c>
      <x:c r="D344" s="10" t="s">
        <x:v>1</x:v>
      </x:c>
      <x:c r="E344" s="10" t="s">
        <x:v>49</x:v>
      </x:c>
      <x:c r="F344" s="10">
        <x:v>21</x:v>
      </x:c>
      <x:c r="G344" s="10">
        <x:v>96</x:v>
      </x:c>
      <x:c r="H344" s="22">
        <x:f t="shared" si="5"/>
        <x:v>8676.2941900315</x:v>
      </x:c>
      <x:c r="I344" s="22">
        <x:v>832924.24224302405</x:v>
      </x:c>
    </x:row>
    <x:row r="345">
      <x:c r="A345" s="10" t="s">
        <x:v>75</x:v>
      </x:c>
      <x:c r="B345" s="10">
        <x:v>10407</x:v>
      </x:c>
      <x:c r="C345" s="10">
        <x:v>13027</x:v>
      </x:c>
      <x:c r="D345" s="10" t="s">
        <x:v>1</x:v>
      </x:c>
      <x:c r="E345" s="10" t="s">
        <x:v>49</x:v>
      </x:c>
      <x:c r="F345" s="10">
        <x:v>23</x:v>
      </x:c>
      <x:c r="G345" s="10">
        <x:v>97</x:v>
      </x:c>
      <x:c r="H345" s="22">
        <x:f t="shared" si="5"/>
        <x:v>8586.8478581755062</x:v>
      </x:c>
      <x:c r="I345" s="22">
        <x:v>832924.24224302405</x:v>
      </x:c>
    </x:row>
    <x:row r="346">
      <x:c r="A346" s="10" t="s">
        <x:v>75</x:v>
      </x:c>
      <x:c r="B346" s="10">
        <x:v>10408</x:v>
      </x:c>
      <x:c r="C346" s="10">
        <x:v>13030</x:v>
      </x:c>
      <x:c r="D346" s="10" t="s">
        <x:v>1</x:v>
      </x:c>
      <x:c r="E346" s="10" t="s">
        <x:v>49</x:v>
      </x:c>
      <x:c r="F346" s="10">
        <x:v>24</x:v>
      </x:c>
      <x:c r="G346" s="10">
        <x:v>94</x:v>
      </x:c>
      <x:c r="H346" s="22">
        <x:f t="shared" si="5"/>
        <x:v>8860.8961940747231</x:v>
      </x:c>
      <x:c r="I346" s="22">
        <x:v>832924.24224302405</x:v>
      </x:c>
    </x:row>
    <x:row r="347">
      <x:c r="A347" s="10" t="s">
        <x:v>75</x:v>
      </x:c>
      <x:c r="B347" s="10">
        <x:v>10409</x:v>
      </x:c>
      <x:c r="C347" s="10">
        <x:v>13029</x:v>
      </x:c>
      <x:c r="D347" s="10" t="s">
        <x:v>1</x:v>
      </x:c>
      <x:c r="E347" s="10" t="s">
        <x:v>49</x:v>
      </x:c>
      <x:c r="F347" s="10">
        <x:v>23</x:v>
      </x:c>
      <x:c r="G347" s="10">
        <x:v>93</x:v>
      </x:c>
      <x:c r="H347" s="22">
        <x:f t="shared" si="5"/>
        <x:v>8794.8843251938069</x:v>
      </x:c>
      <x:c r="I347" s="22">
        <x:v>817924.24224302405</x:v>
      </x:c>
    </x:row>
    <x:row r="348">
      <x:c r="A348" s="10" t="s">
        <x:v>75</x:v>
      </x:c>
      <x:c r="B348" s="10">
        <x:v>10540</x:v>
      </x:c>
      <x:c r="C348" s="10">
        <x:v>13032</x:v>
      </x:c>
      <x:c r="D348" s="10" t="s">
        <x:v>0</x:v>
      </x:c>
      <x:c r="E348" s="10" t="s">
        <x:v>67</x:v>
      </x:c>
      <x:c r="F348" s="10">
        <x:v>31</x:v>
      </x:c>
      <x:c r="G348" s="10">
        <x:v>185</x:v>
      </x:c>
      <x:c r="H348" s="22">
        <x:f t="shared" si="5"/>
        <x:v>9367.8296458704863</x:v>
      </x:c>
      <x:c r="I348" s="22">
        <x:v>1733048.48448604</x:v>
      </x:c>
    </x:row>
    <x:row r="349">
      <x:c r="A349" s="10" t="s">
        <x:v>75</x:v>
      </x:c>
      <x:c r="B349" s="10">
        <x:v>10789</x:v>
      </x:c>
      <x:c r="C349" s="10">
        <x:v>13031</x:v>
      </x:c>
      <x:c r="D349" s="10" t="s">
        <x:v>0</x:v>
      </x:c>
      <x:c r="E349" s="10" t="s">
        <x:v>32</x:v>
      </x:c>
      <x:c r="F349" s="10">
        <x:v>28</x:v>
      </x:c>
      <x:c r="G349" s="10">
        <x:v>190</x:v>
      </x:c>
      <x:c r="H349" s="22">
        <x:f t="shared" si="5"/>
        <x:v>9167.6236025581056</x:v>
      </x:c>
      <x:c r="I349" s="22">
        <x:v>1741848.48448604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4.5"/>
  <x:cols>
    <x:col min="1" max="1" width="8.7265625" customWidth="1"/>
    <x:col min="2" max="2" width="8.453125" customWidth="1"/>
    <x:col min="3" max="3" width="8.26953125" customWidth="1"/>
    <x:col min="4" max="4" width="59.54296875" customWidth="1"/>
    <x:col min="5" max="6" width="3.81640625" customWidth="1"/>
    <x:col min="7" max="7" width="10.90625" customWidth="1"/>
    <x:col min="8" max="8" width="11.26953125" style="6" customWidth="1"/>
    <x:col min="9" max="9" width="10" customWidth="1"/>
    <x:col min="11" max="11" width="10.7265625" customWidth="1"/>
  </x:cols>
  <x:sheetData>
    <x:row r="1">
      <x:c r="A1" s="9" t="s">
        <x:v>11</x:v>
      </x:c>
      <x:c r="B1" s="9" t="s">
        <x:v>12</x:v>
      </x:c>
      <x:c r="C1" s="9" t="s">
        <x:v>13</x:v>
      </x:c>
      <x:c r="D1" s="9" t="s">
        <x:v>14</x:v>
      </x:c>
      <x:c r="E1" s="9" t="s">
        <x:v>15</x:v>
      </x:c>
      <x:c r="F1" s="9" t="s">
        <x:v>16</x:v>
      </x:c>
      <x:c r="G1" s="9" t="s">
        <x:v>17</x:v>
      </x:c>
      <x:c r="H1" s="17" t="s">
        <x:v>18</x:v>
      </x:c>
      <x:c r="I1" s="24"/>
      <x:c r="K1" s="6"/>
    </x:row>
    <x:row r="2">
      <x:c r="A2" s="2" t="s">
        <x:v>75</x:v>
      </x:c>
      <x:c r="B2" s="2">
        <x:v>5567</x:v>
      </x:c>
      <x:c r="C2" s="2">
        <x:v>12704</x:v>
      </x:c>
      <x:c r="D2" s="2" t="s">
        <x:v>80</x:v>
      </x:c>
      <x:c r="E2" s="2">
        <x:v>0</x:v>
      </x:c>
      <x:c r="F2" s="2">
        <x:v>249</x:v>
      </x:c>
      <x:c r="G2" s="3" t="n">
        <x:f t="shared" ref="G2:G65" si="0">H2/F2</x:f>
        <x:v>4822.919074984216</x:v>
      </x:c>
      <x:c r="H2" s="3">
        <x:v>1200906.84967107</x:v>
      </x:c>
      <x:c r="I2" s="6" t="e">
        <x:f>SUMIF([1]Pengiriman!P:P,B2,[1]Pengiriman!X:X)</x:f>
        <x:v>#NAME?</x:v>
      </x:c>
      <x:c r="K2" s="15"/>
    </x:row>
    <x:row r="3">
      <x:c r="A3" s="2" t="s">
        <x:v>75</x:v>
      </x:c>
      <x:c r="B3" s="2">
        <x:v>5172</x:v>
      </x:c>
      <x:c r="C3" s="2">
        <x:v>12707</x:v>
      </x:c>
      <x:c r="D3" s="2" t="s">
        <x:v>81</x:v>
      </x:c>
      <x:c r="E3" s="2">
        <x:v>67</x:v>
      </x:c>
      <x:c r="F3" s="2">
        <x:v>347</x:v>
      </x:c>
      <x:c r="G3" s="3">
        <x:f t="shared" si="0"/>
        <x:v>11285.138714426121</x:v>
      </x:c>
      <x:c r="H3" s="3">
        <x:v>3915943.1339058639</x:v>
      </x:c>
      <x:c r="I3" s="6" t="e">
        <x:f>SUMIF([1]Pengiriman!P:P,B3,[1]Pengiriman!X:X)</x:f>
        <x:v>#NAME?</x:v>
      </x:c>
    </x:row>
    <x:row r="4">
      <x:c r="A4" s="2" t="s">
        <x:v>75</x:v>
      </x:c>
      <x:c r="B4" s="2">
        <x:v>5173</x:v>
      </x:c>
      <x:c r="C4" s="2">
        <x:v>12708</x:v>
      </x:c>
      <x:c r="D4" s="2" t="s">
        <x:v>82</x:v>
      </x:c>
      <x:c r="E4" s="2">
        <x:v>56</x:v>
      </x:c>
      <x:c r="F4" s="2">
        <x:v>296</x:v>
      </x:c>
      <x:c r="G4" s="3">
        <x:f t="shared" si="0"/>
        <x:v>11271.863135484951</x:v>
      </x:c>
      <x:c r="H4" s="3">
        <x:v>3336471.4881035457</x:v>
      </x:c>
      <x:c r="I4" s="6" t="e">
        <x:f>SUMIF([1]Pengiriman!P:P,B4,[1]Pengiriman!X:X)</x:f>
        <x:v>#NAME?</x:v>
      </x:c>
      <x:c r="K4" s="6"/>
    </x:row>
    <x:row r="5">
      <x:c r="A5" s="2" t="s">
        <x:v>75</x:v>
      </x:c>
      <x:c r="B5" s="2">
        <x:v>5178</x:v>
      </x:c>
      <x:c r="C5" s="2">
        <x:v>12709</x:v>
      </x:c>
      <x:c r="D5" s="2" t="s">
        <x:v>83</x:v>
      </x:c>
      <x:c r="E5" s="2">
        <x:v>85</x:v>
      </x:c>
      <x:c r="F5" s="2">
        <x:v>259</x:v>
      </x:c>
      <x:c r="G5" s="3">
        <x:f t="shared" si="0"/>
        <x:v>11275.091101288899</x:v>
      </x:c>
      <x:c r="H5" s="3">
        <x:v>2920248.595233825</x:v>
      </x:c>
      <x:c r="I5" s="6" t="e">
        <x:f>SUMIF([1]Pengiriman!P:P,B5,[1]Pengiriman!X:X)</x:f>
        <x:v>#NAME?</x:v>
      </x:c>
    </x:row>
    <x:row r="6">
      <x:c r="A6" s="2" t="s">
        <x:v>75</x:v>
      </x:c>
      <x:c r="B6" s="2">
        <x:v>5182</x:v>
      </x:c>
      <x:c r="C6" s="2">
        <x:v>12711</x:v>
      </x:c>
      <x:c r="D6" s="2" t="s">
        <x:v>84</x:v>
      </x:c>
      <x:c r="E6" s="2">
        <x:v>142</x:v>
      </x:c>
      <x:c r="F6" s="2">
        <x:v>390</x:v>
      </x:c>
      <x:c r="G6" s="3">
        <x:f t="shared" si="0"/>
        <x:v>11206.604228073324</x:v>
      </x:c>
      <x:c r="H6" s="3">
        <x:v>4370575.6489485959</x:v>
      </x:c>
      <x:c r="I6" s="6" t="e">
        <x:f>SUMIF([1]Pengiriman!P:P,B6,[1]Pengiriman!X:X)</x:f>
        <x:v>#NAME?</x:v>
      </x:c>
    </x:row>
    <x:row r="7">
      <x:c r="A7" s="2" t="s">
        <x:v>75</x:v>
      </x:c>
      <x:c r="B7" s="2">
        <x:v>5226</x:v>
      </x:c>
      <x:c r="C7" s="2">
        <x:v>12714</x:v>
      </x:c>
      <x:c r="D7" s="2" t="s">
        <x:v>85</x:v>
      </x:c>
      <x:c r="E7" s="2">
        <x:v>138</x:v>
      </x:c>
      <x:c r="F7" s="2">
        <x:v>314</x:v>
      </x:c>
      <x:c r="G7" s="3">
        <x:f t="shared" si="0"/>
        <x:v>11182.039727863777</x:v>
      </x:c>
      <x:c r="H7" s="3">
        <x:v>3511160.474549226</x:v>
      </x:c>
      <x:c r="I7" s="6" t="e">
        <x:f>SUMIF([1]Pengiriman!P:P,B7,[1]Pengiriman!X:X)</x:f>
        <x:v>#NAME?</x:v>
      </x:c>
    </x:row>
    <x:row r="8">
      <x:c r="A8" s="2" t="s">
        <x:v>75</x:v>
      </x:c>
      <x:c r="B8" s="2">
        <x:v>5303</x:v>
      </x:c>
      <x:c r="C8" s="2">
        <x:v>12716</x:v>
      </x:c>
      <x:c r="D8" s="2" t="s">
        <x:v>86</x:v>
      </x:c>
      <x:c r="E8" s="2">
        <x:v>68</x:v>
      </x:c>
      <x:c r="F8" s="2">
        <x:v>265</x:v>
      </x:c>
      <x:c r="G8" s="3">
        <x:f t="shared" si="0"/>
        <x:v>11242.317090887895</x:v>
      </x:c>
      <x:c r="H8" s="3">
        <x:v>2979214.029085292</x:v>
      </x:c>
      <x:c r="I8" s="6" t="e">
        <x:f>SUMIF([1]Pengiriman!P:P,B8,[1]Pengiriman!X:X)</x:f>
        <x:v>#NAME?</x:v>
      </x:c>
    </x:row>
    <x:row r="9">
      <x:c r="A9" s="2" t="s">
        <x:v>75</x:v>
      </x:c>
      <x:c r="B9" s="2">
        <x:v>5312</x:v>
      </x:c>
      <x:c r="C9" s="2">
        <x:v>12718</x:v>
      </x:c>
      <x:c r="D9" s="2" t="s">
        <x:v>87</x:v>
      </x:c>
      <x:c r="E9" s="2">
        <x:v>5</x:v>
      </x:c>
      <x:c r="F9" s="2">
        <x:v>21</x:v>
      </x:c>
      <x:c r="G9" s="3">
        <x:f t="shared" si="0"/>
        <x:v>11214.93637103581</x:v>
      </x:c>
      <x:c r="H9" s="3">
        <x:v>235513.66379175201</x:v>
      </x:c>
      <x:c r="I9" s="6" t="e">
        <x:f>SUMIF([1]Pengiriman!P:P,B9,[1]Pengiriman!X:X)</x:f>
        <x:v>#NAME?</x:v>
      </x:c>
    </x:row>
    <x:row r="10">
      <x:c r="A10" s="2" t="s">
        <x:v>75</x:v>
      </x:c>
      <x:c r="B10" s="2">
        <x:v>5428</x:v>
      </x:c>
      <x:c r="C10" s="2">
        <x:v>12723</x:v>
      </x:c>
      <x:c r="D10" s="2" t="s">
        <x:v>88</x:v>
      </x:c>
      <x:c r="E10" s="2">
        <x:v>35</x:v>
      </x:c>
      <x:c r="F10" s="2">
        <x:v>225</x:v>
      </x:c>
      <x:c r="G10" s="3">
        <x:f t="shared" si="0"/>
        <x:v>11108.151122230705</x:v>
      </x:c>
      <x:c r="H10" s="3">
        <x:v>2499334.0025019087</x:v>
      </x:c>
      <x:c r="I10" s="6" t="e">
        <x:f>SUMIF([1]Pengiriman!P:P,B10,[1]Pengiriman!X:X)</x:f>
        <x:v>#NAME?</x:v>
      </x:c>
    </x:row>
    <x:row r="11">
      <x:c r="A11" s="2" t="s">
        <x:v>75</x:v>
      </x:c>
      <x:c r="B11" s="2">
        <x:v>5167</x:v>
      </x:c>
      <x:c r="C11" s="2">
        <x:v>12705</x:v>
      </x:c>
      <x:c r="D11" s="2" t="s">
        <x:v>89</x:v>
      </x:c>
      <x:c r="E11" s="2">
        <x:v>104</x:v>
      </x:c>
      <x:c r="F11" s="2">
        <x:v>249</x:v>
      </x:c>
      <x:c r="G11" s="3">
        <x:f t="shared" si="0"/>
        <x:v>11221.997306111409</x:v>
      </x:c>
      <x:c r="H11" s="3">
        <x:v>2794277.3292217408</x:v>
      </x:c>
      <x:c r="I11" s="6" t="e">
        <x:f>SUMIF([1]Pengiriman!P:P,B11,[1]Pengiriman!X:X)</x:f>
        <x:v>#NAME?</x:v>
      </x:c>
    </x:row>
    <x:row r="12">
      <x:c r="A12" s="2" t="s">
        <x:v>75</x:v>
      </x:c>
      <x:c r="B12" s="2">
        <x:v>5168</x:v>
      </x:c>
      <x:c r="C12" s="2">
        <x:v>12706</x:v>
      </x:c>
      <x:c r="D12" s="2" t="s">
        <x:v>90</x:v>
      </x:c>
      <x:c r="E12" s="2">
        <x:v>99</x:v>
      </x:c>
      <x:c r="F12" s="2">
        <x:v>293</x:v>
      </x:c>
      <x:c r="G12" s="3">
        <x:f t="shared" si="0"/>
        <x:v>11209.404332437409</x:v>
      </x:c>
      <x:c r="H12" s="3">
        <x:v>3284355.469404161</x:v>
      </x:c>
      <x:c r="I12" s="6" t="e">
        <x:f>SUMIF([1]Pengiriman!P:P,B12,[1]Pengiriman!X:X)</x:f>
        <x:v>#NAME?</x:v>
      </x:c>
    </x:row>
    <x:row r="13">
      <x:c r="A13" s="2" t="s">
        <x:v>75</x:v>
      </x:c>
      <x:c r="B13" s="2">
        <x:v>5181</x:v>
      </x:c>
      <x:c r="C13" s="2">
        <x:v>12710</x:v>
      </x:c>
      <x:c r="D13" s="2" t="s">
        <x:v>84</x:v>
      </x:c>
      <x:c r="E13" s="2">
        <x:v>185</x:v>
      </x:c>
      <x:c r="F13" s="2">
        <x:v>430</x:v>
      </x:c>
      <x:c r="G13" s="3">
        <x:f t="shared" si="0"/>
        <x:v>11275.576136308067</x:v>
      </x:c>
      <x:c r="H13" s="3">
        <x:v>4848497.7386124693</x:v>
      </x:c>
      <x:c r="I13" s="6" t="e">
        <x:f>SUMIF([1]Pengiriman!P:P,B13,[1]Pengiriman!X:X)</x:f>
        <x:v>#NAME?</x:v>
      </x:c>
    </x:row>
    <x:row r="14">
      <x:c r="A14" s="2" t="s">
        <x:v>75</x:v>
      </x:c>
      <x:c r="B14" s="2">
        <x:v>5185</x:v>
      </x:c>
      <x:c r="C14" s="2">
        <x:v>12712</x:v>
      </x:c>
      <x:c r="D14" s="2" t="s">
        <x:v>91</x:v>
      </x:c>
      <x:c r="E14" s="2">
        <x:v>10</x:v>
      </x:c>
      <x:c r="F14" s="2">
        <x:v>238</x:v>
      </x:c>
      <x:c r="G14" s="3">
        <x:f t="shared" si="0"/>
        <x:v>11282.650523782375</x:v>
      </x:c>
      <x:c r="H14" s="3">
        <x:v>2685270.8246602053</x:v>
      </x:c>
      <x:c r="I14" s="6" t="e">
        <x:f>SUMIF([1]Pengiriman!P:P,B14,[1]Pengiriman!X:X)</x:f>
        <x:v>#NAME?</x:v>
      </x:c>
    </x:row>
    <x:row r="15">
      <x:c r="A15" s="2" t="s">
        <x:v>75</x:v>
      </x:c>
      <x:c r="B15" s="2">
        <x:v>5220</x:v>
      </x:c>
      <x:c r="C15" s="2">
        <x:v>12713</x:v>
      </x:c>
      <x:c r="D15" s="2" t="s">
        <x:v>92</x:v>
      </x:c>
      <x:c r="E15" s="2">
        <x:v>54</x:v>
      </x:c>
      <x:c r="F15" s="2">
        <x:v>225</x:v>
      </x:c>
      <x:c r="G15" s="3">
        <x:f t="shared" si="0"/>
        <x:v>11045.209373936712</x:v>
      </x:c>
      <x:c r="H15" s="3">
        <x:v>2485172.10913576</x:v>
      </x:c>
      <x:c r="I15" s="6" t="e">
        <x:f>SUMIF([1]Pengiriman!P:P,B15,[1]Pengiriman!X:X)</x:f>
        <x:v>#NAME?</x:v>
      </x:c>
    </x:row>
    <x:row r="16">
      <x:c r="A16" s="2" t="s">
        <x:v>75</x:v>
      </x:c>
      <x:c r="B16" s="2">
        <x:v>5309</x:v>
      </x:c>
      <x:c r="C16" s="2">
        <x:v>12717</x:v>
      </x:c>
      <x:c r="D16" s="2" t="s">
        <x:v>93</x:v>
      </x:c>
      <x:c r="E16" s="2">
        <x:v>63</x:v>
      </x:c>
      <x:c r="F16" s="2">
        <x:v>245</x:v>
      </x:c>
      <x:c r="G16" s="3">
        <x:f t="shared" si="0"/>
        <x:v>11169.134952205126</x:v>
      </x:c>
      <x:c r="H16" s="3">
        <x:v>2736438.0632902561</x:v>
      </x:c>
      <x:c r="I16" s="6" t="e">
        <x:f>SUMIF([1]Pengiriman!P:P,B16,[1]Pengiriman!X:X)</x:f>
        <x:v>#NAME?</x:v>
      </x:c>
    </x:row>
    <x:row r="17">
      <x:c r="A17" s="2" t="s">
        <x:v>75</x:v>
      </x:c>
      <x:c r="B17" s="2">
        <x:v>5313</x:v>
      </x:c>
      <x:c r="C17" s="2">
        <x:v>12719</x:v>
      </x:c>
      <x:c r="D17" s="2" t="s">
        <x:v>94</x:v>
      </x:c>
      <x:c r="E17" s="2">
        <x:v>134</x:v>
      </x:c>
      <x:c r="F17" s="2">
        <x:v>415</x:v>
      </x:c>
      <x:c r="G17" s="3">
        <x:f t="shared" si="0"/>
        <x:v>11270.404172735387</x:v>
      </x:c>
      <x:c r="H17" s="3">
        <x:v>4677217.7316851858</x:v>
      </x:c>
      <x:c r="I17" s="6" t="e">
        <x:f>SUMIF([1]Pengiriman!P:P,B17,[1]Pengiriman!X:X)</x:f>
        <x:v>#NAME?</x:v>
      </x:c>
    </x:row>
    <x:row r="18">
      <x:c r="A18" s="2" t="s">
        <x:v>75</x:v>
      </x:c>
      <x:c r="B18" s="2">
        <x:v>5418</x:v>
      </x:c>
      <x:c r="C18" s="2">
        <x:v>12721</x:v>
      </x:c>
      <x:c r="D18" s="2" t="s">
        <x:v>95</x:v>
      </x:c>
      <x:c r="E18" s="2">
        <x:v>53</x:v>
      </x:c>
      <x:c r="F18" s="2">
        <x:v>225</x:v>
      </x:c>
      <x:c r="G18" s="3">
        <x:f t="shared" si="0"/>
        <x:v>11058.495356559755</x:v>
      </x:c>
      <x:c r="H18" s="3">
        <x:v>2488161.455225945</x:v>
      </x:c>
      <x:c r="I18" s="6" t="e">
        <x:f>SUMIF([1]Pengiriman!P:P,B18,[1]Pengiriman!X:X)</x:f>
        <x:v>#NAME?</x:v>
      </x:c>
    </x:row>
    <x:row r="19">
      <x:c r="A19" s="2" t="s">
        <x:v>75</x:v>
      </x:c>
      <x:c r="B19" s="2">
        <x:v>5439</x:v>
      </x:c>
      <x:c r="C19" s="2">
        <x:v>12724</x:v>
      </x:c>
      <x:c r="D19" s="2" t="s">
        <x:v>96</x:v>
      </x:c>
      <x:c r="E19" s="2">
        <x:v>44</x:v>
      </x:c>
      <x:c r="F19" s="2">
        <x:v>225</x:v>
      </x:c>
      <x:c r="G19" s="3">
        <x:f t="shared" si="0"/>
        <x:v>11009.578632958186</x:v>
      </x:c>
      <x:c r="H19" s="3">
        <x:v>2477155.1924155918</x:v>
      </x:c>
      <x:c r="I19" s="6" t="e">
        <x:f>SUMIF([1]Pengiriman!P:P,B19,[1]Pengiriman!X:X)</x:f>
        <x:v>#NAME?</x:v>
      </x:c>
    </x:row>
    <x:row r="20">
      <x:c r="A20" s="2" t="s">
        <x:v>75</x:v>
      </x:c>
      <x:c r="B20" s="2">
        <x:v>5440</x:v>
      </x:c>
      <x:c r="C20" s="2">
        <x:v>12725</x:v>
      </x:c>
      <x:c r="D20" s="2" t="s">
        <x:v>97</x:v>
      </x:c>
      <x:c r="E20" s="2">
        <x:v>32</x:v>
      </x:c>
      <x:c r="F20" s="2">
        <x:v>158</x:v>
      </x:c>
      <x:c r="G20" s="3">
        <x:f t="shared" si="0"/>
        <x:v>10994.990892481361</x:v>
      </x:c>
      <x:c r="H20" s="3">
        <x:v>1737208.561012055</x:v>
      </x:c>
      <x:c r="I20" s="6" t="e">
        <x:f>SUMIF([1]Pengiriman!P:P,B20,[1]Pengiriman!X:X)</x:f>
        <x:v>#NAME?</x:v>
      </x:c>
    </x:row>
    <x:row r="21">
      <x:c r="A21" s="2" t="s">
        <x:v>75</x:v>
      </x:c>
      <x:c r="B21" s="2">
        <x:v>5441</x:v>
      </x:c>
      <x:c r="C21" s="2">
        <x:v>12726</x:v>
      </x:c>
      <x:c r="D21" s="2" t="s">
        <x:v>98</x:v>
      </x:c>
      <x:c r="E21" s="2">
        <x:v>35</x:v>
      </x:c>
      <x:c r="F21" s="2">
        <x:v>225</x:v>
      </x:c>
      <x:c r="G21" s="3">
        <x:f t="shared" si="0"/>
        <x:v>10988.975696115254</x:v>
      </x:c>
      <x:c r="H21" s="3">
        <x:v>2472519.5316259321</x:v>
      </x:c>
      <x:c r="I21" s="6" t="e">
        <x:f>SUMIF([1]Pengiriman!P:P,B21,[1]Pengiriman!X:X)</x:f>
        <x:v>#NAME?</x:v>
      </x:c>
    </x:row>
    <x:row r="22">
      <x:c r="A22" s="2" t="s">
        <x:v>75</x:v>
      </x:c>
      <x:c r="B22" s="2">
        <x:v>5496</x:v>
      </x:c>
      <x:c r="C22" s="2">
        <x:v>12728</x:v>
      </x:c>
      <x:c r="D22" s="2" t="s">
        <x:v>99</x:v>
      </x:c>
      <x:c r="E22" s="2">
        <x:v>44</x:v>
      </x:c>
      <x:c r="F22" s="2">
        <x:v>225</x:v>
      </x:c>
      <x:c r="G22" s="3">
        <x:f t="shared" si="0"/>
        <x:v>10993.823479459075</x:v>
      </x:c>
      <x:c r="H22" s="3">
        <x:v>2473610.2828782918</x:v>
      </x:c>
      <x:c r="I22" s="6" t="e">
        <x:f>SUMIF([1]Pengiriman!P:P,B22,[1]Pengiriman!X:X)</x:f>
        <x:v>#NAME?</x:v>
      </x:c>
    </x:row>
    <x:row r="23">
      <x:c r="A23" s="2" t="s">
        <x:v>75</x:v>
      </x:c>
      <x:c r="B23" s="2">
        <x:v>5514</x:v>
      </x:c>
      <x:c r="C23" s="2">
        <x:v>12729</x:v>
      </x:c>
      <x:c r="D23" s="2" t="s">
        <x:v>100</x:v>
      </x:c>
      <x:c r="E23" s="2">
        <x:v>112</x:v>
      </x:c>
      <x:c r="F23" s="2">
        <x:v>450</x:v>
      </x:c>
      <x:c r="G23" s="3">
        <x:f t="shared" si="0"/>
        <x:v>9905.0902845391665</x:v>
      </x:c>
      <x:c r="H23" s="3">
        <x:v>4457290.6280426253</x:v>
      </x:c>
      <x:c r="I23" s="6" t="e">
        <x:f>SUMIF([1]Pengiriman!P:P,B23,[1]Pengiriman!X:X)</x:f>
        <x:v>#NAME?</x:v>
      </x:c>
    </x:row>
    <x:row r="24">
      <x:c r="A24" s="2" t="s">
        <x:v>75</x:v>
      </x:c>
      <x:c r="B24" s="2">
        <x:v>5521</x:v>
      </x:c>
      <x:c r="C24" s="2">
        <x:v>12731</x:v>
      </x:c>
      <x:c r="D24" s="2" t="s">
        <x:v>100</x:v>
      </x:c>
      <x:c r="E24" s="2">
        <x:v>42</x:v>
      </x:c>
      <x:c r="F24" s="2">
        <x:v>175</x:v>
      </x:c>
      <x:c r="G24" s="3">
        <x:f t="shared" si="0"/>
        <x:v>10997.871501954616</x:v>
      </x:c>
      <x:c r="H24" s="3">
        <x:v>1924627.512842058</x:v>
      </x:c>
      <x:c r="I24" s="6" t="e">
        <x:f>SUMIF([1]Pengiriman!P:P,B24,[1]Pengiriman!X:X)</x:f>
        <x:v>#NAME?</x:v>
      </x:c>
    </x:row>
    <x:row r="25">
      <x:c r="A25" s="2" t="s">
        <x:v>75</x:v>
      </x:c>
      <x:c r="B25" s="2">
        <x:v>5522</x:v>
      </x:c>
      <x:c r="C25" s="2">
        <x:v>12732</x:v>
      </x:c>
      <x:c r="D25" s="2" t="s">
        <x:v>89</x:v>
      </x:c>
      <x:c r="E25" s="2">
        <x:v>58</x:v>
      </x:c>
      <x:c r="F25" s="2">
        <x:v>176</x:v>
      </x:c>
      <x:c r="G25" s="3">
        <x:f t="shared" si="0"/>
        <x:v>11031.945711251972</x:v>
      </x:c>
      <x:c r="H25" s="3">
        <x:v>1941622.445180347</x:v>
      </x:c>
      <x:c r="I25" s="6" t="e">
        <x:f>SUMIF([1]Pengiriman!P:P,B25,[1]Pengiriman!X:X)</x:f>
        <x:v>#NAME?</x:v>
      </x:c>
    </x:row>
    <x:row r="26">
      <x:c r="A26" s="2" t="s">
        <x:v>75</x:v>
      </x:c>
      <x:c r="B26" s="2">
        <x:v>5572</x:v>
      </x:c>
      <x:c r="C26" s="2">
        <x:v>12736</x:v>
      </x:c>
      <x:c r="D26" s="2" t="s">
        <x:v>80</x:v>
      </x:c>
      <x:c r="E26" s="2">
        <x:v>0</x:v>
      </x:c>
      <x:c r="F26" s="2">
        <x:v>403</x:v>
      </x:c>
      <x:c r="G26" s="3">
        <x:f t="shared" si="0"/>
        <x:v>17941.693468915855</x:v>
      </x:c>
      <x:c r="H26" s="3">
        <x:v>7230502.4679730898</x:v>
      </x:c>
      <x:c r="I26" s="6" t="e">
        <x:f>SUMIF([1]Pengiriman!P:P,B26,[1]Pengiriman!X:X)</x:f>
        <x:v>#NAME?</x:v>
      </x:c>
    </x:row>
    <x:row r="27">
      <x:c r="A27" s="2" t="s">
        <x:v>75</x:v>
      </x:c>
      <x:c r="B27" s="2">
        <x:v>5642</x:v>
      </x:c>
      <x:c r="C27" s="2">
        <x:v>12737</x:v>
      </x:c>
      <x:c r="D27" s="2" t="s">
        <x:v>101</x:v>
      </x:c>
      <x:c r="E27" s="2">
        <x:v>35</x:v>
      </x:c>
      <x:c r="F27" s="2">
        <x:v>225</x:v>
      </x:c>
      <x:c r="G27" s="3">
        <x:f t="shared" si="0"/>
        <x:v>11093.505022214846</x:v>
      </x:c>
      <x:c r="H27" s="3">
        <x:v>2496038.6299983403</x:v>
      </x:c>
      <x:c r="I27" s="6" t="e">
        <x:f>SUMIF([1]Pengiriman!P:P,B27,[1]Pengiriman!X:X)</x:f>
        <x:v>#NAME?</x:v>
      </x:c>
    </x:row>
    <x:row r="28">
      <x:c r="A28" s="2" t="s">
        <x:v>75</x:v>
      </x:c>
      <x:c r="B28" s="2">
        <x:v>5643</x:v>
      </x:c>
      <x:c r="C28" s="2">
        <x:v>12738</x:v>
      </x:c>
      <x:c r="D28" s="2" t="s">
        <x:v>88</x:v>
      </x:c>
      <x:c r="E28" s="2">
        <x:v>34</x:v>
      </x:c>
      <x:c r="F28" s="2">
        <x:v>225</x:v>
      </x:c>
      <x:c r="G28" s="3">
        <x:f t="shared" si="0"/>
        <x:v>11020.66109698159</x:v>
      </x:c>
      <x:c r="H28" s="3">
        <x:v>2479648.7468208577</x:v>
      </x:c>
      <x:c r="I28" s="6" t="e">
        <x:f>SUMIF([1]Pengiriman!P:P,B28,[1]Pengiriman!X:X)</x:f>
        <x:v>#NAME?</x:v>
      </x:c>
    </x:row>
    <x:row r="29">
      <x:c r="A29" s="2" t="s">
        <x:v>75</x:v>
      </x:c>
      <x:c r="B29" s="2">
        <x:v>5644</x:v>
      </x:c>
      <x:c r="C29" s="2">
        <x:v>12739</x:v>
      </x:c>
      <x:c r="D29" s="2" t="s">
        <x:v>102</x:v>
      </x:c>
      <x:c r="E29" s="2">
        <x:v>41</x:v>
      </x:c>
      <x:c r="F29" s="2">
        <x:v>202</x:v>
      </x:c>
      <x:c r="G29" s="3">
        <x:f t="shared" si="0"/>
        <x:v>11020.329244569684</x:v>
      </x:c>
      <x:c r="H29" s="3">
        <x:v>2226106.5074030762</x:v>
      </x:c>
      <x:c r="I29" s="6" t="e">
        <x:f>SUMIF([1]Pengiriman!P:P,B29,[1]Pengiriman!X:X)</x:f>
        <x:v>#NAME?</x:v>
      </x:c>
    </x:row>
    <x:row r="30">
      <x:c r="A30" s="2" t="s">
        <x:v>75</x:v>
      </x:c>
      <x:c r="B30" s="2">
        <x:v>5648</x:v>
      </x:c>
      <x:c r="C30" s="2">
        <x:v>12740</x:v>
      </x:c>
      <x:c r="D30" s="2" t="s">
        <x:v>103</x:v>
      </x:c>
      <x:c r="E30" s="2">
        <x:v>100</x:v>
      </x:c>
      <x:c r="F30" s="2">
        <x:v>395</x:v>
      </x:c>
      <x:c r="G30" s="3">
        <x:f t="shared" si="0"/>
        <x:v>11138.886562471786</x:v>
      </x:c>
      <x:c r="H30" s="3">
        <x:v>4399860.192176355</x:v>
      </x:c>
      <x:c r="I30" s="6" t="e">
        <x:f>SUMIF([1]Pengiriman!P:P,B30,[1]Pengiriman!X:X)</x:f>
        <x:v>#NAME?</x:v>
      </x:c>
    </x:row>
    <x:row r="31">
      <x:c r="A31" s="2" t="s">
        <x:v>75</x:v>
      </x:c>
      <x:c r="B31" s="2">
        <x:v>5650</x:v>
      </x:c>
      <x:c r="C31" s="2">
        <x:v>12741</x:v>
      </x:c>
      <x:c r="D31" s="2" t="s">
        <x:v>104</x:v>
      </x:c>
      <x:c r="E31" s="2">
        <x:v>0</x:v>
      </x:c>
      <x:c r="F31" s="2">
        <x:v>225</x:v>
      </x:c>
      <x:c r="G31" s="3">
        <x:f t="shared" si="0"/>
        <x:v>11093.505022214846</x:v>
      </x:c>
      <x:c r="H31" s="3">
        <x:v>2496038.6299983403</x:v>
      </x:c>
      <x:c r="I31" s="6" t="e">
        <x:f>SUMIF([1]Pengiriman!P:P,B31,[1]Pengiriman!X:X)</x:f>
        <x:v>#NAME?</x:v>
      </x:c>
    </x:row>
    <x:row r="32">
      <x:c r="A32" s="2" t="s">
        <x:v>75</x:v>
      </x:c>
      <x:c r="B32" s="2">
        <x:v>5653</x:v>
      </x:c>
      <x:c r="C32" s="2">
        <x:v>12744</x:v>
      </x:c>
      <x:c r="D32" s="2" t="s">
        <x:v>104</x:v>
      </x:c>
      <x:c r="E32" s="2">
        <x:v>0</x:v>
      </x:c>
      <x:c r="F32" s="2">
        <x:v>225</x:v>
      </x:c>
      <x:c r="G32" s="3">
        <x:f t="shared" si="0"/>
        <x:v>11050.985655317067</x:v>
      </x:c>
      <x:c r="H32" s="3">
        <x:v>2486471.7724463399</x:v>
      </x:c>
      <x:c r="I32" s="6" t="e">
        <x:f>SUMIF([1]Pengiriman!P:P,B32,[1]Pengiriman!X:X)</x:f>
        <x:v>#NAME?</x:v>
      </x:c>
    </x:row>
    <x:row r="33">
      <x:c r="A33" s="2" t="s">
        <x:v>75</x:v>
      </x:c>
      <x:c r="B33" s="2">
        <x:v>5656</x:v>
      </x:c>
      <x:c r="C33" s="2">
        <x:v>12745</x:v>
      </x:c>
      <x:c r="D33" s="2" t="s">
        <x:v>105</x:v>
      </x:c>
      <x:c r="E33" s="2">
        <x:v>53</x:v>
      </x:c>
      <x:c r="F33" s="2">
        <x:v>225</x:v>
      </x:c>
      <x:c r="G33" s="3">
        <x:f t="shared" si="0"/>
        <x:v>10914.172690767205</x:v>
      </x:c>
      <x:c r="H33" s="3">
        <x:v>2455688.8554226211</x:v>
      </x:c>
      <x:c r="I33" s="6" t="e">
        <x:f>SUMIF([1]Pengiriman!P:P,B33,[1]Pengiriman!X:X)</x:f>
        <x:v>#NAME?</x:v>
      </x:c>
    </x:row>
    <x:row r="34">
      <x:c r="A34" s="2" t="s">
        <x:v>75</x:v>
      </x:c>
      <x:c r="B34" s="2">
        <x:v>5658</x:v>
      </x:c>
      <x:c r="C34" s="2">
        <x:v>12746</x:v>
      </x:c>
      <x:c r="D34" s="2" t="s">
        <x:v>106</x:v>
      </x:c>
      <x:c r="E34" s="2">
        <x:v>54</x:v>
      </x:c>
      <x:c r="F34" s="2">
        <x:v>225</x:v>
      </x:c>
      <x:c r="G34" s="3">
        <x:f t="shared" si="0"/>
        <x:v>11014.215338162312</x:v>
      </x:c>
      <x:c r="H34" s="3">
        <x:v>2478198.4510865202</x:v>
      </x:c>
      <x:c r="I34" s="6" t="e">
        <x:f>SUMIF([1]Pengiriman!P:P,B34,[1]Pengiriman!X:X)</x:f>
        <x:v>#NAME?</x:v>
      </x:c>
    </x:row>
    <x:row r="35">
      <x:c r="A35" s="2" t="s">
        <x:v>75</x:v>
      </x:c>
      <x:c r="B35" s="2">
        <x:v>5660</x:v>
      </x:c>
      <x:c r="C35" s="2">
        <x:v>12747</x:v>
      </x:c>
      <x:c r="D35" s="2" t="s">
        <x:v>107</x:v>
      </x:c>
      <x:c r="E35" s="2">
        <x:v>73</x:v>
      </x:c>
      <x:c r="F35" s="2">
        <x:v>302</x:v>
      </x:c>
      <x:c r="G35" s="3">
        <x:f t="shared" si="0"/>
        <x:v>11104.43839995545</x:v>
      </x:c>
      <x:c r="H35" s="3">
        <x:v>3353540.3967865459</x:v>
      </x:c>
      <x:c r="I35" s="6" t="e">
        <x:f>SUMIF([1]Pengiriman!P:P,B35,[1]Pengiriman!X:X)</x:f>
        <x:v>#NAME?</x:v>
      </x:c>
    </x:row>
    <x:row r="36">
      <x:c r="A36" s="2" t="s">
        <x:v>75</x:v>
      </x:c>
      <x:c r="B36" s="2">
        <x:v>5661</x:v>
      </x:c>
      <x:c r="C36" s="2">
        <x:v>12748</x:v>
      </x:c>
      <x:c r="D36" s="2" t="s">
        <x:v>108</x:v>
      </x:c>
      <x:c r="E36" s="2">
        <x:v>37</x:v>
      </x:c>
      <x:c r="F36" s="2">
        <x:v>151</x:v>
      </x:c>
      <x:c r="G36" s="3">
        <x:f t="shared" si="0"/>
        <x:v>11205.945006148297</x:v>
      </x:c>
      <x:c r="H36" s="3">
        <x:v>1692097.6959283929</x:v>
      </x:c>
      <x:c r="I36" s="6" t="e">
        <x:f>SUMIF([1]Pengiriman!P:P,B36,[1]Pengiriman!X:X)</x:f>
        <x:v>#NAME?</x:v>
      </x:c>
    </x:row>
    <x:row r="37">
      <x:c r="A37" s="2" t="s">
        <x:v>75</x:v>
      </x:c>
      <x:c r="B37" s="2">
        <x:v>5662</x:v>
      </x:c>
      <x:c r="C37" s="2">
        <x:v>12749</x:v>
      </x:c>
      <x:c r="D37" s="2" t="s">
        <x:v>85</x:v>
      </x:c>
      <x:c r="E37" s="2">
        <x:v>42</x:v>
      </x:c>
      <x:c r="F37" s="2">
        <x:v>136</x:v>
      </x:c>
      <x:c r="G37" s="3">
        <x:f t="shared" si="0"/>
        <x:v>11155.052488142617</x:v>
      </x:c>
      <x:c r="H37" s="3">
        <x:v>1517087.138387396</x:v>
      </x:c>
      <x:c r="I37" s="6" t="e">
        <x:f>SUMIF([1]Pengiriman!P:P,B37,[1]Pengiriman!X:X)</x:f>
        <x:v>#NAME?</x:v>
      </x:c>
    </x:row>
    <x:row r="38">
      <x:c r="A38" s="2" t="s">
        <x:v>75</x:v>
      </x:c>
      <x:c r="B38" s="2">
        <x:v>5735</x:v>
      </x:c>
      <x:c r="C38" s="2">
        <x:v>12777</x:v>
      </x:c>
      <x:c r="D38" s="2" t="s">
        <x:v>109</x:v>
      </x:c>
      <x:c r="E38" s="2">
        <x:v>46</x:v>
      </x:c>
      <x:c r="F38" s="2">
        <x:v>225</x:v>
      </x:c>
      <x:c r="G38" s="3">
        <x:f t="shared" si="0"/>
        <x:v>10915.179732241537</x:v>
      </x:c>
      <x:c r="H38" s="3">
        <x:v>2455915.4397543459</x:v>
      </x:c>
      <x:c r="I38" s="6" t="e">
        <x:f>SUMIF([1]Pengiriman!P:P,B38,[1]Pengiriman!X:X)</x:f>
        <x:v>#NAME?</x:v>
      </x:c>
    </x:row>
    <x:row r="39">
      <x:c r="A39" s="2" t="s">
        <x:v>75</x:v>
      </x:c>
      <x:c r="B39" s="2">
        <x:v>5736</x:v>
      </x:c>
      <x:c r="C39" s="2">
        <x:v>12778</x:v>
      </x:c>
      <x:c r="D39" s="2" t="s">
        <x:v>110</x:v>
      </x:c>
      <x:c r="E39" s="2">
        <x:v>44</x:v>
      </x:c>
      <x:c r="F39" s="2">
        <x:v>225</x:v>
      </x:c>
      <x:c r="G39" s="3">
        <x:f t="shared" si="0"/>
        <x:v>10990.176349802978</x:v>
      </x:c>
      <x:c r="H39" s="3">
        <x:v>2472789.6787056699</x:v>
      </x:c>
      <x:c r="I39" s="6" t="e">
        <x:f>SUMIF([1]Pengiriman!P:P,B39,[1]Pengiriman!X:X)</x:f>
        <x:v>#NAME?</x:v>
      </x:c>
    </x:row>
    <x:row r="40">
      <x:c r="A40" s="2" t="s">
        <x:v>75</x:v>
      </x:c>
      <x:c r="B40" s="2">
        <x:v>5761</x:v>
      </x:c>
      <x:c r="C40" s="2">
        <x:v>12780</x:v>
      </x:c>
      <x:c r="D40" s="2" t="s">
        <x:v>96</x:v>
      </x:c>
      <x:c r="E40" s="2">
        <x:v>12</x:v>
      </x:c>
      <x:c r="F40" s="2">
        <x:v>66</x:v>
      </x:c>
      <x:c r="G40" s="3">
        <x:f t="shared" si="0"/>
        <x:v>11023.708005125818</x:v>
      </x:c>
      <x:c r="H40" s="3">
        <x:v>727564.72833830398</x:v>
      </x:c>
      <x:c r="I40" s="6" t="e">
        <x:f>SUMIF([1]Pengiriman!P:P,B40,[1]Pengiriman!X:X)</x:f>
        <x:v>#NAME?</x:v>
      </x:c>
    </x:row>
    <x:row r="41">
      <x:c r="A41" s="2" t="s">
        <x:v>75</x:v>
      </x:c>
      <x:c r="B41" s="2">
        <x:v>5763</x:v>
      </x:c>
      <x:c r="C41" s="2">
        <x:v>12781</x:v>
      </x:c>
      <x:c r="D41" s="2" t="s">
        <x:v>88</x:v>
      </x:c>
      <x:c r="E41" s="2">
        <x:v>10</x:v>
      </x:c>
      <x:c r="F41" s="2">
        <x:v>65</x:v>
      </x:c>
      <x:c r="G41" s="3">
        <x:f t="shared" si="0"/>
        <x:v>11029.897263959523</x:v>
      </x:c>
      <x:c r="H41" s="3">
        <x:v>716943.322157369</x:v>
      </x:c>
      <x:c r="I41" s="6" t="e">
        <x:f>SUMIF([1]Pengiriman!P:P,B41,[1]Pengiriman!X:X)</x:f>
        <x:v>#NAME?</x:v>
      </x:c>
    </x:row>
    <x:row r="42">
      <x:c r="A42" s="2" t="s">
        <x:v>75</x:v>
      </x:c>
      <x:c r="B42" s="2">
        <x:v>5767</x:v>
      </x:c>
      <x:c r="C42" s="2">
        <x:v>12783</x:v>
      </x:c>
      <x:c r="D42" s="2" t="s">
        <x:v>92</x:v>
      </x:c>
      <x:c r="E42" s="2">
        <x:v>18</x:v>
      </x:c>
      <x:c r="F42" s="2">
        <x:v>80</x:v>
      </x:c>
      <x:c r="G42" s="3">
        <x:f t="shared" si="0"/>
        <x:v>10871.491158400137</x:v>
      </x:c>
      <x:c r="H42" s="3">
        <x:v>869719.29267201095</x:v>
      </x:c>
      <x:c r="I42" s="6" t="e">
        <x:f>SUMIF([1]Pengiriman!P:P,B42,[1]Pengiriman!X:X)</x:f>
        <x:v>#NAME?</x:v>
      </x:c>
    </x:row>
    <x:row r="43">
      <x:c r="A43" s="2" t="s">
        <x:v>75</x:v>
      </x:c>
      <x:c r="B43" s="2">
        <x:v>5774</x:v>
      </x:c>
      <x:c r="C43" s="2">
        <x:v>12785</x:v>
      </x:c>
      <x:c r="D43" s="2" t="s">
        <x:v>111</x:v>
      </x:c>
      <x:c r="E43" s="2">
        <x:v>35</x:v>
      </x:c>
      <x:c r="F43" s="2">
        <x:v>186</x:v>
      </x:c>
      <x:c r="G43" s="3">
        <x:f t="shared" si="0"/>
        <x:v>10412.013236952689</x:v>
      </x:c>
      <x:c r="H43" s="3">
        <x:v>1936634.4620732001</x:v>
      </x:c>
      <x:c r="I43" s="6" t="e">
        <x:f>SUMIF([1]Pengiriman!P:P,B43,[1]Pengiriman!X:X)</x:f>
        <x:v>#NAME?</x:v>
      </x:c>
    </x:row>
    <x:row r="44">
      <x:c r="A44" s="2" t="s">
        <x:v>75</x:v>
      </x:c>
      <x:c r="B44" s="2">
        <x:v>5785</x:v>
      </x:c>
      <x:c r="C44" s="2">
        <x:v>12787</x:v>
      </x:c>
      <x:c r="D44" s="2" t="s">
        <x:v>112</x:v>
      </x:c>
      <x:c r="E44" s="2">
        <x:v>15</x:v>
      </x:c>
      <x:c r="F44" s="2">
        <x:v>79</x:v>
      </x:c>
      <x:c r="G44" s="3">
        <x:f t="shared" si="0"/>
        <x:v>11053.441721358682</x:v>
      </x:c>
      <x:c r="H44" s="3">
        <x:v>873221.89598733594</x:v>
      </x:c>
      <x:c r="I44" s="6" t="e">
        <x:f>SUMIF([1]Pengiriman!P:P,B44,[1]Pengiriman!X:X)</x:f>
        <x:v>#NAME?</x:v>
      </x:c>
    </x:row>
    <x:row r="45">
      <x:c r="A45" s="2" t="s">
        <x:v>75</x:v>
      </x:c>
      <x:c r="B45" s="2">
        <x:v>5792</x:v>
      </x:c>
      <x:c r="C45" s="2">
        <x:v>12789</x:v>
      </x:c>
      <x:c r="D45" s="2" t="s">
        <x:v>113</x:v>
      </x:c>
      <x:c r="E45" s="2">
        <x:v>17</x:v>
      </x:c>
      <x:c r="F45" s="2">
        <x:v>111</x:v>
      </x:c>
      <x:c r="G45" s="3">
        <x:f t="shared" si="0"/>
        <x:v>10501.178440395001</x:v>
      </x:c>
      <x:c r="H45" s="3">
        <x:v>1165630.806883845</x:v>
      </x:c>
      <x:c r="I45" s="6" t="e">
        <x:f>SUMIF([1]Pengiriman!P:P,B45,[1]Pengiriman!X:X)</x:f>
        <x:v>#NAME?</x:v>
      </x:c>
    </x:row>
    <x:row r="46">
      <x:c r="A46" s="2" t="s">
        <x:v>75</x:v>
      </x:c>
      <x:c r="B46" s="2">
        <x:v>5793</x:v>
      </x:c>
      <x:c r="C46" s="2">
        <x:v>12790</x:v>
      </x:c>
      <x:c r="D46" s="2" t="s">
        <x:v>110</x:v>
      </x:c>
      <x:c r="E46" s="2">
        <x:v>23</x:v>
      </x:c>
      <x:c r="F46" s="2">
        <x:v>114</x:v>
      </x:c>
      <x:c r="G46" s="3">
        <x:f t="shared" si="0"/>
        <x:v>10918.229726737236</x:v>
      </x:c>
      <x:c r="H46" s="3">
        <x:v>1244678.188848045</x:v>
      </x:c>
      <x:c r="I46" s="6" t="e">
        <x:f>SUMIF([1]Pengiriman!P:P,B46,[1]Pengiriman!X:X)</x:f>
        <x:v>#NAME?</x:v>
      </x:c>
    </x:row>
    <x:row r="47">
      <x:c r="A47" s="2" t="s">
        <x:v>75</x:v>
      </x:c>
      <x:c r="B47" s="2">
        <x:v>5794</x:v>
      </x:c>
      <x:c r="C47" s="2">
        <x:v>12791</x:v>
      </x:c>
      <x:c r="D47" s="2" t="s">
        <x:v>109</x:v>
      </x:c>
      <x:c r="E47" s="2">
        <x:v>18</x:v>
      </x:c>
      <x:c r="F47" s="2">
        <x:v>88</x:v>
      </x:c>
      <x:c r="G47" s="3">
        <x:f t="shared" si="0"/>
        <x:v>11166.993586348295</x:v>
      </x:c>
      <x:c r="H47" s="3">
        <x:v>982695.43559865002</x:v>
      </x:c>
      <x:c r="I47" s="6" t="e">
        <x:f>SUMIF([1]Pengiriman!P:P,B47,[1]Pengiriman!X:X)</x:f>
        <x:v>#NAME?</x:v>
      </x:c>
    </x:row>
    <x:row r="48">
      <x:c r="A48" s="2" t="s">
        <x:v>75</x:v>
      </x:c>
      <x:c r="B48" s="2">
        <x:v>5795</x:v>
      </x:c>
      <x:c r="C48" s="2">
        <x:v>12792</x:v>
      </x:c>
      <x:c r="D48" s="2" t="s">
        <x:v>114</x:v>
      </x:c>
      <x:c r="E48" s="2">
        <x:v>9</x:v>
      </x:c>
      <x:c r="F48" s="2">
        <x:v>44</x:v>
      </x:c>
      <x:c r="G48" s="3">
        <x:f t="shared" si="0"/>
        <x:v>11166.993586348319</x:v>
      </x:c>
      <x:c r="H48" s="3">
        <x:v>491347.717799326</x:v>
      </x:c>
      <x:c r="I48" s="6" t="e">
        <x:f>SUMIF([1]Pengiriman!P:P,B48,[1]Pengiriman!X:X)</x:f>
        <x:v>#NAME?</x:v>
      </x:c>
    </x:row>
    <x:row r="49">
      <x:c r="A49" s="2" t="s">
        <x:v>75</x:v>
      </x:c>
      <x:c r="B49" s="2">
        <x:v>5796</x:v>
      </x:c>
      <x:c r="C49" s="2">
        <x:v>12793</x:v>
      </x:c>
      <x:c r="D49" s="2" t="s">
        <x:v>106</x:v>
      </x:c>
      <x:c r="E49" s="2">
        <x:v>11</x:v>
      </x:c>
      <x:c r="F49" s="2">
        <x:v>44</x:v>
      </x:c>
      <x:c r="G49" s="3">
        <x:f t="shared" si="0"/>
        <x:v>11166.993586348319</x:v>
      </x:c>
      <x:c r="H49" s="3">
        <x:v>491347.717799326</x:v>
      </x:c>
      <x:c r="I49" s="6" t="e">
        <x:f>SUMIF([1]Pengiriman!P:P,B49,[1]Pengiriman!X:X)</x:f>
        <x:v>#NAME?</x:v>
      </x:c>
    </x:row>
    <x:row r="50">
      <x:c r="A50" s="2" t="s">
        <x:v>75</x:v>
      </x:c>
      <x:c r="B50" s="2">
        <x:v>5797</x:v>
      </x:c>
      <x:c r="C50" s="2">
        <x:v>12794</x:v>
      </x:c>
      <x:c r="D50" s="2" t="s">
        <x:v>115</x:v>
      </x:c>
      <x:c r="E50" s="2">
        <x:v>4</x:v>
      </x:c>
      <x:c r="F50" s="2">
        <x:v>18</x:v>
      </x:c>
      <x:c r="G50" s="3">
        <x:f t="shared" si="0"/>
        <x:v>11166.99358634839</x:v>
      </x:c>
      <x:c r="H50" s="3">
        <x:v>201005.884554271</x:v>
      </x:c>
      <x:c r="I50" s="6" t="e">
        <x:f>SUMIF([1]Pengiriman!P:P,B50,[1]Pengiriman!X:X)</x:f>
        <x:v>#NAME?</x:v>
      </x:c>
    </x:row>
    <x:row r="51">
      <x:c r="A51" s="2" t="s">
        <x:v>75</x:v>
      </x:c>
      <x:c r="B51" s="2">
        <x:v>5804</x:v>
      </x:c>
      <x:c r="C51" s="2">
        <x:v>12796</x:v>
      </x:c>
      <x:c r="D51" s="2" t="s">
        <x:v>116</x:v>
      </x:c>
      <x:c r="E51" s="2">
        <x:v>39</x:v>
      </x:c>
      <x:c r="F51" s="2">
        <x:v>194</x:v>
      </x:c>
      <x:c r="G51" s="3">
        <x:f t="shared" si="0"/>
        <x:v>10307.62752587361</x:v>
      </x:c>
      <x:c r="H51" s="3">
        <x:v>1999679.7400194802</x:v>
      </x:c>
      <x:c r="I51" s="6" t="e">
        <x:f>SUMIF([1]Pengiriman!P:P,B51,[1]Pengiriman!X:X)</x:f>
        <x:v>#NAME?</x:v>
      </x:c>
    </x:row>
    <x:row r="52">
      <x:c r="A52" s="2" t="s">
        <x:v>75</x:v>
      </x:c>
      <x:c r="B52" s="2">
        <x:v>5663</x:v>
      </x:c>
      <x:c r="C52" s="2">
        <x:v>12750</x:v>
      </x:c>
      <x:c r="D52" s="2" t="s">
        <x:v>117</x:v>
      </x:c>
      <x:c r="E52" s="2">
        <x:v>31</x:v>
      </x:c>
      <x:c r="F52" s="2">
        <x:v>107</x:v>
      </x:c>
      <x:c r="G52" s="3">
        <x:f t="shared" si="0"/>
        <x:v>11325.321154481298</x:v>
      </x:c>
      <x:c r="H52" s="3">
        <x:v>1211809.3635294989</x:v>
      </x:c>
      <x:c r="I52" s="6" t="e">
        <x:f>SUMIF([1]Pengiriman!P:P,B52,[1]Pengiriman!X:X)</x:f>
        <x:v>#NAME?</x:v>
      </x:c>
    </x:row>
    <x:row r="53">
      <x:c r="A53" s="2" t="s">
        <x:v>75</x:v>
      </x:c>
      <x:c r="B53" s="2">
        <x:v>5690</x:v>
      </x:c>
      <x:c r="C53" s="2">
        <x:v>12762</x:v>
      </x:c>
      <x:c r="D53" s="2" t="s">
        <x:v>101</x:v>
      </x:c>
      <x:c r="E53" s="2">
        <x:v>34</x:v>
      </x:c>
      <x:c r="F53" s="2">
        <x:v>225</x:v>
      </x:c>
      <x:c r="G53" s="3">
        <x:f t="shared" si="0"/>
        <x:v>10990.15265987269</x:v>
      </x:c>
      <x:c r="H53" s="3">
        <x:v>2472784.3484713552</x:v>
      </x:c>
      <x:c r="I53" s="6" t="e">
        <x:f>SUMIF([1]Pengiriman!P:P,B53,[1]Pengiriman!X:X)</x:f>
        <x:v>#NAME?</x:v>
      </x:c>
    </x:row>
    <x:row r="54">
      <x:c r="A54" s="2" t="s">
        <x:v>75</x:v>
      </x:c>
      <x:c r="B54" s="2">
        <x:v>5699</x:v>
      </x:c>
      <x:c r="C54" s="2">
        <x:v>12763</x:v>
      </x:c>
      <x:c r="D54" s="2" t="s">
        <x:v>116</x:v>
      </x:c>
      <x:c r="E54" s="2">
        <x:v>44</x:v>
      </x:c>
      <x:c r="F54" s="2">
        <x:v>225</x:v>
      </x:c>
      <x:c r="G54" s="3">
        <x:f t="shared" si="0"/>
        <x:v>10988.155747706311</x:v>
      </x:c>
      <x:c r="H54" s="3">
        <x:v>2472335.0432339199</x:v>
      </x:c>
      <x:c r="I54" s="6" t="e">
        <x:f>SUMIF([1]Pengiriman!P:P,B54,[1]Pengiriman!X:X)</x:f>
        <x:v>#NAME?</x:v>
      </x:c>
    </x:row>
    <x:row r="55">
      <x:c r="A55" s="2" t="s">
        <x:v>75</x:v>
      </x:c>
      <x:c r="B55" s="2">
        <x:v>5700</x:v>
      </x:c>
      <x:c r="C55" s="2">
        <x:v>12764</x:v>
      </x:c>
      <x:c r="D55" s="2" t="s">
        <x:v>118</x:v>
      </x:c>
      <x:c r="E55" s="2">
        <x:v>33</x:v>
      </x:c>
      <x:c r="F55" s="2">
        <x:v>225</x:v>
      </x:c>
      <x:c r="G55" s="3">
        <x:f t="shared" si="0"/>
        <x:v>10987.369085337512</x:v>
      </x:c>
      <x:c r="H55" s="3">
        <x:v>2472158.0442009401</x:v>
      </x:c>
      <x:c r="I55" s="6" t="e">
        <x:f>SUMIF([1]Pengiriman!P:P,B55,[1]Pengiriman!X:X)</x:f>
        <x:v>#NAME?</x:v>
      </x:c>
    </x:row>
    <x:row r="56">
      <x:c r="A56" s="2" t="s">
        <x:v>75</x:v>
      </x:c>
      <x:c r="B56" s="2">
        <x:v>5705</x:v>
      </x:c>
      <x:c r="C56" s="2">
        <x:v>12765</x:v>
      </x:c>
      <x:c r="D56" s="2" t="s">
        <x:v>111</x:v>
      </x:c>
      <x:c r="E56" s="2">
        <x:v>44</x:v>
      </x:c>
      <x:c r="F56" s="2">
        <x:v>225</x:v>
      </x:c>
      <x:c r="G56" s="3">
        <x:f t="shared" si="0"/>
        <x:v>10988.04580691593</x:v>
      </x:c>
      <x:c r="H56" s="3">
        <x:v>2472310.3065560842</x:v>
      </x:c>
      <x:c r="I56" s="6" t="e">
        <x:f>SUMIF([1]Pengiriman!P:P,B56,[1]Pengiriman!X:X)</x:f>
        <x:v>#NAME?</x:v>
      </x:c>
    </x:row>
    <x:row r="57">
      <x:c r="A57" s="2" t="s">
        <x:v>75</x:v>
      </x:c>
      <x:c r="B57" s="2">
        <x:v>5713</x:v>
      </x:c>
      <x:c r="C57" s="2">
        <x:v>12766</x:v>
      </x:c>
      <x:c r="D57" s="2" t="s">
        <x:v>114</x:v>
      </x:c>
      <x:c r="E57" s="2">
        <x:v>42</x:v>
      </x:c>
      <x:c r="F57" s="2">
        <x:v>225</x:v>
      </x:c>
      <x:c r="G57" s="3">
        <x:f t="shared" si="0"/>
        <x:v>10990.273684852413</x:v>
      </x:c>
      <x:c r="H57" s="3">
        <x:v>2472811.5790917929</x:v>
      </x:c>
      <x:c r="I57" s="6" t="e">
        <x:f>SUMIF([1]Pengiriman!P:P,B57,[1]Pengiriman!X:X)</x:f>
        <x:v>#NAME?</x:v>
      </x:c>
    </x:row>
    <x:row r="58">
      <x:c r="A58" s="2" t="s">
        <x:v>75</x:v>
      </x:c>
      <x:c r="B58" s="2">
        <x:v>5720</x:v>
      </x:c>
      <x:c r="C58" s="2">
        <x:v>12767</x:v>
      </x:c>
      <x:c r="D58" s="2" t="s">
        <x:v>119</x:v>
      </x:c>
      <x:c r="E58" s="2">
        <x:v>0</x:v>
      </x:c>
      <x:c r="F58" s="2">
        <x:v>225</x:v>
      </x:c>
      <x:c r="G58" s="3">
        <x:f t="shared" si="0"/>
        <x:v>11017.577990866816</x:v>
      </x:c>
      <x:c r="H58" s="3">
        <x:v>2478955.0479450333</x:v>
      </x:c>
      <x:c r="I58" s="6" t="e">
        <x:f>SUMIF([1]Pengiriman!P:P,B58,[1]Pengiriman!X:X)</x:f>
        <x:v>#NAME?</x:v>
      </x:c>
    </x:row>
    <x:row r="59">
      <x:c r="A59" s="2" t="s">
        <x:v>75</x:v>
      </x:c>
      <x:c r="B59" s="2">
        <x:v>5724</x:v>
      </x:c>
      <x:c r="C59" s="2">
        <x:v>12768</x:v>
      </x:c>
      <x:c r="D59" s="2" t="s">
        <x:v>101</x:v>
      </x:c>
      <x:c r="E59" s="2">
        <x:v>31</x:v>
      </x:c>
      <x:c r="F59" s="2">
        <x:v>197</x:v>
      </x:c>
      <x:c r="G59" s="3">
        <x:f t="shared" si="0"/>
        <x:v>10970.731806338948</x:v>
      </x:c>
      <x:c r="H59" s="3">
        <x:v>2161234.165848773</x:v>
      </x:c>
      <x:c r="I59" s="6" t="e">
        <x:f>SUMIF([1]Pengiriman!P:P,B59,[1]Pengiriman!X:X)</x:f>
        <x:v>#NAME?</x:v>
      </x:c>
    </x:row>
    <x:row r="60">
      <x:c r="A60" s="2" t="s">
        <x:v>75</x:v>
      </x:c>
      <x:c r="B60" s="2">
        <x:v>5726</x:v>
      </x:c>
      <x:c r="C60" s="2">
        <x:v>12770</x:v>
      </x:c>
      <x:c r="D60" s="2" t="s">
        <x:v>112</x:v>
      </x:c>
      <x:c r="E60" s="2">
        <x:v>43</x:v>
      </x:c>
      <x:c r="F60" s="2">
        <x:v>225</x:v>
      </x:c>
      <x:c r="G60" s="3">
        <x:f t="shared" si="0"/>
        <x:v>10995.735646882431</x:v>
      </x:c>
      <x:c r="H60" s="3">
        <x:v>2474040.5205485472</x:v>
      </x:c>
      <x:c r="I60" s="6" t="e">
        <x:f>SUMIF([1]Pengiriman!P:P,B60,[1]Pengiriman!X:X)</x:f>
        <x:v>#NAME?</x:v>
      </x:c>
    </x:row>
    <x:row r="61">
      <x:c r="A61" s="2" t="s">
        <x:v>75</x:v>
      </x:c>
      <x:c r="B61" s="2">
        <x:v>5729</x:v>
      </x:c>
      <x:c r="C61" s="2">
        <x:v>12772</x:v>
      </x:c>
      <x:c r="D61" s="2" t="s">
        <x:v>95</x:v>
      </x:c>
      <x:c r="E61" s="2">
        <x:v>16</x:v>
      </x:c>
      <x:c r="F61" s="2">
        <x:v>78</x:v>
      </x:c>
      <x:c r="G61" s="3">
        <x:f t="shared" si="0"/>
        <x:v>10988.975452797846</x:v>
      </x:c>
      <x:c r="H61" s="3">
        <x:v>857140.08531823196</x:v>
      </x:c>
      <x:c r="I61" s="6" t="e">
        <x:f>SUMIF([1]Pengiriman!P:P,B61,[1]Pengiriman!X:X)</x:f>
        <x:v>#NAME?</x:v>
      </x:c>
    </x:row>
    <x:row r="62">
      <x:c r="A62" s="2" t="s">
        <x:v>75</x:v>
      </x:c>
      <x:c r="B62" s="2">
        <x:v>5730</x:v>
      </x:c>
      <x:c r="C62" s="2">
        <x:v>12773</x:v>
      </x:c>
      <x:c r="D62" s="2" t="s">
        <x:v>120</x:v>
      </x:c>
      <x:c r="E62" s="2">
        <x:v>35</x:v>
      </x:c>
      <x:c r="F62" s="2">
        <x:v>225</x:v>
      </x:c>
      <x:c r="G62" s="3">
        <x:f t="shared" si="0"/>
        <x:v>10912.288587607341</x:v>
      </x:c>
      <x:c r="H62" s="3">
        <x:v>2455264.9322116519</x:v>
      </x:c>
      <x:c r="I62" s="6" t="e">
        <x:f>SUMIF([1]Pengiriman!P:P,B62,[1]Pengiriman!X:X)</x:f>
        <x:v>#NAME?</x:v>
      </x:c>
    </x:row>
    <x:row r="63">
      <x:c r="A63" s="2" t="s">
        <x:v>75</x:v>
      </x:c>
      <x:c r="B63" s="2">
        <x:v>5732</x:v>
      </x:c>
      <x:c r="C63" s="2">
        <x:v>12774</x:v>
      </x:c>
      <x:c r="D63" s="2" t="s">
        <x:v>118</x:v>
      </x:c>
      <x:c r="E63" s="2">
        <x:v>36</x:v>
      </x:c>
      <x:c r="F63" s="2">
        <x:v>225</x:v>
      </x:c>
      <x:c r="G63" s="3">
        <x:f t="shared" si="0"/>
        <x:v>10949.330920992876</x:v>
      </x:c>
      <x:c r="H63" s="3">
        <x:v>2463599.4572233972</x:v>
      </x:c>
      <x:c r="I63" s="6" t="e">
        <x:f>SUMIF([1]Pengiriman!P:P,B63,[1]Pengiriman!X:X)</x:f>
        <x:v>#NAME?</x:v>
      </x:c>
    </x:row>
    <x:row r="64">
      <x:c r="A64" s="2" t="s">
        <x:v>75</x:v>
      </x:c>
      <x:c r="B64" s="2">
        <x:v>5733</x:v>
      </x:c>
      <x:c r="C64" s="2">
        <x:v>12775</x:v>
      </x:c>
      <x:c r="D64" s="2" t="s">
        <x:v>121</x:v>
      </x:c>
      <x:c r="E64" s="2">
        <x:v>47</x:v>
      </x:c>
      <x:c r="F64" s="2">
        <x:v>225</x:v>
      </x:c>
      <x:c r="G64" s="3">
        <x:f t="shared" si="0"/>
        <x:v>10988.082102586888</x:v>
      </x:c>
      <x:c r="H64" s="3">
        <x:v>2472318.4730820497</x:v>
      </x:c>
      <x:c r="I64" s="6" t="e">
        <x:f>SUMIF([1]Pengiriman!P:P,B64,[1]Pengiriman!X:X)</x:f>
        <x:v>#NAME?</x:v>
      </x:c>
    </x:row>
    <x:row r="65">
      <x:c r="A65" s="2" t="s">
        <x:v>75</x:v>
      </x:c>
      <x:c r="B65" s="2">
        <x:v>5672</x:v>
      </x:c>
      <x:c r="C65" s="2">
        <x:v>12751</x:v>
      </x:c>
      <x:c r="D65" s="2" t="s">
        <x:v>104</x:v>
      </x:c>
      <x:c r="E65" s="2">
        <x:v>0</x:v>
      </x:c>
      <x:c r="F65" s="2">
        <x:v>225</x:v>
      </x:c>
      <x:c r="G65" s="3">
        <x:f t="shared" si="0"/>
        <x:v>11280.852407752043</x:v>
      </x:c>
      <x:c r="H65" s="3">
        <x:v>2538191.7917442098</x:v>
      </x:c>
      <x:c r="I65" s="6" t="e">
        <x:f>SUMIF([1]Pengiriman!P:P,B65,[1]Pengiriman!X:X)</x:f>
        <x:v>#NAME?</x:v>
      </x:c>
    </x:row>
    <x:row r="66">
      <x:c r="A66" s="2" t="s">
        <x:v>75</x:v>
      </x:c>
      <x:c r="B66" s="2">
        <x:v>5673</x:v>
      </x:c>
      <x:c r="C66" s="2">
        <x:v>12752</x:v>
      </x:c>
      <x:c r="D66" s="2" t="s">
        <x:v>5</x:v>
      </x:c>
      <x:c r="E66" s="2">
        <x:v>0</x:v>
      </x:c>
      <x:c r="F66" s="2">
        <x:v>435</x:v>
      </x:c>
      <x:c r="G66" s="3" t="n">
        <x:f t="shared" ref="G66:G129" si="1">H66/F66</x:f>
        <x:v>11552.52411294999</x:v>
      </x:c>
      <x:c r="H66" s="3">
        <x:v>5025347.9891332453</x:v>
      </x:c>
      <x:c r="I66" s="6" t="e">
        <x:f>SUMIF([1]Pengiriman!P:P,B66,[1]Pengiriman!X:X)</x:f>
        <x:v>#NAME?</x:v>
      </x:c>
    </x:row>
    <x:row r="67">
      <x:c r="A67" s="2" t="s">
        <x:v>75</x:v>
      </x:c>
      <x:c r="B67" s="2">
        <x:v>5680</x:v>
      </x:c>
      <x:c r="C67" s="2">
        <x:v>12753</x:v>
      </x:c>
      <x:c r="D67" s="2" t="s">
        <x:v>101</x:v>
      </x:c>
      <x:c r="E67" s="2">
        <x:v>35</x:v>
      </x:c>
      <x:c r="F67" s="2">
        <x:v>225</x:v>
      </x:c>
      <x:c r="G67" s="3">
        <x:f t="shared" si="1"/>
        <x:v>10978.655286793022</x:v>
      </x:c>
      <x:c r="H67" s="3">
        <x:v>2470197.4395284299</x:v>
      </x:c>
      <x:c r="I67" s="6" t="e">
        <x:f>SUMIF([1]Pengiriman!P:P,B67,[1]Pengiriman!X:X)</x:f>
        <x:v>#NAME?</x:v>
      </x:c>
    </x:row>
    <x:row r="68">
      <x:c r="A68" s="2" t="s">
        <x:v>75</x:v>
      </x:c>
      <x:c r="B68" s="2">
        <x:v>5682</x:v>
      </x:c>
      <x:c r="C68" s="2">
        <x:v>12754</x:v>
      </x:c>
      <x:c r="D68" s="2" t="s">
        <x:v>112</x:v>
      </x:c>
      <x:c r="E68" s="2">
        <x:v>43</x:v>
      </x:c>
      <x:c r="F68" s="2">
        <x:v>225</x:v>
      </x:c>
      <x:c r="G68" s="3">
        <x:f t="shared" si="1"/>
        <x:v>10978.655286793022</x:v>
      </x:c>
      <x:c r="H68" s="3">
        <x:v>2470197.4395284299</x:v>
      </x:c>
      <x:c r="I68" s="6" t="e">
        <x:f>SUMIF([1]Pengiriman!P:P,B68,[1]Pengiriman!X:X)</x:f>
        <x:v>#NAME?</x:v>
      </x:c>
    </x:row>
    <x:row r="69">
      <x:c r="A69" s="2" t="s">
        <x:v>75</x:v>
      </x:c>
      <x:c r="B69" s="2">
        <x:v>5683</x:v>
      </x:c>
      <x:c r="C69" s="2">
        <x:v>12755</x:v>
      </x:c>
      <x:c r="D69" s="2" t="s">
        <x:v>122</x:v>
      </x:c>
      <x:c r="E69" s="2">
        <x:v>32</x:v>
      </x:c>
      <x:c r="F69" s="2">
        <x:v>133</x:v>
      </x:c>
      <x:c r="G69" s="3">
        <x:f t="shared" si="1"/>
        <x:v>10978.655286793157</x:v>
      </x:c>
      <x:c r="H69" s="3">
        <x:v>1460161.15314349</x:v>
      </x:c>
      <x:c r="I69" s="6" t="e">
        <x:f>SUMIF([1]Pengiriman!P:P,B69,[1]Pengiriman!X:X)</x:f>
        <x:v>#NAME?</x:v>
      </x:c>
    </x:row>
    <x:row r="70">
      <x:c r="A70" s="2" t="s">
        <x:v>75</x:v>
      </x:c>
      <x:c r="B70" s="2">
        <x:v>5684</x:v>
      </x:c>
      <x:c r="C70" s="2">
        <x:v>12756</x:v>
      </x:c>
      <x:c r="D70" s="2" t="s">
        <x:v>123</x:v>
      </x:c>
      <x:c r="E70" s="2">
        <x:v>11</x:v>
      </x:c>
      <x:c r="F70" s="2">
        <x:v>52</x:v>
      </x:c>
      <x:c r="G70" s="3">
        <x:f t="shared" si="1"/>
        <x:v>10978.655286793115</x:v>
      </x:c>
      <x:c r="H70" s="3">
        <x:v>570890.07491324202</x:v>
      </x:c>
      <x:c r="I70" s="6" t="e">
        <x:f>SUMIF([1]Pengiriman!P:P,B70,[1]Pengiriman!X:X)</x:f>
        <x:v>#NAME?</x:v>
      </x:c>
    </x:row>
    <x:row r="71">
      <x:c r="A71" s="2" t="s">
        <x:v>75</x:v>
      </x:c>
      <x:c r="B71" s="2">
        <x:v>5685</x:v>
      </x:c>
      <x:c r="C71" s="2">
        <x:v>12757</x:v>
      </x:c>
      <x:c r="D71" s="2" t="s">
        <x:v>124</x:v>
      </x:c>
      <x:c r="E71" s="2">
        <x:v>22</x:v>
      </x:c>
      <x:c r="F71" s="2">
        <x:v>115</x:v>
      </x:c>
      <x:c r="G71" s="3">
        <x:f t="shared" si="1"/>
        <x:v>10978.655286793131</x:v>
      </x:c>
      <x:c r="H71" s="3">
        <x:v>1262545.3579812101</x:v>
      </x:c>
      <x:c r="I71" s="6" t="e">
        <x:f>SUMIF([1]Pengiriman!P:P,B71,[1]Pengiriman!X:X)</x:f>
        <x:v>#NAME?</x:v>
      </x:c>
    </x:row>
    <x:row r="72">
      <x:c r="A72" s="2" t="s">
        <x:v>75</x:v>
      </x:c>
      <x:c r="B72" s="2">
        <x:v>5686</x:v>
      </x:c>
      <x:c r="C72" s="2">
        <x:v>12758</x:v>
      </x:c>
      <x:c r="D72" s="2" t="s">
        <x:v>125</x:v>
      </x:c>
      <x:c r="E72" s="2">
        <x:v>11</x:v>
      </x:c>
      <x:c r="F72" s="2">
        <x:v>50</x:v>
      </x:c>
      <x:c r="G72" s="3">
        <x:f t="shared" si="1"/>
        <x:v>10978.655286793199</x:v>
      </x:c>
      <x:c r="H72" s="3">
        <x:v>548932.76433965995</x:v>
      </x:c>
      <x:c r="I72" s="6" t="e">
        <x:f>SUMIF([1]Pengiriman!P:P,B72,[1]Pengiriman!X:X)</x:f>
        <x:v>#NAME?</x:v>
      </x:c>
    </x:row>
    <x:row r="73">
      <x:c r="A73" s="2" t="s">
        <x:v>75</x:v>
      </x:c>
      <x:c r="B73" s="2">
        <x:v>5687</x:v>
      </x:c>
      <x:c r="C73" s="2">
        <x:v>12759</x:v>
      </x:c>
      <x:c r="D73" s="2" t="s">
        <x:v>126</x:v>
      </x:c>
      <x:c r="E73" s="2">
        <x:v>25</x:v>
      </x:c>
      <x:c r="F73" s="2">
        <x:v>136</x:v>
      </x:c>
      <x:c r="G73" s="3">
        <x:f t="shared" si="1"/>
        <x:v>10978.655286793088</x:v>
      </x:c>
      <x:c r="H73" s="3">
        <x:v>1493097.1190038598</x:v>
      </x:c>
      <x:c r="I73" s="6" t="e">
        <x:f>SUMIF([1]Pengiriman!P:P,B73,[1]Pengiriman!X:X)</x:f>
        <x:v>#NAME?</x:v>
      </x:c>
    </x:row>
    <x:row r="74">
      <x:c r="A74" s="2" t="s">
        <x:v>75</x:v>
      </x:c>
      <x:c r="B74" s="2">
        <x:v>5688</x:v>
      </x:c>
      <x:c r="C74" s="2">
        <x:v>12760</x:v>
      </x:c>
      <x:c r="D74" s="2" t="s">
        <x:v>127</x:v>
      </x:c>
      <x:c r="E74" s="2">
        <x:v>18</x:v>
      </x:c>
      <x:c r="F74" s="2">
        <x:v>105</x:v>
      </x:c>
      <x:c r="G74" s="3">
        <x:f t="shared" si="1"/>
        <x:v>10978.655286793239</x:v>
      </x:c>
      <x:c r="H74" s="3">
        <x:v>1152758.80511329</x:v>
      </x:c>
      <x:c r="I74" s="6" t="e">
        <x:f>SUMIF([1]Pengiriman!P:P,B74,[1]Pengiriman!X:X)</x:f>
        <x:v>#NAME?</x:v>
      </x:c>
    </x:row>
    <x:row r="75">
      <x:c r="A75" s="2" t="s">
        <x:v>75</x:v>
      </x:c>
      <x:c r="B75" s="2">
        <x:v>5689</x:v>
      </x:c>
      <x:c r="C75" s="2">
        <x:v>12761</x:v>
      </x:c>
      <x:c r="D75" s="2" t="s">
        <x:v>112</x:v>
      </x:c>
      <x:c r="E75" s="2">
        <x:v>42</x:v>
      </x:c>
      <x:c r="F75" s="2">
        <x:v>225</x:v>
      </x:c>
      <x:c r="G75" s="3">
        <x:f t="shared" si="1"/>
        <x:v>10984.343460843198</x:v>
      </x:c>
      <x:c r="H75" s="3">
        <x:v>2471477.2786897197</x:v>
      </x:c>
      <x:c r="I75" s="6" t="e">
        <x:f>SUMIF([1]Pengiriman!P:P,B75,[1]Pengiriman!X:X)</x:f>
        <x:v>#NAME?</x:v>
      </x:c>
    </x:row>
    <x:row r="76">
      <x:c r="A76" s="2" t="s">
        <x:v>75</x:v>
      </x:c>
      <x:c r="B76" s="2">
        <x:v>5725</x:v>
      </x:c>
      <x:c r="C76" s="2">
        <x:v>12769</x:v>
      </x:c>
      <x:c r="D76" s="2" t="s">
        <x:v>98</x:v>
      </x:c>
      <x:c r="E76" s="2">
        <x:v>22</x:v>
      </x:c>
      <x:c r="F76" s="2">
        <x:v>147</x:v>
      </x:c>
      <x:c r="G76" s="3">
        <x:f t="shared" si="1"/>
        <x:v>11006.336783793728</x:v>
      </x:c>
      <x:c r="H76" s="3">
        <x:v>1617931.507217678</x:v>
      </x:c>
      <x:c r="I76" s="6" t="e">
        <x:f>SUMIF([1]Pengiriman!P:P,B76,[1]Pengiriman!X:X)</x:f>
        <x:v>#NAME?</x:v>
      </x:c>
    </x:row>
    <x:row r="77">
      <x:c r="A77" s="2" t="s">
        <x:v>75</x:v>
      </x:c>
      <x:c r="B77" s="2">
        <x:v>5727</x:v>
      </x:c>
      <x:c r="C77" s="2">
        <x:v>12771</x:v>
      </x:c>
      <x:c r="D77" s="2" t="s">
        <x:v>99</x:v>
      </x:c>
      <x:c r="E77" s="2">
        <x:v>30</x:v>
      </x:c>
      <x:c r="F77" s="2">
        <x:v>167</x:v>
      </x:c>
      <x:c r="G77" s="3">
        <x:f t="shared" si="1"/>
        <x:v>11002.687973753485</x:v>
      </x:c>
      <x:c r="H77" s="3">
        <x:v>1837448.891616832</x:v>
      </x:c>
      <x:c r="I77" s="6" t="e">
        <x:f>SUMIF([1]Pengiriman!P:P,B77,[1]Pengiriman!X:X)</x:f>
        <x:v>#NAME?</x:v>
      </x:c>
    </x:row>
    <x:row r="78">
      <x:c r="A78" s="2" t="s">
        <x:v>75</x:v>
      </x:c>
      <x:c r="B78" s="2">
        <x:v>5734</x:v>
      </x:c>
      <x:c r="C78" s="2">
        <x:v>12776</x:v>
      </x:c>
      <x:c r="D78" s="2" t="s">
        <x:v>116</x:v>
      </x:c>
      <x:c r="E78" s="2">
        <x:v>45</x:v>
      </x:c>
      <x:c r="F78" s="2">
        <x:v>225</x:v>
      </x:c>
      <x:c r="G78" s="3">
        <x:f t="shared" si="1"/>
        <x:v>10862.79266206156</x:v>
      </x:c>
      <x:c r="H78" s="3">
        <x:v>2444128.3489638511</x:v>
      </x:c>
      <x:c r="I78" s="6" t="e">
        <x:f>SUMIF([1]Pengiriman!P:P,B78,[1]Pengiriman!X:X)</x:f>
        <x:v>#NAME?</x:v>
      </x:c>
    </x:row>
    <x:row r="79">
      <x:c r="A79" s="2" t="s">
        <x:v>75</x:v>
      </x:c>
      <x:c r="B79" s="2">
        <x:v>5737</x:v>
      </x:c>
      <x:c r="C79" s="2">
        <x:v>12779</x:v>
      </x:c>
      <x:c r="D79" s="2" t="s">
        <x:v>128</x:v>
      </x:c>
      <x:c r="E79" s="2">
        <x:v>17</x:v>
      </x:c>
      <x:c r="F79" s="2">
        <x:v>98</x:v>
      </x:c>
      <x:c r="G79" s="3">
        <x:f t="shared" si="1"/>
        <x:v>11410.702841391756</x:v>
      </x:c>
      <x:c r="H79" s="3">
        <x:v>1118248.8784563921</x:v>
      </x:c>
      <x:c r="I79" s="6" t="e">
        <x:f>SUMIF([1]Pengiriman!P:P,B79,[1]Pengiriman!X:X)</x:f>
        <x:v>#NAME?</x:v>
      </x:c>
    </x:row>
    <x:row r="80">
      <x:c r="A80" s="2" t="s">
        <x:v>75</x:v>
      </x:c>
      <x:c r="B80" s="2">
        <x:v>5766</x:v>
      </x:c>
      <x:c r="C80" s="2">
        <x:v>12782</x:v>
      </x:c>
      <x:c r="D80" s="2" t="s">
        <x:v>114</x:v>
      </x:c>
      <x:c r="E80" s="2">
        <x:v>45</x:v>
      </x:c>
      <x:c r="F80" s="2">
        <x:v>225</x:v>
      </x:c>
      <x:c r="G80" s="3">
        <x:f t="shared" si="1"/>
        <x:v>10883.322387365155</x:v>
      </x:c>
      <x:c r="H80" s="3">
        <x:v>2448747.5371571598</x:v>
      </x:c>
      <x:c r="I80" s="6" t="e">
        <x:f>SUMIF([1]Pengiriman!P:P,B80,[1]Pengiriman!X:X)</x:f>
        <x:v>#NAME?</x:v>
      </x:c>
    </x:row>
    <x:row r="81">
      <x:c r="A81" s="2" t="s">
        <x:v>75</x:v>
      </x:c>
      <x:c r="B81" s="2">
        <x:v>5771</x:v>
      </x:c>
      <x:c r="C81" s="2">
        <x:v>12784</x:v>
      </x:c>
      <x:c r="D81" s="2" t="s">
        <x:v>104</x:v>
      </x:c>
      <x:c r="E81" s="2">
        <x:v>0</x:v>
      </x:c>
      <x:c r="F81" s="2">
        <x:v>225</x:v>
      </x:c>
      <x:c r="G81" s="3">
        <x:f t="shared" si="1"/>
        <x:v>11144.361812493422</x:v>
      </x:c>
      <x:c r="H81" s="3">
        <x:v>2507481.40781102</x:v>
      </x:c>
      <x:c r="I81" s="6" t="e">
        <x:f>SUMIF([1]Pengiriman!P:P,B81,[1]Pengiriman!X:X)</x:f>
        <x:v>#NAME?</x:v>
      </x:c>
    </x:row>
    <x:row r="82">
      <x:c r="A82" s="2" t="s">
        <x:v>75</x:v>
      </x:c>
      <x:c r="B82" s="2">
        <x:v>5783</x:v>
      </x:c>
      <x:c r="C82" s="2">
        <x:v>12786</x:v>
      </x:c>
      <x:c r="D82" s="2" t="s">
        <x:v>121</x:v>
      </x:c>
      <x:c r="E82" s="2">
        <x:v>45</x:v>
      </x:c>
      <x:c r="F82" s="2">
        <x:v>225</x:v>
      </x:c>
      <x:c r="G82" s="3">
        <x:f t="shared" si="1"/>
        <x:v>10796.795794588174</x:v>
      </x:c>
      <x:c r="H82" s="3">
        <x:v>2429279.0537823392</x:v>
      </x:c>
      <x:c r="I82" s="6" t="e">
        <x:f>SUMIF([1]Pengiriman!P:P,B82,[1]Pengiriman!X:X)</x:f>
        <x:v>#NAME?</x:v>
      </x:c>
    </x:row>
    <x:row r="83">
      <x:c r="A83" s="2" t="s">
        <x:v>75</x:v>
      </x:c>
      <x:c r="B83" s="2">
        <x:v>5791</x:v>
      </x:c>
      <x:c r="C83" s="2">
        <x:v>12788</x:v>
      </x:c>
      <x:c r="D83" s="2" t="s">
        <x:v>120</x:v>
      </x:c>
      <x:c r="E83" s="2">
        <x:v>36</x:v>
      </x:c>
      <x:c r="F83" s="2">
        <x:v>225</x:v>
      </x:c>
      <x:c r="G83" s="3">
        <x:f t="shared" si="1"/>
        <x:v>10574.985855798928</x:v>
      </x:c>
      <x:c r="H83" s="3">
        <x:v>2379371.8175547589</x:v>
      </x:c>
      <x:c r="I83" s="6" t="e">
        <x:f>SUMIF([1]Pengiriman!P:P,B83,[1]Pengiriman!X:X)</x:f>
        <x:v>#NAME?</x:v>
      </x:c>
    </x:row>
    <x:row r="84">
      <x:c r="A84" s="2" t="s">
        <x:v>75</x:v>
      </x:c>
      <x:c r="B84" s="2">
        <x:v>5798</x:v>
      </x:c>
      <x:c r="C84" s="2">
        <x:v>12795</x:v>
      </x:c>
      <x:c r="D84" s="2" t="s">
        <x:v>119</x:v>
      </x:c>
      <x:c r="E84" s="2">
        <x:v>0</x:v>
      </x:c>
      <x:c r="F84" s="2">
        <x:v>14</x:v>
      </x:c>
      <x:c r="G84" s="3">
        <x:f t="shared" si="1"/>
        <x:v>11166.993586348428</x:v>
      </x:c>
      <x:c r="H84" s="3">
        <x:v>156337.91020887799</x:v>
      </x:c>
      <x:c r="I84" s="6" t="e">
        <x:f>SUMIF([1]Pengiriman!P:P,B84,[1]Pengiriman!X:X)</x:f>
        <x:v>#NAME?</x:v>
      </x:c>
    </x:row>
    <x:row r="85">
      <x:c r="A85" s="2" t="s">
        <x:v>75</x:v>
      </x:c>
      <x:c r="B85" s="2">
        <x:v>5813</x:v>
      </x:c>
      <x:c r="C85" s="2">
        <x:v>12797</x:v>
      </x:c>
      <x:c r="D85" s="2" t="s">
        <x:v>5</x:v>
      </x:c>
      <x:c r="E85" s="2">
        <x:v>0</x:v>
      </x:c>
      <x:c r="F85" s="2">
        <x:v>43</x:v>
      </x:c>
      <x:c r="G85" s="3">
        <x:f t="shared" si="1"/>
        <x:v>10307.627525873722</x:v>
      </x:c>
      <x:c r="H85" s="3">
        <x:v>443227.98361257004</x:v>
      </x:c>
      <x:c r="I85" s="6" t="e">
        <x:f>SUMIF([1]Pengiriman!P:P,B85,[1]Pengiriman!X:X)</x:f>
        <x:v>#NAME?</x:v>
      </x:c>
    </x:row>
    <x:row r="86">
      <x:c r="A86" s="2" t="s">
        <x:v>75</x:v>
      </x:c>
      <x:c r="B86" s="2">
        <x:v>5470</x:v>
      </x:c>
      <x:c r="C86" s="2">
        <x:v>12798</x:v>
      </x:c>
      <x:c r="D86" s="2" t="s">
        <x:v>5</x:v>
      </x:c>
      <x:c r="E86" s="2">
        <x:v>0</x:v>
      </x:c>
      <x:c r="F86" s="2">
        <x:v>124</x:v>
      </x:c>
      <x:c r="G86" s="3">
        <x:f t="shared" si="1"/>
        <x:v>11979.077976819435</x:v>
      </x:c>
      <x:c r="H86" s="3">
        <x:v>1485405.66912561</x:v>
      </x:c>
      <x:c r="I86" s="6" t="e">
        <x:f>SUMIF([1]Pengiriman!P:P,B86,[1]Pengiriman!X:X)</x:f>
        <x:v>#NAME?</x:v>
      </x:c>
    </x:row>
    <x:row r="87">
      <x:c r="A87" s="2" t="s">
        <x:v>75</x:v>
      </x:c>
      <x:c r="B87" s="2">
        <x:v>5563</x:v>
      </x:c>
      <x:c r="C87" s="2">
        <x:v>12799</x:v>
      </x:c>
      <x:c r="D87" s="2" t="s">
        <x:v>80</x:v>
      </x:c>
      <x:c r="E87" s="2">
        <x:v>0</x:v>
      </x:c>
      <x:c r="F87" s="25">
        <x:v>14</x:v>
      </x:c>
      <x:c r="G87" s="3">
        <x:f t="shared" si="1"/>
        <x:v>109033.82047328785</x:v>
      </x:c>
      <x:c r="H87" s="3">
        <x:v>1526473.4866260299</x:v>
      </x:c>
      <x:c r="I87" s="6" t="e">
        <x:f>SUMIF([1]Pengiriman!P:P,B87,[1]Pengiriman!X:X)</x:f>
        <x:v>#NAME?</x:v>
      </x:c>
    </x:row>
    <x:row r="88">
      <x:c r="A88" s="2" t="s">
        <x:v>75</x:v>
      </x:c>
      <x:c r="B88" s="2">
        <x:v>5566</x:v>
      </x:c>
      <x:c r="C88" s="2">
        <x:v>12800</x:v>
      </x:c>
      <x:c r="D88" s="2" t="s">
        <x:v>80</x:v>
      </x:c>
      <x:c r="E88" s="2">
        <x:v>0</x:v>
      </x:c>
      <x:c r="F88" s="2">
        <x:v>437</x:v>
      </x:c>
      <x:c r="G88" s="3">
        <x:f t="shared" si="1"/>
        <x:v>3597.4045723705949</x:v>
      </x:c>
      <x:c r="H88" s="3">
        <x:v>1572065.7981259499</x:v>
      </x:c>
      <x:c r="I88" s="6" t="e">
        <x:f>SUMIF([1]Pengiriman!P:P,B88,[1]Pengiriman!X:X)</x:f>
        <x:v>#NAME?</x:v>
      </x:c>
    </x:row>
    <x:row r="89">
      <x:c r="A89" s="2" t="s">
        <x:v>75</x:v>
      </x:c>
      <x:c r="B89" s="2">
        <x:v>2835</x:v>
      </x:c>
      <x:c r="C89" s="2">
        <x:v>12806</x:v>
      </x:c>
      <x:c r="D89" s="2" t="s">
        <x:v>6</x:v>
      </x:c>
      <x:c r="E89" s="2">
        <x:v>0</x:v>
      </x:c>
      <x:c r="F89" s="2">
        <x:v>79</x:v>
      </x:c>
      <x:c r="G89" s="3">
        <x:f t="shared" si="1"/>
        <x:v>8593.524348789224</x:v>
      </x:c>
      <x:c r="H89" s="3">
        <x:v>678888.42355434864</x:v>
      </x:c>
      <x:c r="I89" s="6" t="e">
        <x:f>SUMIF([1]Pengiriman!P:P,B89,[1]Pengiriman!X:X)</x:f>
        <x:v>#NAME?</x:v>
      </x:c>
    </x:row>
    <x:row r="90">
      <x:c r="A90" s="2" t="s">
        <x:v>75</x:v>
      </x:c>
      <x:c r="B90" s="2">
        <x:v>5243</x:v>
      </x:c>
      <x:c r="C90" s="2">
        <x:v>12808</x:v>
      </x:c>
      <x:c r="D90" s="2" t="s">
        <x:v>109</x:v>
      </x:c>
      <x:c r="E90" s="2">
        <x:v>45</x:v>
      </x:c>
      <x:c r="F90" s="2">
        <x:v>225</x:v>
      </x:c>
      <x:c r="G90" s="3">
        <x:f t="shared" si="1"/>
        <x:v>11538.71372129633</x:v>
      </x:c>
      <x:c r="H90" s="3">
        <x:v>2596210.5872916742</x:v>
      </x:c>
      <x:c r="I90" s="6" t="e">
        <x:f>SUMIF([1]Pengiriman!P:P,B90,[1]Pengiriman!X:X)</x:f>
        <x:v>#NAME?</x:v>
      </x:c>
    </x:row>
    <x:row r="91">
      <x:c r="A91" s="2" t="s">
        <x:v>75</x:v>
      </x:c>
      <x:c r="B91" s="2">
        <x:v>5311</x:v>
      </x:c>
      <x:c r="C91" s="2">
        <x:v>12812</x:v>
      </x:c>
      <x:c r="D91" s="2" t="s">
        <x:v>115</x:v>
      </x:c>
      <x:c r="E91" s="2">
        <x:v>72</x:v>
      </x:c>
      <x:c r="F91" s="2">
        <x:v>267</x:v>
      </x:c>
      <x:c r="G91" s="3">
        <x:f t="shared" si="1"/>
        <x:v>10264.289404252679</x:v>
      </x:c>
      <x:c r="H91" s="3">
        <x:v>2740565.2709354651</x:v>
      </x:c>
      <x:c r="I91" s="6" t="e">
        <x:f>SUMIF([1]Pengiriman!P:P,B91,[1]Pengiriman!X:X)</x:f>
        <x:v>#NAME?</x:v>
      </x:c>
    </x:row>
    <x:row r="92">
      <x:c r="A92" s="2" t="s">
        <x:v>75</x:v>
      </x:c>
      <x:c r="B92" s="2">
        <x:v>5321</x:v>
      </x:c>
      <x:c r="C92" s="2">
        <x:v>12813</x:v>
      </x:c>
      <x:c r="D92" s="2" t="s">
        <x:v>129</x:v>
      </x:c>
      <x:c r="E92" s="2">
        <x:v>61</x:v>
      </x:c>
      <x:c r="F92" s="2">
        <x:v>320</x:v>
      </x:c>
      <x:c r="G92" s="3">
        <x:f t="shared" si="1"/>
        <x:v>10564.163796336066</x:v>
      </x:c>
      <x:c r="H92" s="3">
        <x:v>3380532.414827541</x:v>
      </x:c>
      <x:c r="I92" s="6" t="e">
        <x:f>SUMIF([1]Pengiriman!P:P,B92,[1]Pengiriman!X:X)</x:f>
        <x:v>#NAME?</x:v>
      </x:c>
    </x:row>
    <x:row r="93">
      <x:c r="A93" s="2" t="s">
        <x:v>75</x:v>
      </x:c>
      <x:c r="B93" s="2">
        <x:v>5361</x:v>
      </x:c>
      <x:c r="C93" s="2">
        <x:v>12823</x:v>
      </x:c>
      <x:c r="D93" s="2" t="s">
        <x:v>83</x:v>
      </x:c>
      <x:c r="E93" s="2">
        <x:v>99</x:v>
      </x:c>
      <x:c r="F93" s="2">
        <x:v>276</x:v>
      </x:c>
      <x:c r="G93" s="3">
        <x:f t="shared" si="1"/>
        <x:v>10551.726721179039</x:v>
      </x:c>
      <x:c r="H93" s="3">
        <x:v>2912276.5750454147</x:v>
      </x:c>
      <x:c r="I93" s="6" t="e">
        <x:f>SUMIF([1]Pengiriman!P:P,B93,[1]Pengiriman!X:X)</x:f>
        <x:v>#NAME?</x:v>
      </x:c>
    </x:row>
    <x:row r="94">
      <x:c r="A94" s="2" t="s">
        <x:v>75</x:v>
      </x:c>
      <x:c r="B94" s="2">
        <x:v>5364</x:v>
      </x:c>
      <x:c r="C94" s="2">
        <x:v>12824</x:v>
      </x:c>
      <x:c r="D94" s="2" t="s">
        <x:v>94</x:v>
      </x:c>
      <x:c r="E94" s="2">
        <x:v>113</x:v>
      </x:c>
      <x:c r="F94" s="2">
        <x:v>332</x:v>
      </x:c>
      <x:c r="G94" s="3">
        <x:f t="shared" si="1"/>
        <x:v>10358.47460130786</x:v>
      </x:c>
      <x:c r="H94" s="3">
        <x:v>3439013.5676342095</x:v>
      </x:c>
      <x:c r="I94" s="6" t="e">
        <x:f>SUMIF([1]Pengiriman!P:P,B94,[1]Pengiriman!X:X)</x:f>
        <x:v>#NAME?</x:v>
      </x:c>
    </x:row>
    <x:row r="95">
      <x:c r="A95" s="2" t="s">
        <x:v>75</x:v>
      </x:c>
      <x:c r="B95" s="2">
        <x:v>5488</x:v>
      </x:c>
      <x:c r="C95" s="2">
        <x:v>12829</x:v>
      </x:c>
      <x:c r="D95" s="2" t="s">
        <x:v>101</x:v>
      </x:c>
      <x:c r="E95" s="2">
        <x:v>34</x:v>
      </x:c>
      <x:c r="F95" s="2">
        <x:v>225</x:v>
      </x:c>
      <x:c r="G95" s="3">
        <x:f t="shared" si="1"/>
        <x:v>12059.153952842978</x:v>
      </x:c>
      <x:c r="H95" s="3">
        <x:v>2713309.63938967</x:v>
      </x:c>
      <x:c r="I95" s="6" t="e">
        <x:f>SUMIF([1]Pengiriman!P:P,B95,[1]Pengiriman!X:X)</x:f>
        <x:v>#NAME?</x:v>
      </x:c>
    </x:row>
    <x:row r="96">
      <x:c r="A96" s="2" t="s">
        <x:v>75</x:v>
      </x:c>
      <x:c r="B96" s="2">
        <x:v>5529</x:v>
      </x:c>
      <x:c r="C96" s="2">
        <x:v>12834</x:v>
      </x:c>
      <x:c r="D96" s="2" t="s">
        <x:v>104</x:v>
      </x:c>
      <x:c r="E96" s="2">
        <x:v>0</x:v>
      </x:c>
      <x:c r="F96" s="2">
        <x:v>225</x:v>
      </x:c>
      <x:c r="G96" s="3">
        <x:f t="shared" si="1"/>
        <x:v>9593.0118474639876</x:v>
      </x:c>
      <x:c r="H96" s="3">
        <x:v>2158427.6656793971</x:v>
      </x:c>
      <x:c r="I96" s="6" t="e">
        <x:f>SUMIF([1]Pengiriman!P:P,B96,[1]Pengiriman!X:X)</x:f>
        <x:v>#NAME?</x:v>
      </x:c>
    </x:row>
    <x:row r="97">
      <x:c r="A97" s="2" t="s">
        <x:v>75</x:v>
      </x:c>
      <x:c r="B97" s="2">
        <x:v>5540</x:v>
      </x:c>
      <x:c r="C97" s="2">
        <x:v>12837</x:v>
      </x:c>
      <x:c r="D97" s="2" t="s">
        <x:v>99</x:v>
      </x:c>
      <x:c r="E97" s="2">
        <x:v>44</x:v>
      </x:c>
      <x:c r="F97" s="2">
        <x:v>225</x:v>
      </x:c>
      <x:c r="G97" s="3">
        <x:f t="shared" si="1"/>
        <x:v>11917.636200596182</x:v>
      </x:c>
      <x:c r="H97" s="3">
        <x:v>2681468.1451341407</x:v>
      </x:c>
      <x:c r="I97" s="6" t="e">
        <x:f>SUMIF([1]Pengiriman!P:P,B97,[1]Pengiriman!X:X)</x:f>
        <x:v>#NAME?</x:v>
      </x:c>
    </x:row>
    <x:row r="98">
      <x:c r="A98" s="2" t="s">
        <x:v>75</x:v>
      </x:c>
      <x:c r="B98" s="2">
        <x:v>5545</x:v>
      </x:c>
      <x:c r="C98" s="2">
        <x:v>12841</x:v>
      </x:c>
      <x:c r="D98" s="2" t="s">
        <x:v>104</x:v>
      </x:c>
      <x:c r="E98" s="2">
        <x:v>0</x:v>
      </x:c>
      <x:c r="F98" s="2">
        <x:v>225</x:v>
      </x:c>
      <x:c r="G98" s="3">
        <x:f t="shared" si="1"/>
        <x:v>8703.0780186737156</x:v>
      </x:c>
      <x:c r="H98" s="3">
        <x:v>1958192.5542015859</x:v>
      </x:c>
      <x:c r="I98" s="6" t="e">
        <x:f>SUMIF([1]Pengiriman!P:P,B98,[1]Pengiriman!X:X)</x:f>
        <x:v>#NAME?</x:v>
      </x:c>
    </x:row>
    <x:row r="99">
      <x:c r="A99" s="2" t="s">
        <x:v>75</x:v>
      </x:c>
      <x:c r="B99" s="2">
        <x:v>5556</x:v>
      </x:c>
      <x:c r="C99" s="2">
        <x:v>12847</x:v>
      </x:c>
      <x:c r="D99" s="2" t="s">
        <x:v>104</x:v>
      </x:c>
      <x:c r="E99" s="2">
        <x:v>0</x:v>
      </x:c>
      <x:c r="F99" s="2">
        <x:v>225</x:v>
      </x:c>
      <x:c r="G99" s="3">
        <x:f t="shared" si="1"/>
        <x:v>8625.2133230743148</x:v>
      </x:c>
      <x:c r="H99" s="3">
        <x:v>1940672.997691721</x:v>
      </x:c>
      <x:c r="I99" s="6" t="e">
        <x:f>SUMIF([1]Pengiriman!P:P,B99,[1]Pengiriman!X:X)</x:f>
        <x:v>#NAME?</x:v>
      </x:c>
    </x:row>
    <x:row r="100">
      <x:c r="A100" s="2" t="s">
        <x:v>75</x:v>
      </x:c>
      <x:c r="B100" s="2">
        <x:v>5592</x:v>
      </x:c>
      <x:c r="C100" s="2">
        <x:v>12851</x:v>
      </x:c>
      <x:c r="D100" s="2" t="s">
        <x:v>101</x:v>
      </x:c>
      <x:c r="E100" s="2">
        <x:v>36</x:v>
      </x:c>
      <x:c r="F100" s="2">
        <x:v>225</x:v>
      </x:c>
      <x:c r="G100" s="3">
        <x:f t="shared" si="1"/>
        <x:v>12211.99289310038</x:v>
      </x:c>
      <x:c r="H100" s="3">
        <x:v>2747698.4009475852</x:v>
      </x:c>
      <x:c r="I100" s="6" t="e">
        <x:f>SUMIF([1]Pengiriman!P:P,B100,[1]Pengiriman!X:X)</x:f>
        <x:v>#NAME?</x:v>
      </x:c>
    </x:row>
    <x:row r="101">
      <x:c r="A101" s="2" t="s">
        <x:v>75</x:v>
      </x:c>
      <x:c r="B101" s="2">
        <x:v>2766</x:v>
      </x:c>
      <x:c r="C101" s="2">
        <x:v>12801</x:v>
      </x:c>
      <x:c r="D101" s="2" t="s">
        <x:v>98</x:v>
      </x:c>
      <x:c r="E101" s="2">
        <x:v>36</x:v>
      </x:c>
      <x:c r="F101" s="2">
        <x:v>225</x:v>
      </x:c>
      <x:c r="G101" s="3">
        <x:f t="shared" si="1"/>
        <x:v>12203.774829606426</x:v>
      </x:c>
      <x:c r="H101" s="3">
        <x:v>2745849.3366614459</x:v>
      </x:c>
      <x:c r="I101" s="6" t="e">
        <x:f>SUMIF([1]Pengiriman!P:P,B101,[1]Pengiriman!X:X)</x:f>
        <x:v>#NAME?</x:v>
      </x:c>
    </x:row>
    <x:row r="102">
      <x:c r="A102" s="2" t="s">
        <x:v>75</x:v>
      </x:c>
      <x:c r="B102" s="2">
        <x:v>5203</x:v>
      </x:c>
      <x:c r="C102" s="2">
        <x:v>12807</x:v>
      </x:c>
      <x:c r="D102" s="2" t="s">
        <x:v>126</x:v>
      </x:c>
      <x:c r="E102" s="2">
        <x:v>11</x:v>
      </x:c>
      <x:c r="F102" s="2">
        <x:v>61</x:v>
      </x:c>
      <x:c r="G102" s="3">
        <x:f t="shared" si="1"/>
        <x:v>12037.934324932719</x:v>
      </x:c>
      <x:c r="H102" s="3">
        <x:v>734313.99382089591</x:v>
      </x:c>
      <x:c r="I102" s="6" t="e">
        <x:f>SUMIF([1]Pengiriman!P:P,B102,[1]Pengiriman!X:X)</x:f>
        <x:v>#NAME?</x:v>
      </x:c>
    </x:row>
    <x:row r="103">
      <x:c r="A103" s="2" t="s">
        <x:v>75</x:v>
      </x:c>
      <x:c r="B103" s="2">
        <x:v>5490</x:v>
      </x:c>
      <x:c r="C103" s="2">
        <x:v>12830</x:v>
      </x:c>
      <x:c r="D103" s="2" t="s">
        <x:v>98</x:v>
      </x:c>
      <x:c r="E103" s="2">
        <x:v>38</x:v>
      </x:c>
      <x:c r="F103" s="2">
        <x:v>225</x:v>
      </x:c>
      <x:c r="G103" s="3">
        <x:f t="shared" si="1"/>
        <x:v>11856.563955234073</x:v>
      </x:c>
      <x:c r="H103" s="3">
        <x:v>2667726.8899276662</x:v>
      </x:c>
      <x:c r="I103" s="6" t="e">
        <x:f>SUMIF([1]Pengiriman!P:P,B103,[1]Pengiriman!X:X)</x:f>
        <x:v>#NAME?</x:v>
      </x:c>
    </x:row>
    <x:row r="104">
      <x:c r="A104" s="2" t="s">
        <x:v>75</x:v>
      </x:c>
      <x:c r="B104" s="2">
        <x:v>5491</x:v>
      </x:c>
      <x:c r="C104" s="2">
        <x:v>12831</x:v>
      </x:c>
      <x:c r="D104" s="2" t="s">
        <x:v>99</x:v>
      </x:c>
      <x:c r="E104" s="2">
        <x:v>45</x:v>
      </x:c>
      <x:c r="F104" s="2">
        <x:v>225</x:v>
      </x:c>
      <x:c r="G104" s="3">
        <x:f t="shared" si="1"/>
        <x:v>12142.705906850289</x:v>
      </x:c>
      <x:c r="H104" s="3">
        <x:v>2732108.8290413152</x:v>
      </x:c>
      <x:c r="I104" s="6" t="e">
        <x:f>SUMIF([1]Pengiriman!P:P,B104,[1]Pengiriman!X:X)</x:f>
        <x:v>#NAME?</x:v>
      </x:c>
    </x:row>
    <x:row r="105">
      <x:c r="A105" s="2" t="s">
        <x:v>75</x:v>
      </x:c>
      <x:c r="B105" s="2">
        <x:v>5493</x:v>
      </x:c>
      <x:c r="C105" s="2">
        <x:v>12832</x:v>
      </x:c>
      <x:c r="D105" s="2" t="s">
        <x:v>95</x:v>
      </x:c>
      <x:c r="E105" s="2">
        <x:v>55</x:v>
      </x:c>
      <x:c r="F105" s="2">
        <x:v>225</x:v>
      </x:c>
      <x:c r="G105" s="3">
        <x:f t="shared" si="1"/>
        <x:v>11813.611781426947</x:v>
      </x:c>
      <x:c r="H105" s="3">
        <x:v>2658062.6508210632</x:v>
      </x:c>
      <x:c r="I105" s="6" t="e">
        <x:f>SUMIF([1]Pengiriman!P:P,B105,[1]Pengiriman!X:X)</x:f>
        <x:v>#NAME?</x:v>
      </x:c>
    </x:row>
    <x:row r="106">
      <x:c r="A106" s="2" t="s">
        <x:v>75</x:v>
      </x:c>
      <x:c r="B106" s="2">
        <x:v>5525</x:v>
      </x:c>
      <x:c r="C106" s="2">
        <x:v>12833</x:v>
      </x:c>
      <x:c r="D106" s="2" t="s">
        <x:v>121</x:v>
      </x:c>
      <x:c r="E106" s="2">
        <x:v>45</x:v>
      </x:c>
      <x:c r="F106" s="2">
        <x:v>225</x:v>
      </x:c>
      <x:c r="G106" s="3">
        <x:f t="shared" si="1"/>
        <x:v>11222.078368469869</x:v>
      </x:c>
      <x:c r="H106" s="3">
        <x:v>2524967.6329057207</x:v>
      </x:c>
      <x:c r="I106" s="6" t="e">
        <x:f>SUMIF([1]Pengiriman!P:P,B106,[1]Pengiriman!X:X)</x:f>
        <x:v>#NAME?</x:v>
      </x:c>
    </x:row>
    <x:row r="107">
      <x:c r="A107" s="2" t="s">
        <x:v>75</x:v>
      </x:c>
      <x:c r="B107" s="2">
        <x:v>5541</x:v>
      </x:c>
      <x:c r="C107" s="2">
        <x:v>12838</x:v>
      </x:c>
      <x:c r="D107" s="2" t="s">
        <x:v>101</x:v>
      </x:c>
      <x:c r="E107" s="2">
        <x:v>35</x:v>
      </x:c>
      <x:c r="F107" s="2">
        <x:v>225</x:v>
      </x:c>
      <x:c r="G107" s="3">
        <x:f t="shared" si="1"/>
        <x:v>11222.078368469869</x:v>
      </x:c>
      <x:c r="H107" s="3">
        <x:v>2524967.6329057207</x:v>
      </x:c>
      <x:c r="I107" s="6" t="e">
        <x:f>SUMIF([1]Pengiriman!P:P,B107,[1]Pengiriman!X:X)</x:f>
        <x:v>#NAME?</x:v>
      </x:c>
    </x:row>
    <x:row r="108">
      <x:c r="A108" s="2" t="s">
        <x:v>75</x:v>
      </x:c>
      <x:c r="B108" s="2">
        <x:v>5542</x:v>
      </x:c>
      <x:c r="C108" s="2">
        <x:v>12839</x:v>
      </x:c>
      <x:c r="D108" s="2" t="s">
        <x:v>101</x:v>
      </x:c>
      <x:c r="E108" s="2">
        <x:v>38</x:v>
      </x:c>
      <x:c r="F108" s="2">
        <x:v>225</x:v>
      </x:c>
      <x:c r="G108" s="3">
        <x:f t="shared" si="1"/>
        <x:v>11970.013787079626</x:v>
      </x:c>
      <x:c r="H108" s="3">
        <x:v>2693253.1020929157</x:v>
      </x:c>
      <x:c r="I108" s="6" t="e">
        <x:f>SUMIF([1]Pengiriman!P:P,B108,[1]Pengiriman!X:X)</x:f>
        <x:v>#NAME?</x:v>
      </x:c>
    </x:row>
    <x:row r="109">
      <x:c r="A109" s="2" t="s">
        <x:v>75</x:v>
      </x:c>
      <x:c r="B109" s="2">
        <x:v>5543</x:v>
      </x:c>
      <x:c r="C109" s="2">
        <x:v>12840</x:v>
      </x:c>
      <x:c r="D109" s="2" t="s">
        <x:v>88</x:v>
      </x:c>
      <x:c r="E109" s="2">
        <x:v>34</x:v>
      </x:c>
      <x:c r="F109" s="2">
        <x:v>225</x:v>
      </x:c>
      <x:c r="G109" s="3">
        <x:f t="shared" si="1"/>
        <x:v>11965.614166969901</x:v>
      </x:c>
      <x:c r="H109" s="3">
        <x:v>2692263.1875682278</x:v>
      </x:c>
      <x:c r="I109" s="6" t="e">
        <x:f>SUMIF([1]Pengiriman!P:P,B109,[1]Pengiriman!X:X)</x:f>
        <x:v>#NAME?</x:v>
      </x:c>
    </x:row>
    <x:row r="110">
      <x:c r="A110" s="2" t="s">
        <x:v>75</x:v>
      </x:c>
      <x:c r="B110" s="2">
        <x:v>5588</x:v>
      </x:c>
      <x:c r="C110" s="2">
        <x:v>12848</x:v>
      </x:c>
      <x:c r="D110" s="2" t="s">
        <x:v>112</x:v>
      </x:c>
      <x:c r="E110" s="2">
        <x:v>44</x:v>
      </x:c>
      <x:c r="F110" s="2">
        <x:v>225</x:v>
      </x:c>
      <x:c r="G110" s="3">
        <x:f t="shared" si="1"/>
        <x:v>12211.99289310038</x:v>
      </x:c>
      <x:c r="H110" s="3">
        <x:v>2747698.4009475852</x:v>
      </x:c>
      <x:c r="I110" s="6" t="e">
        <x:f>SUMIF([1]Pengiriman!P:P,B110,[1]Pengiriman!X:X)</x:f>
        <x:v>#NAME?</x:v>
      </x:c>
    </x:row>
    <x:row r="111">
      <x:c r="A111" s="2" t="s">
        <x:v>75</x:v>
      </x:c>
      <x:c r="B111" s="2">
        <x:v>5590</x:v>
      </x:c>
      <x:c r="C111" s="2">
        <x:v>12849</x:v>
      </x:c>
      <x:c r="D111" s="2" t="s">
        <x:v>112</x:v>
      </x:c>
      <x:c r="E111" s="2">
        <x:v>45</x:v>
      </x:c>
      <x:c r="F111" s="2">
        <x:v>225</x:v>
      </x:c>
      <x:c r="G111" s="3">
        <x:f t="shared" si="1"/>
        <x:v>12211.99289310038</x:v>
      </x:c>
      <x:c r="H111" s="3">
        <x:v>2747698.4009475852</x:v>
      </x:c>
      <x:c r="I111" s="6" t="e">
        <x:f>SUMIF([1]Pengiriman!P:P,B111,[1]Pengiriman!X:X)</x:f>
        <x:v>#NAME?</x:v>
      </x:c>
    </x:row>
    <x:row r="112">
      <x:c r="A112" s="2" t="s">
        <x:v>75</x:v>
      </x:c>
      <x:c r="B112" s="2">
        <x:v>5591</x:v>
      </x:c>
      <x:c r="C112" s="2">
        <x:v>12850</x:v>
      </x:c>
      <x:c r="D112" s="2" t="s">
        <x:v>95</x:v>
      </x:c>
      <x:c r="E112" s="2">
        <x:v>54</x:v>
      </x:c>
      <x:c r="F112" s="2">
        <x:v>225</x:v>
      </x:c>
      <x:c r="G112" s="3">
        <x:f t="shared" si="1"/>
        <x:v>12211.99289310038</x:v>
      </x:c>
      <x:c r="H112" s="3">
        <x:v>2747698.4009475852</x:v>
      </x:c>
      <x:c r="I112" s="6" t="e">
        <x:f>SUMIF([1]Pengiriman!P:P,B112,[1]Pengiriman!X:X)</x:f>
        <x:v>#NAME?</x:v>
      </x:c>
    </x:row>
    <x:row r="113">
      <x:c r="A113" s="2" t="s">
        <x:v>75</x:v>
      </x:c>
      <x:c r="B113" s="2">
        <x:v>5611</x:v>
      </x:c>
      <x:c r="C113" s="2">
        <x:v>12862</x:v>
      </x:c>
      <x:c r="D113" s="2" t="s">
        <x:v>102</x:v>
      </x:c>
      <x:c r="E113" s="2">
        <x:v>41</x:v>
      </x:c>
      <x:c r="F113" s="2">
        <x:v>188</x:v>
      </x:c>
      <x:c r="G113" s="3">
        <x:f t="shared" si="1"/>
        <x:v>11504.170399822848</x:v>
      </x:c>
      <x:c r="H113" s="3">
        <x:v>2162784.0351666952</x:v>
      </x:c>
      <x:c r="I113" s="6" t="e">
        <x:f>SUMIF([1]Pengiriman!P:P,B113,[1]Pengiriman!X:X)</x:f>
        <x:v>#NAME?</x:v>
      </x:c>
    </x:row>
    <x:row r="114">
      <x:c r="A114" s="2" t="s">
        <x:v>75</x:v>
      </x:c>
      <x:c r="B114" s="2">
        <x:v>5613</x:v>
      </x:c>
      <x:c r="C114" s="2">
        <x:v>12863</x:v>
      </x:c>
      <x:c r="D114" s="2" t="s">
        <x:v>130</x:v>
      </x:c>
      <x:c r="E114" s="2">
        <x:v>11</x:v>
      </x:c>
      <x:c r="F114" s="2">
        <x:v>67</x:v>
      </x:c>
      <x:c r="G114" s="3">
        <x:f t="shared" si="1"/>
        <x:v>11962.634157384924</x:v>
      </x:c>
      <x:c r="H114" s="3">
        <x:v>801496.48854478996</x:v>
      </x:c>
      <x:c r="I114" s="6" t="e">
        <x:f>SUMIF([1]Pengiriman!P:P,B114,[1]Pengiriman!X:X)</x:f>
        <x:v>#NAME?</x:v>
      </x:c>
    </x:row>
    <x:row r="115">
      <x:c r="A115" s="2" t="s">
        <x:v>75</x:v>
      </x:c>
      <x:c r="B115" s="2">
        <x:v>5636</x:v>
      </x:c>
      <x:c r="C115" s="2">
        <x:v>12872</x:v>
      </x:c>
      <x:c r="D115" s="2" t="s">
        <x:v>81</x:v>
      </x:c>
      <x:c r="E115" s="2">
        <x:v>76</x:v>
      </x:c>
      <x:c r="F115" s="2">
        <x:v>374</x:v>
      </x:c>
      <x:c r="G115" s="3">
        <x:f t="shared" si="1"/>
        <x:v>10827.961151085883</x:v>
      </x:c>
      <x:c r="H115" s="3">
        <x:v>4049657.47050612</x:v>
      </x:c>
      <x:c r="I115" s="6" t="e">
        <x:f>SUMIF([1]Pengiriman!P:P,B115,[1]Pengiriman!X:X)</x:f>
        <x:v>#NAME?</x:v>
      </x:c>
    </x:row>
    <x:row r="116">
      <x:c r="A116" s="2" t="s">
        <x:v>75</x:v>
      </x:c>
      <x:c r="B116" s="2">
        <x:v>5667</x:v>
      </x:c>
      <x:c r="C116" s="2">
        <x:v>12874</x:v>
      </x:c>
      <x:c r="D116" s="2" t="s">
        <x:v>82</x:v>
      </x:c>
      <x:c r="E116" s="2">
        <x:v>34</x:v>
      </x:c>
      <x:c r="F116" s="2">
        <x:v>172</x:v>
      </x:c>
      <x:c r="G116" s="3">
        <x:f t="shared" si="1"/>
        <x:v>10915.113087671049</x:v>
      </x:c>
      <x:c r="H116" s="3">
        <x:v>1877399.4510794203</x:v>
      </x:c>
      <x:c r="I116" s="6" t="e">
        <x:f>SUMIF([1]Pengiriman!P:P,B116,[1]Pengiriman!X:X)</x:f>
        <x:v>#NAME?</x:v>
      </x:c>
    </x:row>
    <x:row r="117">
      <x:c r="A117" s="2" t="s">
        <x:v>75</x:v>
      </x:c>
      <x:c r="B117" s="2">
        <x:v>5669</x:v>
      </x:c>
      <x:c r="C117" s="2">
        <x:v>12875</x:v>
      </x:c>
      <x:c r="D117" s="2" t="s">
        <x:v>84</x:v>
      </x:c>
      <x:c r="E117" s="2">
        <x:v>119</x:v>
      </x:c>
      <x:c r="F117" s="2">
        <x:v>334</x:v>
      </x:c>
      <x:c r="G117" s="3">
        <x:f t="shared" si="1"/>
        <x:v>9463.7084243175086</x:v>
      </x:c>
      <x:c r="H117" s="3">
        <x:v>3160878.6137220478</x:v>
      </x:c>
      <x:c r="I117" s="6" t="e">
        <x:f>SUMIF([1]Pengiriman!P:P,B117,[1]Pengiriman!X:X)</x:f>
        <x:v>#NAME?</x:v>
      </x:c>
    </x:row>
    <x:row r="118">
      <x:c r="A118" s="2" t="s">
        <x:v>75</x:v>
      </x:c>
      <x:c r="B118" s="2">
        <x:v>5671</x:v>
      </x:c>
      <x:c r="C118" s="2">
        <x:v>12876</x:v>
      </x:c>
      <x:c r="D118" s="2" t="s">
        <x:v>84</x:v>
      </x:c>
      <x:c r="E118" s="2">
        <x:v>91</x:v>
      </x:c>
      <x:c r="F118" s="2">
        <x:v>224</x:v>
      </x:c>
      <x:c r="G118" s="3">
        <x:f t="shared" si="1"/>
        <x:v>10058.680197575541</x:v>
      </x:c>
      <x:c r="H118" s="3">
        <x:v>2253144.3642569212</x:v>
      </x:c>
      <x:c r="I118" s="6" t="e">
        <x:f>SUMIF([1]Pengiriman!P:P,B118,[1]Pengiriman!X:X)</x:f>
        <x:v>#NAME?</x:v>
      </x:c>
    </x:row>
    <x:row r="119">
      <x:c r="A119" s="2" t="s">
        <x:v>75</x:v>
      </x:c>
      <x:c r="B119" s="2">
        <x:v>5677</x:v>
      </x:c>
      <x:c r="C119" s="2">
        <x:v>12879</x:v>
      </x:c>
      <x:c r="D119" s="2" t="s">
        <x:v>93</x:v>
      </x:c>
      <x:c r="E119" s="2">
        <x:v>22</x:v>
      </x:c>
      <x:c r="F119" s="2">
        <x:v>91</x:v>
      </x:c>
      <x:c r="G119" s="3">
        <x:f t="shared" si="1"/>
        <x:v>10598.063850449516</x:v>
      </x:c>
      <x:c r="H119" s="3">
        <x:v>964423.81039090606</x:v>
      </x:c>
      <x:c r="I119" s="6" t="e">
        <x:f>SUMIF([1]Pengiriman!P:P,B119,[1]Pengiriman!X:X)</x:f>
        <x:v>#NAME?</x:v>
      </x:c>
    </x:row>
    <x:row r="120">
      <x:c r="A120" s="2" t="s">
        <x:v>75</x:v>
      </x:c>
      <x:c r="B120" s="2">
        <x:v>5681</x:v>
      </x:c>
      <x:c r="C120" s="2">
        <x:v>12881</x:v>
      </x:c>
      <x:c r="D120" s="2" t="s">
        <x:v>86</x:v>
      </x:c>
      <x:c r="E120" s="2">
        <x:v>13</x:v>
      </x:c>
      <x:c r="F120" s="2">
        <x:v>51</x:v>
      </x:c>
      <x:c r="G120" s="3">
        <x:f t="shared" si="1"/>
        <x:v>9137.6241970705469</x:v>
      </x:c>
      <x:c r="H120" s="3">
        <x:v>466018.83405059786</x:v>
      </x:c>
      <x:c r="I120" s="6" t="e">
        <x:f>SUMIF([1]Pengiriman!P:P,B120,[1]Pengiriman!X:X)</x:f>
        <x:v>#NAME?</x:v>
      </x:c>
    </x:row>
    <x:row r="121">
      <x:c r="A121" s="2" t="s">
        <x:v>75</x:v>
      </x:c>
      <x:c r="B121" s="2">
        <x:v>5696</x:v>
      </x:c>
      <x:c r="C121" s="2">
        <x:v>12882</x:v>
      </x:c>
      <x:c r="D121" s="2" t="s">
        <x:v>90</x:v>
      </x:c>
      <x:c r="E121" s="2">
        <x:v>25</x:v>
      </x:c>
      <x:c r="F121" s="2">
        <x:v>84</x:v>
      </x:c>
      <x:c r="G121" s="3">
        <x:f t="shared" si="1"/>
        <x:v>10888.953450897845</x:v>
      </x:c>
      <x:c r="H121" s="3">
        <x:v>914672.08987541893</x:v>
      </x:c>
      <x:c r="I121" s="6" t="e">
        <x:f>SUMIF([1]Pengiriman!P:P,B121,[1]Pengiriman!X:X)</x:f>
        <x:v>#NAME?</x:v>
      </x:c>
    </x:row>
    <x:row r="122">
      <x:c r="A122" s="2" t="s">
        <x:v>75</x:v>
      </x:c>
      <x:c r="B122" s="2">
        <x:v>5710</x:v>
      </x:c>
      <x:c r="C122" s="2">
        <x:v>12887</x:v>
      </x:c>
      <x:c r="D122" s="2" t="s">
        <x:v>96</x:v>
      </x:c>
      <x:c r="E122" s="2">
        <x:v>21</x:v>
      </x:c>
      <x:c r="F122" s="2">
        <x:v>113</x:v>
      </x:c>
      <x:c r="G122" s="3">
        <x:f t="shared" si="1"/>
        <x:v>10944.941942781903</x:v>
      </x:c>
      <x:c r="H122" s="3">
        <x:v>1236778.439534355</x:v>
      </x:c>
      <x:c r="I122" s="6" t="e">
        <x:f>SUMIF([1]Pengiriman!P:P,B122,[1]Pengiriman!X:X)</x:f>
        <x:v>#NAME?</x:v>
      </x:c>
    </x:row>
    <x:row r="123">
      <x:c r="A123" s="2" t="s">
        <x:v>75</x:v>
      </x:c>
      <x:c r="B123" s="2">
        <x:v>5738</x:v>
      </x:c>
      <x:c r="C123" s="2">
        <x:v>12897</x:v>
      </x:c>
      <x:c r="D123" s="2" t="s">
        <x:v>95</x:v>
      </x:c>
      <x:c r="E123" s="2">
        <x:v>13</x:v>
      </x:c>
      <x:c r="F123" s="2">
        <x:v>60</x:v>
      </x:c>
      <x:c r="G123" s="3">
        <x:f t="shared" si="1"/>
        <x:v>11863.083981076872</x:v>
      </x:c>
      <x:c r="H123" s="3">
        <x:v>711785.03886461235</x:v>
      </x:c>
      <x:c r="I123" s="6" t="e">
        <x:f>SUMIF([1]Pengiriman!P:P,B123,[1]Pengiriman!X:X)</x:f>
        <x:v>#NAME?</x:v>
      </x:c>
    </x:row>
    <x:row r="124">
      <x:c r="A124" s="2" t="s">
        <x:v>75</x:v>
      </x:c>
      <x:c r="B124" s="2">
        <x:v>5744</x:v>
      </x:c>
      <x:c r="C124" s="2">
        <x:v>12901</x:v>
      </x:c>
      <x:c r="D124" s="2" t="s">
        <x:v>97</x:v>
      </x:c>
      <x:c r="E124" s="2">
        <x:v>29</x:v>
      </x:c>
      <x:c r="F124" s="2">
        <x:v>134</x:v>
      </x:c>
      <x:c r="G124" s="3">
        <x:f t="shared" si="1"/>
        <x:v>11728.233219364829</x:v>
      </x:c>
      <x:c r="H124" s="3">
        <x:v>1571583.251394887</x:v>
      </x:c>
      <x:c r="I124" s="6" t="e">
        <x:f>SUMIF([1]Pengiriman!P:P,B124,[1]Pengiriman!X:X)</x:f>
        <x:v>#NAME?</x:v>
      </x:c>
    </x:row>
    <x:row r="125">
      <x:c r="A125" s="2" t="s">
        <x:v>75</x:v>
      </x:c>
      <x:c r="B125" s="2">
        <x:v>5601</x:v>
      </x:c>
      <x:c r="C125" s="2">
        <x:v>12855</x:v>
      </x:c>
      <x:c r="D125" s="2" t="s">
        <x:v>101</x:v>
      </x:c>
      <x:c r="E125" s="2">
        <x:v>33</x:v>
      </x:c>
      <x:c r="F125" s="2">
        <x:v>225</x:v>
      </x:c>
      <x:c r="G125" s="3">
        <x:f t="shared" si="1"/>
        <x:v>11394.268844824068</x:v>
      </x:c>
      <x:c r="H125" s="3">
        <x:v>2563710.4900854151</x:v>
      </x:c>
      <x:c r="I125" s="6" t="e">
        <x:f>SUMIF([1]Pengiriman!P:P,B125,[1]Pengiriman!X:X)</x:f>
        <x:v>#NAME?</x:v>
      </x:c>
    </x:row>
    <x:row r="126">
      <x:c r="A126" s="2" t="s">
        <x:v>75</x:v>
      </x:c>
      <x:c r="B126" s="2">
        <x:v>5602</x:v>
      </x:c>
      <x:c r="C126" s="2">
        <x:v>12856</x:v>
      </x:c>
      <x:c r="D126" s="2" t="s">
        <x:v>131</x:v>
      </x:c>
      <x:c r="E126" s="2">
        <x:v>120</x:v>
      </x:c>
      <x:c r="F126" s="2">
        <x:v>298</x:v>
      </x:c>
      <x:c r="G126" s="3">
        <x:f t="shared" si="1"/>
        <x:v>9394.458141208559</x:v>
      </x:c>
      <x:c r="H126" s="3">
        <x:v>2799548.5260801506</x:v>
      </x:c>
      <x:c r="I126" s="6" t="e">
        <x:f>SUMIF([1]Pengiriman!P:P,B126,[1]Pengiriman!X:X)</x:f>
        <x:v>#NAME?</x:v>
      </x:c>
    </x:row>
    <x:row r="127">
      <x:c r="A127" s="2" t="s">
        <x:v>75</x:v>
      </x:c>
      <x:c r="B127" s="2">
        <x:v>5604</x:v>
      </x:c>
      <x:c r="C127" s="2">
        <x:v>12858</x:v>
      </x:c>
      <x:c r="D127" s="2" t="s">
        <x:v>132</x:v>
      </x:c>
      <x:c r="E127" s="2">
        <x:v>24</x:v>
      </x:c>
      <x:c r="F127" s="2">
        <x:v>94</x:v>
      </x:c>
      <x:c r="G127" s="3">
        <x:f t="shared" si="1"/>
        <x:v>8832.9550626686214</x:v>
      </x:c>
      <x:c r="H127" s="3">
        <x:v>830297.77589085046</x:v>
      </x:c>
      <x:c r="I127" s="6" t="e">
        <x:f>SUMIF([1]Pengiriman!P:P,B127,[1]Pengiriman!X:X)</x:f>
        <x:v>#NAME?</x:v>
      </x:c>
    </x:row>
    <x:row r="128">
      <x:c r="A128" s="2" t="s">
        <x:v>75</x:v>
      </x:c>
      <x:c r="B128" s="2">
        <x:v>5605</x:v>
      </x:c>
      <x:c r="C128" s="2">
        <x:v>12859</x:v>
      </x:c>
      <x:c r="D128" s="2" t="s">
        <x:v>99</x:v>
      </x:c>
      <x:c r="E128" s="2">
        <x:v>43</x:v>
      </x:c>
      <x:c r="F128" s="2">
        <x:v>225</x:v>
      </x:c>
      <x:c r="G128" s="3">
        <x:f t="shared" si="1"/>
        <x:v>12211.99289310038</x:v>
      </x:c>
      <x:c r="H128" s="3">
        <x:v>2747698.4009475852</x:v>
      </x:c>
      <x:c r="I128" s="6" t="e">
        <x:f>SUMIF([1]Pengiriman!P:P,B128,[1]Pengiriman!X:X)</x:f>
        <x:v>#NAME?</x:v>
      </x:c>
    </x:row>
    <x:row r="129">
      <x:c r="A129" s="2" t="s">
        <x:v>75</x:v>
      </x:c>
      <x:c r="B129" s="2">
        <x:v>5614</x:v>
      </x:c>
      <x:c r="C129" s="2">
        <x:v>12864</x:v>
      </x:c>
      <x:c r="D129" s="2" t="s">
        <x:v>118</x:v>
      </x:c>
      <x:c r="E129" s="2">
        <x:v>35</x:v>
      </x:c>
      <x:c r="F129" s="2">
        <x:v>225</x:v>
      </x:c>
      <x:c r="G129" s="3">
        <x:f t="shared" si="1"/>
        <x:v>11897.59631632633</x:v>
      </x:c>
      <x:c r="H129" s="3">
        <x:v>2676959.171173424</x:v>
      </x:c>
      <x:c r="I129" s="6" t="e">
        <x:f>SUMIF([1]Pengiriman!P:P,B129,[1]Pengiriman!X:X)</x:f>
        <x:v>#NAME?</x:v>
      </x:c>
    </x:row>
    <x:row r="130">
      <x:c r="A130" s="2" t="s">
        <x:v>75</x:v>
      </x:c>
      <x:c r="B130" s="2">
        <x:v>5674</x:v>
      </x:c>
      <x:c r="C130" s="2">
        <x:v>12877</x:v>
      </x:c>
      <x:c r="D130" s="2" t="s">
        <x:v>133</x:v>
      </x:c>
      <x:c r="E130" s="2">
        <x:v>34</x:v>
      </x:c>
      <x:c r="F130" s="2">
        <x:v>201</x:v>
      </x:c>
      <x:c r="G130" s="3" t="n">
        <x:f t="shared" ref="G130:G193" si="2">H130/F130</x:f>
        <x:v>10678.450831178252</x:v>
      </x:c>
      <x:c r="H130" s="3">
        <x:v>2146368.6170668285</x:v>
      </x:c>
      <x:c r="I130" s="6" t="e">
        <x:f>SUMIF([1]Pengiriman!P:P,B130,[1]Pengiriman!X:X)</x:f>
        <x:v>#NAME?</x:v>
      </x:c>
    </x:row>
    <x:row r="131">
      <x:c r="A131" s="2" t="s">
        <x:v>75</x:v>
      </x:c>
      <x:c r="B131" s="2">
        <x:v>5701</x:v>
      </x:c>
      <x:c r="C131" s="2">
        <x:v>12884</x:v>
      </x:c>
      <x:c r="D131" s="2" t="s">
        <x:v>98</x:v>
      </x:c>
      <x:c r="E131" s="2">
        <x:v>36</x:v>
      </x:c>
      <x:c r="F131" s="2">
        <x:v>225</x:v>
      </x:c>
      <x:c r="G131" s="3">
        <x:f t="shared" si="2"/>
        <x:v>11519.397008766009</x:v>
      </x:c>
      <x:c r="H131" s="3">
        <x:v>2591864.3269723519</x:v>
      </x:c>
      <x:c r="I131" s="6" t="e">
        <x:f>SUMIF([1]Pengiriman!P:P,B131,[1]Pengiriman!X:X)</x:f>
        <x:v>#NAME?</x:v>
      </x:c>
    </x:row>
    <x:row r="132">
      <x:c r="A132" s="2" t="s">
        <x:v>75</x:v>
      </x:c>
      <x:c r="B132" s="2">
        <x:v>5704</x:v>
      </x:c>
      <x:c r="C132" s="2">
        <x:v>12885</x:v>
      </x:c>
      <x:c r="D132" s="2" t="s">
        <x:v>99</x:v>
      </x:c>
      <x:c r="E132" s="2">
        <x:v>42</x:v>
      </x:c>
      <x:c r="F132" s="2">
        <x:v>225</x:v>
      </x:c>
      <x:c r="G132" s="3">
        <x:f t="shared" si="2"/>
        <x:v>11574.935491079723</x:v>
      </x:c>
      <x:c r="H132" s="3">
        <x:v>2604360.4854929377</x:v>
      </x:c>
      <x:c r="I132" s="6" t="e">
        <x:f>SUMIF([1]Pengiriman!P:P,B132,[1]Pengiriman!X:X)</x:f>
        <x:v>#NAME?</x:v>
      </x:c>
    </x:row>
    <x:row r="133">
      <x:c r="A133" s="2" t="s">
        <x:v>75</x:v>
      </x:c>
      <x:c r="B133" s="2">
        <x:v>5706</x:v>
      </x:c>
      <x:c r="C133" s="2">
        <x:v>12886</x:v>
      </x:c>
      <x:c r="D133" s="2" t="s">
        <x:v>131</x:v>
      </x:c>
      <x:c r="E133" s="2">
        <x:v>92</x:v>
      </x:c>
      <x:c r="F133" s="2">
        <x:v>261</x:v>
      </x:c>
      <x:c r="G133" s="3">
        <x:f t="shared" si="2"/>
        <x:v>10765.268145210068</x:v>
      </x:c>
      <x:c r="H133" s="3">
        <x:v>2809734.9858998279</x:v>
      </x:c>
      <x:c r="I133" s="6" t="e">
        <x:f>SUMIF([1]Pengiriman!P:P,B133,[1]Pengiriman!X:X)</x:f>
        <x:v>#NAME?</x:v>
      </x:c>
    </x:row>
    <x:row r="134">
      <x:c r="A134" s="2" t="s">
        <x:v>75</x:v>
      </x:c>
      <x:c r="B134" s="2">
        <x:v>5715</x:v>
      </x:c>
      <x:c r="C134" s="2">
        <x:v>12888</x:v>
      </x:c>
      <x:c r="D134" s="2" t="s">
        <x:v>110</x:v>
      </x:c>
      <x:c r="E134" s="2">
        <x:v>46</x:v>
      </x:c>
      <x:c r="F134" s="2">
        <x:v>225</x:v>
      </x:c>
      <x:c r="G134" s="3">
        <x:f t="shared" si="2"/>
        <x:v>11508.493284548553</x:v>
      </x:c>
      <x:c r="H134" s="3">
        <x:v>2589410.9890234242</x:v>
      </x:c>
      <x:c r="I134" s="6" t="e">
        <x:f>SUMIF([1]Pengiriman!P:P,B134,[1]Pengiriman!X:X)</x:f>
        <x:v>#NAME?</x:v>
      </x:c>
    </x:row>
    <x:row r="135">
      <x:c r="A135" s="2" t="s">
        <x:v>75</x:v>
      </x:c>
      <x:c r="B135" s="2">
        <x:v>5718</x:v>
      </x:c>
      <x:c r="C135" s="2">
        <x:v>12891</x:v>
      </x:c>
      <x:c r="D135" s="2" t="s">
        <x:v>119</x:v>
      </x:c>
      <x:c r="E135" s="2">
        <x:v>0</x:v>
      </x:c>
      <x:c r="F135" s="2">
        <x:v>225</x:v>
      </x:c>
      <x:c r="G135" s="3">
        <x:f t="shared" si="2"/>
        <x:v>4990.3230659273859</x:v>
      </x:c>
      <x:c r="H135" s="3">
        <x:v>1122822.6898336618</x:v>
      </x:c>
      <x:c r="I135" s="6" t="e">
        <x:f>SUMIF([1]Pengiriman!P:P,B135,[1]Pengiriman!X:X)</x:f>
        <x:v>#NAME?</x:v>
      </x:c>
    </x:row>
    <x:row r="136">
      <x:c r="A136" s="2" t="s">
        <x:v>75</x:v>
      </x:c>
      <x:c r="B136" s="2">
        <x:v>5741</x:v>
      </x:c>
      <x:c r="C136" s="2">
        <x:v>12898</x:v>
      </x:c>
      <x:c r="D136" s="2" t="s">
        <x:v>101</x:v>
      </x:c>
      <x:c r="E136" s="2">
        <x:v>36</x:v>
      </x:c>
      <x:c r="F136" s="2">
        <x:v>225</x:v>
      </x:c>
      <x:c r="G136" s="3">
        <x:f t="shared" si="2"/>
        <x:v>11719.08707118776</x:v>
      </x:c>
      <x:c r="H136" s="3">
        <x:v>2636794.5910172458</x:v>
      </x:c>
      <x:c r="I136" s="6" t="e">
        <x:f>SUMIF([1]Pengiriman!P:P,B136,[1]Pengiriman!X:X)</x:f>
        <x:v>#NAME?</x:v>
      </x:c>
    </x:row>
    <x:row r="137">
      <x:c r="A137" s="2" t="s">
        <x:v>75</x:v>
      </x:c>
      <x:c r="B137" s="2">
        <x:v>5743</x:v>
      </x:c>
      <x:c r="C137" s="2">
        <x:v>12900</x:v>
      </x:c>
      <x:c r="D137" s="2" t="s">
        <x:v>88</x:v>
      </x:c>
      <x:c r="E137" s="2">
        <x:v>36</x:v>
      </x:c>
      <x:c r="F137" s="2">
        <x:v>225</x:v>
      </x:c>
      <x:c r="G137" s="3">
        <x:f t="shared" si="2"/>
        <x:v>11755.13129486977</x:v>
      </x:c>
      <x:c r="H137" s="3">
        <x:v>2644904.5413456983</x:v>
      </x:c>
      <x:c r="I137" s="6" t="e">
        <x:f>SUMIF([1]Pengiriman!P:P,B137,[1]Pengiriman!X:X)</x:f>
        <x:v>#NAME?</x:v>
      </x:c>
    </x:row>
    <x:row r="138">
      <x:c r="A138" s="2" t="s">
        <x:v>75</x:v>
      </x:c>
      <x:c r="B138" s="2">
        <x:v>5595</x:v>
      </x:c>
      <x:c r="C138" s="2">
        <x:v>12852</x:v>
      </x:c>
      <x:c r="D138" s="2" t="s">
        <x:v>112</x:v>
      </x:c>
      <x:c r="E138" s="2">
        <x:v>44</x:v>
      </x:c>
      <x:c r="F138" s="2">
        <x:v>225</x:v>
      </x:c>
      <x:c r="G138" s="3">
        <x:f t="shared" si="2"/>
        <x:v>12211.99289310038</x:v>
      </x:c>
      <x:c r="H138" s="3">
        <x:v>2747698.4009475852</x:v>
      </x:c>
      <x:c r="I138" s="6" t="e">
        <x:f>SUMIF([1]Pengiriman!P:P,B138,[1]Pengiriman!X:X)</x:f>
        <x:v>#NAME?</x:v>
      </x:c>
    </x:row>
    <x:row r="139">
      <x:c r="A139" s="2" t="s">
        <x:v>75</x:v>
      </x:c>
      <x:c r="B139" s="2">
        <x:v>5597</x:v>
      </x:c>
      <x:c r="C139" s="2">
        <x:v>12853</x:v>
      </x:c>
      <x:c r="D139" s="2" t="s">
        <x:v>112</x:v>
      </x:c>
      <x:c r="E139" s="2">
        <x:v>42</x:v>
      </x:c>
      <x:c r="F139" s="2">
        <x:v>225</x:v>
      </x:c>
      <x:c r="G139" s="3">
        <x:f t="shared" si="2"/>
        <x:v>12211.99289310038</x:v>
      </x:c>
      <x:c r="H139" s="3">
        <x:v>2747698.4009475852</x:v>
      </x:c>
      <x:c r="I139" s="6" t="e">
        <x:f>SUMIF([1]Pengiriman!P:P,B139,[1]Pengiriman!X:X)</x:f>
        <x:v>#NAME?</x:v>
      </x:c>
    </x:row>
    <x:row r="140">
      <x:c r="A140" s="2" t="s">
        <x:v>75</x:v>
      </x:c>
      <x:c r="B140" s="2">
        <x:v>5600</x:v>
      </x:c>
      <x:c r="C140" s="2">
        <x:v>12854</x:v>
      </x:c>
      <x:c r="D140" s="2" t="s">
        <x:v>95</x:v>
      </x:c>
      <x:c r="E140" s="2">
        <x:v>52</x:v>
      </x:c>
      <x:c r="F140" s="2">
        <x:v>225</x:v>
      </x:c>
      <x:c r="G140" s="3">
        <x:f t="shared" si="2"/>
        <x:v>11207.770377673165</x:v>
      </x:c>
      <x:c r="H140" s="3">
        <x:v>2521748.3349764622</x:v>
      </x:c>
      <x:c r="I140" s="6" t="e">
        <x:f>SUMIF([1]Pengiriman!P:P,B140,[1]Pengiriman!X:X)</x:f>
        <x:v>#NAME?</x:v>
      </x:c>
    </x:row>
    <x:row r="141">
      <x:c r="A141" s="2" t="s">
        <x:v>75</x:v>
      </x:c>
      <x:c r="B141" s="2">
        <x:v>5603</x:v>
      </x:c>
      <x:c r="C141" s="2">
        <x:v>12857</x:v>
      </x:c>
      <x:c r="D141" s="2" t="s">
        <x:v>88</x:v>
      </x:c>
      <x:c r="E141" s="2">
        <x:v>37</x:v>
      </x:c>
      <x:c r="F141" s="2">
        <x:v>225</x:v>
      </x:c>
      <x:c r="G141" s="3">
        <x:f t="shared" si="2"/>
        <x:v>11128.867180032259</x:v>
      </x:c>
      <x:c r="H141" s="3">
        <x:v>2503995.1155072581</x:v>
      </x:c>
      <x:c r="I141" s="6" t="e">
        <x:f>SUMIF([1]Pengiriman!P:P,B141,[1]Pengiriman!X:X)</x:f>
        <x:v>#NAME?</x:v>
      </x:c>
    </x:row>
    <x:row r="142">
      <x:c r="A142" s="2" t="s">
        <x:v>75</x:v>
      </x:c>
      <x:c r="B142" s="2">
        <x:v>5609</x:v>
      </x:c>
      <x:c r="C142" s="2">
        <x:v>12861</x:v>
      </x:c>
      <x:c r="D142" s="2" t="s">
        <x:v>99</x:v>
      </x:c>
      <x:c r="E142" s="2">
        <x:v>44</x:v>
      </x:c>
      <x:c r="F142" s="2">
        <x:v>225</x:v>
      </x:c>
      <x:c r="G142" s="3">
        <x:f t="shared" si="2"/>
        <x:v>10777.389299632932</x:v>
      </x:c>
      <x:c r="H142" s="3">
        <x:v>2424912.5924174096</x:v>
      </x:c>
      <x:c r="I142" s="6" t="e">
        <x:f>SUMIF([1]Pengiriman!P:P,B142,[1]Pengiriman!X:X)</x:f>
        <x:v>#NAME?</x:v>
      </x:c>
    </x:row>
    <x:row r="143">
      <x:c r="A143" s="2" t="s">
        <x:v>75</x:v>
      </x:c>
      <x:c r="B143" s="2">
        <x:v>5627</x:v>
      </x:c>
      <x:c r="C143" s="2">
        <x:v>12867</x:v>
      </x:c>
      <x:c r="D143" s="2" t="s">
        <x:v>104</x:v>
      </x:c>
      <x:c r="E143" s="2">
        <x:v>0</x:v>
      </x:c>
      <x:c r="F143" s="2">
        <x:v>225</x:v>
      </x:c>
      <x:c r="G143" s="3">
        <x:f t="shared" si="2"/>
        <x:v>8703.0780186737156</x:v>
      </x:c>
      <x:c r="H143" s="3">
        <x:v>1958192.5542015859</x:v>
      </x:c>
      <x:c r="I143" s="6" t="e">
        <x:f>SUMIF([1]Pengiriman!P:P,B143,[1]Pengiriman!X:X)</x:f>
        <x:v>#NAME?</x:v>
      </x:c>
    </x:row>
    <x:row r="144">
      <x:c r="A144" s="2" t="s">
        <x:v>75</x:v>
      </x:c>
      <x:c r="B144" s="2">
        <x:v>5628</x:v>
      </x:c>
      <x:c r="C144" s="2">
        <x:v>12868</x:v>
      </x:c>
      <x:c r="D144" s="2" t="s">
        <x:v>104</x:v>
      </x:c>
      <x:c r="E144" s="2">
        <x:v>0</x:v>
      </x:c>
      <x:c r="F144" s="2">
        <x:v>225</x:v>
      </x:c>
      <x:c r="G144" s="3">
        <x:f t="shared" si="2"/>
        <x:v>11775.327930949652</x:v>
      </x:c>
      <x:c r="H144" s="3">
        <x:v>2649448.7844636715</x:v>
      </x:c>
      <x:c r="I144" s="6" t="e">
        <x:f>SUMIF([1]Pengiriman!P:P,B144,[1]Pengiriman!X:X)</x:f>
        <x:v>#NAME?</x:v>
      </x:c>
    </x:row>
    <x:row r="145">
      <x:c r="A145" s="2" t="s">
        <x:v>75</x:v>
      </x:c>
      <x:c r="B145" s="2">
        <x:v>5635</x:v>
      </x:c>
      <x:c r="C145" s="2">
        <x:v>12871</x:v>
      </x:c>
      <x:c r="D145" s="2" t="s">
        <x:v>134</x:v>
      </x:c>
      <x:c r="E145" s="2">
        <x:v>13</x:v>
      </x:c>
      <x:c r="F145" s="2">
        <x:v>68</x:v>
      </x:c>
      <x:c r="G145" s="3">
        <x:f t="shared" si="2"/>
        <x:v>12211.992893100352</x:v>
      </x:c>
      <x:c r="H145" s="3">
        <x:v>830415.5167308239</x:v>
      </x:c>
      <x:c r="I145" s="6" t="e">
        <x:f>SUMIF([1]Pengiriman!P:P,B145,[1]Pengiriman!X:X)</x:f>
        <x:v>#NAME?</x:v>
      </x:c>
    </x:row>
    <x:row r="146">
      <x:c r="A146" s="2" t="s">
        <x:v>75</x:v>
      </x:c>
      <x:c r="B146" s="2">
        <x:v>5676</x:v>
      </x:c>
      <x:c r="C146" s="2">
        <x:v>12878</x:v>
      </x:c>
      <x:c r="D146" s="2" t="s">
        <x:v>104</x:v>
      </x:c>
      <x:c r="E146" s="2">
        <x:v>0</x:v>
      </x:c>
      <x:c r="F146" s="2">
        <x:v>225</x:v>
      </x:c>
      <x:c r="G146" s="3">
        <x:f t="shared" si="2"/>
        <x:v>8728.749527767066</x:v>
      </x:c>
      <x:c r="H146" s="3">
        <x:v>1963968.64374759</x:v>
      </x:c>
      <x:c r="I146" s="6" t="e">
        <x:f>SUMIF([1]Pengiriman!P:P,B146,[1]Pengiriman!X:X)</x:f>
        <x:v>#NAME?</x:v>
      </x:c>
    </x:row>
    <x:row r="147">
      <x:c r="A147" s="2" t="s">
        <x:v>75</x:v>
      </x:c>
      <x:c r="B147" s="2">
        <x:v>5678</x:v>
      </x:c>
      <x:c r="C147" s="2">
        <x:v>12880</x:v>
      </x:c>
      <x:c r="D147" s="2" t="s">
        <x:v>104</x:v>
      </x:c>
      <x:c r="E147" s="2">
        <x:v>0</x:v>
      </x:c>
      <x:c r="F147" s="2">
        <x:v>225</x:v>
      </x:c>
      <x:c r="G147" s="3">
        <x:f t="shared" si="2"/>
        <x:v>8733.3314103609046</x:v>
      </x:c>
      <x:c r="H147" s="3">
        <x:v>1964999.5673312035</x:v>
      </x:c>
      <x:c r="I147" s="6" t="e">
        <x:f>SUMIF([1]Pengiriman!P:P,B147,[1]Pengiriman!X:X)</x:f>
        <x:v>#NAME?</x:v>
      </x:c>
    </x:row>
    <x:row r="148">
      <x:c r="A148" s="2" t="s">
        <x:v>75</x:v>
      </x:c>
      <x:c r="B148" s="2">
        <x:v>5717</x:v>
      </x:c>
      <x:c r="C148" s="2">
        <x:v>12890</x:v>
      </x:c>
      <x:c r="D148" s="2" t="s">
        <x:v>104</x:v>
      </x:c>
      <x:c r="E148" s="2">
        <x:v>0</x:v>
      </x:c>
      <x:c r="F148" s="2">
        <x:v>225</x:v>
      </x:c>
      <x:c r="G148" s="3">
        <x:f t="shared" si="2"/>
        <x:v>9794.547124385248</x:v>
      </x:c>
      <x:c r="H148" s="3">
        <x:v>2203773.1029866808</x:v>
      </x:c>
      <x:c r="I148" s="6" t="e">
        <x:f>SUMIF([1]Pengiriman!P:P,B148,[1]Pengiriman!X:X)</x:f>
        <x:v>#NAME?</x:v>
      </x:c>
    </x:row>
    <x:row r="149">
      <x:c r="A149" s="2" t="s">
        <x:v>75</x:v>
      </x:c>
      <x:c r="B149" s="2">
        <x:v>5722</x:v>
      </x:c>
      <x:c r="C149" s="2">
        <x:v>12894</x:v>
      </x:c>
      <x:c r="D149" s="2" t="s">
        <x:v>104</x:v>
      </x:c>
      <x:c r="E149" s="2">
        <x:v>0</x:v>
      </x:c>
      <x:c r="F149" s="2">
        <x:v>225</x:v>
      </x:c>
      <x:c r="G149" s="3">
        <x:f t="shared" si="2"/>
        <x:v>10476.448120864408</x:v>
      </x:c>
      <x:c r="H149" s="3">
        <x:v>2357200.8271944919</x:v>
      </x:c>
      <x:c r="I149" s="6" t="e">
        <x:f>SUMIF([1]Pengiriman!P:P,B149,[1]Pengiriman!X:X)</x:f>
        <x:v>#NAME?</x:v>
      </x:c>
    </x:row>
    <x:row r="150">
      <x:c r="A150" s="2" t="s">
        <x:v>75</x:v>
      </x:c>
      <x:c r="B150" s="2">
        <x:v>5742</x:v>
      </x:c>
      <x:c r="C150" s="2">
        <x:v>12899</x:v>
      </x:c>
      <x:c r="D150" s="2" t="s">
        <x:v>99</x:v>
      </x:c>
      <x:c r="E150" s="2">
        <x:v>45</x:v>
      </x:c>
      <x:c r="F150" s="2">
        <x:v>225</x:v>
      </x:c>
      <x:c r="G150" s="3">
        <x:f t="shared" si="2"/>
        <x:v>11785.396075901805</x:v>
      </x:c>
      <x:c r="H150" s="3">
        <x:v>2651714.1170779062</x:v>
      </x:c>
      <x:c r="I150" s="6" t="e">
        <x:f>SUMIF([1]Pengiriman!P:P,B150,[1]Pengiriman!X:X)</x:f>
        <x:v>#NAME?</x:v>
      </x:c>
    </x:row>
    <x:row r="151">
      <x:c r="A151" s="2" t="s">
        <x:v>75</x:v>
      </x:c>
      <x:c r="B151" s="2">
        <x:v>5608</x:v>
      </x:c>
      <x:c r="C151" s="2">
        <x:v>12860</x:v>
      </x:c>
      <x:c r="D151" s="2" t="s">
        <x:v>80</x:v>
      </x:c>
      <x:c r="E151" s="2">
        <x:v>0</x:v>
      </x:c>
      <x:c r="F151" s="2">
        <x:v>35</x:v>
      </x:c>
      <x:c r="G151" s="3">
        <x:f t="shared" si="2"/>
        <x:v>8703.0780186738757</x:v>
      </x:c>
      <x:c r="H151" s="3">
        <x:v>304607.73065358563</x:v>
      </x:c>
      <x:c r="I151" s="6" t="e">
        <x:f>SUMIF([1]Pengiriman!P:P,B151,[1]Pengiriman!X:X)</x:f>
        <x:v>#NAME?</x:v>
      </x:c>
    </x:row>
    <x:row r="152">
      <x:c r="A152" s="2" t="s">
        <x:v>75</x:v>
      </x:c>
      <x:c r="B152" s="2">
        <x:v>5630</x:v>
      </x:c>
      <x:c r="C152" s="2">
        <x:v>12870</x:v>
      </x:c>
      <x:c r="D152" s="2" t="s">
        <x:v>5</x:v>
      </x:c>
      <x:c r="E152" s="2">
        <x:v>0</x:v>
      </x:c>
      <x:c r="F152" s="2">
        <x:v>50</x:v>
      </x:c>
      <x:c r="G152" s="3">
        <x:f t="shared" si="2"/>
        <x:v>8703.0780186737593</x:v>
      </x:c>
      <x:c r="H152" s="3">
        <x:v>435153.90093368798</x:v>
      </x:c>
      <x:c r="I152" s="6" t="e">
        <x:f>SUMIF([1]Pengiriman!P:P,B152,[1]Pengiriman!X:X)</x:f>
        <x:v>#NAME?</x:v>
      </x:c>
    </x:row>
    <x:row r="153">
      <x:c r="A153" s="2" t="s">
        <x:v>75</x:v>
      </x:c>
      <x:c r="B153" s="2">
        <x:v>5716</x:v>
      </x:c>
      <x:c r="C153" s="2">
        <x:v>12889</x:v>
      </x:c>
      <x:c r="D153" s="2" t="s">
        <x:v>5</x:v>
      </x:c>
      <x:c r="E153" s="2">
        <x:v>0</x:v>
      </x:c>
      <x:c r="F153" s="2">
        <x:v>432</x:v>
      </x:c>
      <x:c r="G153" s="3">
        <x:f t="shared" si="2"/>
        <x:v>10873.907945277577</x:v>
      </x:c>
      <x:c r="H153" s="3">
        <x:v>4697528.2323599132</x:v>
      </x:c>
      <x:c r="I153" s="6" t="e">
        <x:f>SUMIF([1]Pengiriman!P:P,B153,[1]Pengiriman!X:X)</x:f>
        <x:v>#NAME?</x:v>
      </x:c>
    </x:row>
    <x:row r="154">
      <x:c r="A154" s="2" t="s">
        <x:v>75</x:v>
      </x:c>
      <x:c r="B154" s="2">
        <x:v>5723</x:v>
      </x:c>
      <x:c r="C154" s="2">
        <x:v>12895</x:v>
      </x:c>
      <x:c r="D154" s="2" t="s">
        <x:v>5</x:v>
      </x:c>
      <x:c r="E154" s="2">
        <x:v>0</x:v>
      </x:c>
      <x:c r="F154" s="2">
        <x:v>435</x:v>
      </x:c>
      <x:c r="G154" s="3">
        <x:f t="shared" si="2"/>
        <x:v>10963.514328051093</x:v>
      </x:c>
      <x:c r="H154" s="3">
        <x:v>4769128.7327022254</x:v>
      </x:c>
      <x:c r="I154" s="6" t="e">
        <x:f>SUMIF([1]Pengiriman!P:P,B154,[1]Pengiriman!X:X)</x:f>
        <x:v>#NAME?</x:v>
      </x:c>
    </x:row>
    <x:row r="155">
      <x:c r="A155" s="2" t="s">
        <x:v>75</x:v>
      </x:c>
      <x:c r="B155" s="2">
        <x:v>5728</x:v>
      </x:c>
      <x:c r="C155" s="2">
        <x:v>12896</x:v>
      </x:c>
      <x:c r="D155" s="2" t="s">
        <x:v>5</x:v>
      </x:c>
      <x:c r="E155" s="2">
        <x:v>0</x:v>
      </x:c>
      <x:c r="F155" s="2">
        <x:v>431</x:v>
      </x:c>
      <x:c r="G155" s="3">
        <x:f t="shared" si="2"/>
        <x:v>10178.331731748724</x:v>
      </x:c>
      <x:c r="H155" s="3">
        <x:v>4386860.9763837</x:v>
      </x:c>
      <x:c r="I155" s="6" t="e">
        <x:f>SUMIF([1]Pengiriman!P:P,B155,[1]Pengiriman!X:X)</x:f>
        <x:v>#NAME?</x:v>
      </x:c>
    </x:row>
    <x:row r="156">
      <x:c r="A156" s="2" t="s">
        <x:v>75</x:v>
      </x:c>
      <x:c r="B156" s="2">
        <x:v>5754</x:v>
      </x:c>
      <x:c r="C156" s="2">
        <x:v>12910</x:v>
      </x:c>
      <x:c r="D156" s="2" t="s">
        <x:v>113</x:v>
      </x:c>
      <x:c r="E156" s="2">
        <x:v>23</x:v>
      </x:c>
      <x:c r="F156" s="2">
        <x:v>148</x:v>
      </x:c>
      <x:c r="G156" s="3">
        <x:f t="shared" si="2"/>
        <x:v>11796.114788455476</x:v>
      </x:c>
      <x:c r="H156" s="3">
        <x:v>1745824.9886914105</x:v>
      </x:c>
      <x:c r="I156" s="6" t="e">
        <x:f>SUMIF([1]Pengiriman!P:P,B156,[1]Pengiriman!X:X)</x:f>
        <x:v>#NAME?</x:v>
      </x:c>
    </x:row>
    <x:row r="157">
      <x:c r="A157" s="2" t="s">
        <x:v>75</x:v>
      </x:c>
      <x:c r="B157" s="2">
        <x:v>5768</x:v>
      </x:c>
      <x:c r="C157" s="2">
        <x:v>12920</x:v>
      </x:c>
      <x:c r="D157" s="2" t="s">
        <x:v>96</x:v>
      </x:c>
      <x:c r="E157" s="2">
        <x:v>32</x:v>
      </x:c>
      <x:c r="F157" s="2">
        <x:v>162</x:v>
      </x:c>
      <x:c r="G157" s="3">
        <x:f t="shared" si="2"/>
        <x:v>11851.182019399112</x:v>
      </x:c>
      <x:c r="H157" s="3">
        <x:v>1919891.487142656</x:v>
      </x:c>
      <x:c r="I157" s="6" t="e">
        <x:f>SUMIF([1]Pengiriman!P:P,B157,[1]Pengiriman!X:X)</x:f>
        <x:v>#NAME?</x:v>
      </x:c>
    </x:row>
    <x:row r="158">
      <x:c r="A158" s="2" t="s">
        <x:v>75</x:v>
      </x:c>
      <x:c r="B158" s="2">
        <x:v>5772</x:v>
      </x:c>
      <x:c r="C158" s="2">
        <x:v>12923</x:v>
      </x:c>
      <x:c r="D158" s="2" t="s">
        <x:v>110</x:v>
      </x:c>
      <x:c r="E158" s="2">
        <x:v>45</x:v>
      </x:c>
      <x:c r="F158" s="2">
        <x:v>219</x:v>
      </x:c>
      <x:c r="G158" s="3">
        <x:f t="shared" si="2"/>
        <x:v>11776.896389183228</x:v>
      </x:c>
      <x:c r="H158" s="3">
        <x:v>2579140.3092311271</x:v>
      </x:c>
      <x:c r="I158" s="6" t="e">
        <x:f>SUMIF([1]Pengiriman!P:P,B158,[1]Pengiriman!X:X)</x:f>
        <x:v>#NAME?</x:v>
      </x:c>
    </x:row>
    <x:row r="159">
      <x:c r="A159" s="2" t="s">
        <x:v>75</x:v>
      </x:c>
      <x:c r="B159" s="2">
        <x:v>5786</x:v>
      </x:c>
      <x:c r="C159" s="2">
        <x:v>12929</x:v>
      </x:c>
      <x:c r="D159" s="2" t="s">
        <x:v>112</x:v>
      </x:c>
      <x:c r="E159" s="2">
        <x:v>42</x:v>
      </x:c>
      <x:c r="F159" s="2">
        <x:v>225</x:v>
      </x:c>
      <x:c r="G159" s="3">
        <x:f t="shared" si="2"/>
        <x:v>11828.074370811728</x:v>
      </x:c>
      <x:c r="H159" s="3">
        <x:v>2661316.7334326389</x:v>
      </x:c>
      <x:c r="I159" s="6" t="e">
        <x:f>SUMIF([1]Pengiriman!P:P,B159,[1]Pengiriman!X:X)</x:f>
        <x:v>#NAME?</x:v>
      </x:c>
    </x:row>
    <x:row r="160">
      <x:c r="A160" s="2" t="s">
        <x:v>75</x:v>
      </x:c>
      <x:c r="B160" s="2">
        <x:v>5787</x:v>
      </x:c>
      <x:c r="C160" s="2">
        <x:v>12930</x:v>
      </x:c>
      <x:c r="D160" s="2" t="s">
        <x:v>99</x:v>
      </x:c>
      <x:c r="E160" s="2">
        <x:v>27</x:v>
      </x:c>
      <x:c r="F160" s="2">
        <x:v>146</x:v>
      </x:c>
      <x:c r="G160" s="3">
        <x:f t="shared" si="2"/>
        <x:v>11826.013088519732</x:v>
      </x:c>
      <x:c r="H160" s="3">
        <x:v>1726597.910923881</x:v>
      </x:c>
      <x:c r="I160" s="6" t="e">
        <x:f>SUMIF([1]Pengiriman!P:P,B160,[1]Pengiriman!X:X)</x:f>
        <x:v>#NAME?</x:v>
      </x:c>
    </x:row>
    <x:row r="161">
      <x:c r="A161" s="2" t="s">
        <x:v>75</x:v>
      </x:c>
      <x:c r="B161" s="2">
        <x:v>5788</x:v>
      </x:c>
      <x:c r="C161" s="2">
        <x:v>12931</x:v>
      </x:c>
      <x:c r="D161" s="2" t="s">
        <x:v>88</x:v>
      </x:c>
      <x:c r="E161" s="2">
        <x:v>5</x:v>
      </x:c>
      <x:c r="F161" s="2">
        <x:v>35</x:v>
      </x:c>
      <x:c r="G161" s="3">
        <x:f t="shared" si="2"/>
        <x:v>12097.889114954241</x:v>
      </x:c>
      <x:c r="H161" s="3">
        <x:v>423426.11902339844</x:v>
      </x:c>
      <x:c r="I161" s="6" t="e">
        <x:f>SUMIF([1]Pengiriman!P:P,B161,[1]Pengiriman!X:X)</x:f>
        <x:v>#NAME?</x:v>
      </x:c>
    </x:row>
    <x:row r="162">
      <x:c r="A162" s="2" t="s">
        <x:v>75</x:v>
      </x:c>
      <x:c r="B162" s="2">
        <x:v>5800</x:v>
      </x:c>
      <x:c r="C162" s="2">
        <x:v>12935</x:v>
      </x:c>
      <x:c r="D162" s="2" t="s">
        <x:v>112</x:v>
      </x:c>
      <x:c r="E162" s="2">
        <x:v>13</x:v>
      </x:c>
      <x:c r="F162" s="2">
        <x:v>67</x:v>
      </x:c>
      <x:c r="G162" s="3">
        <x:f t="shared" si="2"/>
        <x:v>11708.733233979598</x:v>
      </x:c>
      <x:c r="H162" s="3">
        <x:v>784485.12667663302</x:v>
      </x:c>
      <x:c r="I162" s="6" t="e">
        <x:f>SUMIF([1]Pengiriman!P:P,B162,[1]Pengiriman!X:X)</x:f>
        <x:v>#NAME?</x:v>
      </x:c>
    </x:row>
    <x:row r="163">
      <x:c r="A163" s="2" t="s">
        <x:v>75</x:v>
      </x:c>
      <x:c r="B163" s="2">
        <x:v>5801</x:v>
      </x:c>
      <x:c r="C163" s="2">
        <x:v>12936</x:v>
      </x:c>
      <x:c r="D163" s="2" t="s">
        <x:v>98</x:v>
      </x:c>
      <x:c r="E163" s="2">
        <x:v>2</x:v>
      </x:c>
      <x:c r="F163" s="2">
        <x:v>15</x:v>
      </x:c>
      <x:c r="G163" s="3">
        <x:f t="shared" si="2"/>
        <x:v>11708.733233979885</x:v>
      </x:c>
      <x:c r="H163" s="3">
        <x:v>175630.99850969829</x:v>
      </x:c>
      <x:c r="I163" s="6" t="e">
        <x:f>SUMIF([1]Pengiriman!P:P,B163,[1]Pengiriman!X:X)</x:f>
        <x:v>#NAME?</x:v>
      </x:c>
    </x:row>
    <x:row r="164">
      <x:c r="A164" s="2" t="s">
        <x:v>75</x:v>
      </x:c>
      <x:c r="B164" s="2">
        <x:v>5802</x:v>
      </x:c>
      <x:c r="C164" s="2">
        <x:v>12937</x:v>
      </x:c>
      <x:c r="D164" s="2" t="s">
        <x:v>120</x:v>
      </x:c>
      <x:c r="E164" s="2">
        <x:v>9</x:v>
      </x:c>
      <x:c r="F164" s="2">
        <x:v>60</x:v>
      </x:c>
      <x:c r="G164" s="3">
        <x:f t="shared" si="2"/>
        <x:v>11708.73323397955</x:v>
      </x:c>
      <x:c r="H164" s="3">
        <x:v>702523.994038773</x:v>
      </x:c>
      <x:c r="I164" s="6" t="e">
        <x:f>SUMIF([1]Pengiriman!P:P,B164,[1]Pengiriman!X:X)</x:f>
        <x:v>#NAME?</x:v>
      </x:c>
    </x:row>
    <x:row r="165">
      <x:c r="A165" s="2" t="s">
        <x:v>75</x:v>
      </x:c>
      <x:c r="B165" s="2">
        <x:v>5803</x:v>
      </x:c>
      <x:c r="C165" s="2">
        <x:v>12938</x:v>
      </x:c>
      <x:c r="D165" s="2" t="s">
        <x:v>118</x:v>
      </x:c>
      <x:c r="E165" s="2">
        <x:v>19</x:v>
      </x:c>
      <x:c r="F165" s="2">
        <x:v>125</x:v>
      </x:c>
      <x:c r="G165" s="3">
        <x:f t="shared" si="2"/>
        <x:v>11708.733233979752</x:v>
      </x:c>
      <x:c r="H165" s="3">
        <x:v>1463591.654247469</x:v>
      </x:c>
      <x:c r="I165" s="6" t="e">
        <x:f>SUMIF([1]Pengiriman!P:P,B165,[1]Pengiriman!X:X)</x:f>
        <x:v>#NAME?</x:v>
      </x:c>
    </x:row>
    <x:row r="166">
      <x:c r="A166" s="2" t="s">
        <x:v>75</x:v>
      </x:c>
      <x:c r="B166" s="2">
        <x:v>5806</x:v>
      </x:c>
      <x:c r="C166" s="2">
        <x:v>12939</x:v>
      </x:c>
      <x:c r="D166" s="2" t="s">
        <x:v>121</x:v>
      </x:c>
      <x:c r="E166" s="2">
        <x:v>37</x:v>
      </x:c>
      <x:c r="F166" s="2">
        <x:v>192</x:v>
      </x:c>
      <x:c r="G166" s="3">
        <x:f t="shared" si="2"/>
        <x:v>11708.73323397949</x:v>
      </x:c>
      <x:c r="H166" s="3">
        <x:v>2248076.7809240622</x:v>
      </x:c>
      <x:c r="I166" s="6" t="e">
        <x:f>SUMIF([1]Pengiriman!P:P,B166,[1]Pengiriman!X:X)</x:f>
        <x:v>#NAME?</x:v>
      </x:c>
    </x:row>
    <x:row r="167">
      <x:c r="A167" s="2" t="s">
        <x:v>75</x:v>
      </x:c>
      <x:c r="B167" s="2">
        <x:v>5807</x:v>
      </x:c>
      <x:c r="C167" s="2">
        <x:v>12940</x:v>
      </x:c>
      <x:c r="D167" s="2" t="s">
        <x:v>116</x:v>
      </x:c>
      <x:c r="E167" s="2">
        <x:v>9</x:v>
      </x:c>
      <x:c r="F167" s="2">
        <x:v>46</x:v>
      </x:c>
      <x:c r="G167" s="3">
        <x:f t="shared" si="2"/>
        <x:v>11708.73323397963</x:v>
      </x:c>
      <x:c r="H167" s="3">
        <x:v>538601.72876306297</x:v>
      </x:c>
      <x:c r="I167" s="6" t="e">
        <x:f>SUMIF([1]Pengiriman!P:P,B167,[1]Pengiriman!X:X)</x:f>
        <x:v>#NAME?</x:v>
      </x:c>
    </x:row>
    <x:row r="168">
      <x:c r="A168" s="2" t="s">
        <x:v>75</x:v>
      </x:c>
      <x:c r="B168" s="2">
        <x:v>5745</x:v>
      </x:c>
      <x:c r="C168" s="2">
        <x:v>12902</x:v>
      </x:c>
      <x:c r="D168" s="2" t="s">
        <x:v>121</x:v>
      </x:c>
      <x:c r="E168" s="2">
        <x:v>45</x:v>
      </x:c>
      <x:c r="F168" s="2">
        <x:v>225</x:v>
      </x:c>
      <x:c r="G168" s="3">
        <x:f t="shared" si="2"/>
        <x:v>11719.08707118776</x:v>
      </x:c>
      <x:c r="H168" s="3">
        <x:v>2636794.5910172458</x:v>
      </x:c>
      <x:c r="I168" s="6" t="e">
        <x:f>SUMIF([1]Pengiriman!P:P,B168,[1]Pengiriman!X:X)</x:f>
        <x:v>#NAME?</x:v>
      </x:c>
    </x:row>
    <x:row r="169">
      <x:c r="A169" s="2" t="s">
        <x:v>75</x:v>
      </x:c>
      <x:c r="B169" s="2">
        <x:v>5750</x:v>
      </x:c>
      <x:c r="C169" s="2">
        <x:v>12906</x:v>
      </x:c>
      <x:c r="D169" s="2" t="s">
        <x:v>89</x:v>
      </x:c>
      <x:c r="E169" s="2">
        <x:v>15</x:v>
      </x:c>
      <x:c r="F169" s="2">
        <x:v>41</x:v>
      </x:c>
      <x:c r="G169" s="3">
        <x:f t="shared" si="2"/>
        <x:v>11243.42154728023</x:v>
      </x:c>
      <x:c r="H169" s="3">
        <x:v>460980.28343848942</x:v>
      </x:c>
      <x:c r="I169" s="6" t="e">
        <x:f>SUMIF([1]Pengiriman!P:P,B169,[1]Pengiriman!X:X)</x:f>
        <x:v>#NAME?</x:v>
      </x:c>
    </x:row>
    <x:row r="170">
      <x:c r="A170" s="2" t="s">
        <x:v>75</x:v>
      </x:c>
      <x:c r="B170" s="2">
        <x:v>5759</x:v>
      </x:c>
      <x:c r="C170" s="2">
        <x:v>12915</x:v>
      </x:c>
      <x:c r="D170" s="2" t="s">
        <x:v>119</x:v>
      </x:c>
      <x:c r="E170" s="2">
        <x:v>0</x:v>
      </x:c>
      <x:c r="F170" s="2">
        <x:v>225</x:v>
      </x:c>
      <x:c r="G170" s="3">
        <x:f t="shared" si="2"/>
        <x:v>10801.227014183847</x:v>
      </x:c>
      <x:c r="H170" s="3">
        <x:v>2430276.0781913656</x:v>
      </x:c>
      <x:c r="I170" s="6" t="e">
        <x:f>SUMIF([1]Pengiriman!P:P,B170,[1]Pengiriman!X:X)</x:f>
        <x:v>#NAME?</x:v>
      </x:c>
    </x:row>
    <x:row r="171">
      <x:c r="A171" s="2" t="s">
        <x:v>75</x:v>
      </x:c>
      <x:c r="B171" s="2">
        <x:v>5764</x:v>
      </x:c>
      <x:c r="C171" s="2">
        <x:v>12918</x:v>
      </x:c>
      <x:c r="D171" s="2" t="s">
        <x:v>107</x:v>
      </x:c>
      <x:c r="E171" s="2">
        <x:v>57</x:v>
      </x:c>
      <x:c r="F171" s="2">
        <x:v>222</x:v>
      </x:c>
      <x:c r="G171" s="3">
        <x:f t="shared" si="2"/>
        <x:v>11887.869194546265</x:v>
      </x:c>
      <x:c r="H171" s="3">
        <x:v>2639106.961189271</x:v>
      </x:c>
      <x:c r="I171" s="6" t="e">
        <x:f>SUMIF([1]Pengiriman!P:P,B171,[1]Pengiriman!X:X)</x:f>
        <x:v>#NAME?</x:v>
      </x:c>
    </x:row>
    <x:row r="172">
      <x:c r="A172" s="2" t="s">
        <x:v>75</x:v>
      </x:c>
      <x:c r="B172" s="2">
        <x:v>5765</x:v>
      </x:c>
      <x:c r="C172" s="2">
        <x:v>12919</x:v>
      </x:c>
      <x:c r="D172" s="2" t="s">
        <x:v>85</x:v>
      </x:c>
      <x:c r="E172" s="2">
        <x:v>63</x:v>
      </x:c>
      <x:c r="F172" s="2">
        <x:v>180</x:v>
      </x:c>
      <x:c r="G172" s="3">
        <x:f t="shared" si="2"/>
        <x:v>11821.2235353545</x:v>
      </x:c>
      <x:c r="H172" s="3">
        <x:v>2127820.23636381</x:v>
      </x:c>
      <x:c r="I172" s="6" t="e">
        <x:f>SUMIF([1]Pengiriman!P:P,B172,[1]Pengiriman!X:X)</x:f>
        <x:v>#NAME?</x:v>
      </x:c>
    </x:row>
    <x:row r="173">
      <x:c r="A173" s="2" t="s">
        <x:v>75</x:v>
      </x:c>
      <x:c r="B173" s="2">
        <x:v>5769</x:v>
      </x:c>
      <x:c r="C173" s="2">
        <x:v>12921</x:v>
      </x:c>
      <x:c r="D173" s="2" t="s">
        <x:v>104</x:v>
      </x:c>
      <x:c r="E173" s="2">
        <x:v>0</x:v>
      </x:c>
      <x:c r="F173" s="2">
        <x:v>225</x:v>
      </x:c>
      <x:c r="G173" s="3">
        <x:f t="shared" si="2"/>
        <x:v>11707.406118722192</x:v>
      </x:c>
      <x:c r="H173" s="3">
        <x:v>2634166.3767124931</x:v>
      </x:c>
      <x:c r="I173" s="6" t="e">
        <x:f>SUMIF([1]Pengiriman!P:P,B173,[1]Pengiriman!X:X)</x:f>
        <x:v>#NAME?</x:v>
      </x:c>
    </x:row>
    <x:row r="174">
      <x:c r="A174" s="2" t="s">
        <x:v>75</x:v>
      </x:c>
      <x:c r="B174" s="2">
        <x:v>5784</x:v>
      </x:c>
      <x:c r="C174" s="2">
        <x:v>12928</x:v>
      </x:c>
      <x:c r="D174" s="2" t="s">
        <x:v>128</x:v>
      </x:c>
      <x:c r="E174" s="2">
        <x:v>32</x:v>
      </x:c>
      <x:c r="F174" s="2">
        <x:v>121</x:v>
      </x:c>
      <x:c r="G174" s="3">
        <x:f t="shared" si="2"/>
        <x:v>11809.402311110485</x:v>
      </x:c>
      <x:c r="H174" s="3">
        <x:v>1428937.6796443688</x:v>
      </x:c>
      <x:c r="I174" s="6" t="e">
        <x:f>SUMIF([1]Pengiriman!P:P,B174,[1]Pengiriman!X:X)</x:f>
        <x:v>#NAME?</x:v>
      </x:c>
    </x:row>
    <x:row r="175">
      <x:c r="A175" s="2" t="s">
        <x:v>75</x:v>
      </x:c>
      <x:c r="B175" s="2">
        <x:v>5789</x:v>
      </x:c>
      <x:c r="C175" s="2">
        <x:v>12932</x:v>
      </x:c>
      <x:c r="D175" s="2" t="s">
        <x:v>104</x:v>
      </x:c>
      <x:c r="E175" s="2">
        <x:v>0</x:v>
      </x:c>
      <x:c r="F175" s="2">
        <x:v>225</x:v>
      </x:c>
      <x:c r="G175" s="3">
        <x:f t="shared" si="2"/>
        <x:v>11867.728823712139</x:v>
      </x:c>
      <x:c r="H175" s="3">
        <x:v>2670238.9853352313</x:v>
      </x:c>
      <x:c r="I175" s="6" t="e">
        <x:f>SUMIF([1]Pengiriman!P:P,B175,[1]Pengiriman!X:X)</x:f>
        <x:v>#NAME?</x:v>
      </x:c>
    </x:row>
    <x:row r="176">
      <x:c r="A176" s="2" t="s">
        <x:v>75</x:v>
      </x:c>
      <x:c r="B176" s="2">
        <x:v>5790</x:v>
      </x:c>
      <x:c r="C176" s="2">
        <x:v>12933</x:v>
      </x:c>
      <x:c r="D176" s="2" t="s">
        <x:v>104</x:v>
      </x:c>
      <x:c r="E176" s="2">
        <x:v>0</x:v>
      </x:c>
      <x:c r="F176" s="2">
        <x:v>225</x:v>
      </x:c>
      <x:c r="G176" s="3">
        <x:f t="shared" si="2"/>
        <x:v>11892.068893460817</x:v>
      </x:c>
      <x:c r="H176" s="3">
        <x:v>2675715.501028684</x:v>
      </x:c>
      <x:c r="I176" s="6" t="e">
        <x:f>SUMIF([1]Pengiriman!P:P,B176,[1]Pengiriman!X:X)</x:f>
        <x:v>#NAME?</x:v>
      </x:c>
    </x:row>
    <x:row r="177">
      <x:c r="A177" s="2" t="s">
        <x:v>75</x:v>
      </x:c>
      <x:c r="B177" s="2">
        <x:v>5808</x:v>
      </x:c>
      <x:c r="C177" s="2">
        <x:v>12941</x:v>
      </x:c>
      <x:c r="D177" s="2" t="s">
        <x:v>85</x:v>
      </x:c>
      <x:c r="E177" s="2">
        <x:v>35</x:v>
      </x:c>
      <x:c r="F177" s="2">
        <x:v>90</x:v>
      </x:c>
      <x:c r="G177" s="3">
        <x:f t="shared" si="2"/>
        <x:v>11708.733233979669</x:v>
      </x:c>
      <x:c r="H177" s="3">
        <x:v>1053785.9910581701</x:v>
      </x:c>
      <x:c r="I177" s="6" t="e">
        <x:f>SUMIF([1]Pengiriman!P:P,B177,[1]Pengiriman!X:X)</x:f>
        <x:v>#NAME?</x:v>
      </x:c>
    </x:row>
    <x:row r="178">
      <x:c r="A178" s="2" t="s">
        <x:v>75</x:v>
      </x:c>
      <x:c r="B178" s="2">
        <x:v>5809</x:v>
      </x:c>
      <x:c r="C178" s="2">
        <x:v>12942</x:v>
      </x:c>
      <x:c r="D178" s="2" t="s">
        <x:v>117</x:v>
      </x:c>
      <x:c r="E178" s="2">
        <x:v>63</x:v>
      </x:c>
      <x:c r="F178" s="2">
        <x:v>245</x:v>
      </x:c>
      <x:c r="G178" s="3">
        <x:f t="shared" si="2"/>
        <x:v>11708.73323397957</x:v>
      </x:c>
      <x:c r="H178" s="3">
        <x:v>2868639.6423249948</x:v>
      </x:c>
      <x:c r="I178" s="6" t="e">
        <x:f>SUMIF([1]Pengiriman!P:P,B178,[1]Pengiriman!X:X)</x:f>
        <x:v>#NAME?</x:v>
      </x:c>
    </x:row>
    <x:row r="179">
      <x:c r="A179" s="2" t="s">
        <x:v>75</x:v>
      </x:c>
      <x:c r="B179" s="2">
        <x:v>5810</x:v>
      </x:c>
      <x:c r="C179" s="2">
        <x:v>12943</x:v>
      </x:c>
      <x:c r="D179" s="2" t="s">
        <x:v>135</x:v>
      </x:c>
      <x:c r="E179" s="2">
        <x:v>20</x:v>
      </x:c>
      <x:c r="F179" s="2">
        <x:v>80</x:v>
      </x:c>
      <x:c r="G179" s="3">
        <x:f t="shared" si="2"/>
        <x:v>11708.73323397955</x:v>
      </x:c>
      <x:c r="H179" s="3">
        <x:v>936698.65871836396</x:v>
      </x:c>
      <x:c r="I179" s="6" t="e">
        <x:f>SUMIF([1]Pengiriman!P:P,B179,[1]Pengiriman!X:X)</x:f>
        <x:v>#NAME?</x:v>
      </x:c>
    </x:row>
    <x:row r="180">
      <x:c r="A180" s="2" t="s">
        <x:v>75</x:v>
      </x:c>
      <x:c r="B180" s="2">
        <x:v>5812</x:v>
      </x:c>
      <x:c r="C180" s="2">
        <x:v>12945</x:v>
      </x:c>
      <x:c r="D180" s="2" t="s">
        <x:v>104</x:v>
      </x:c>
      <x:c r="E180" s="2">
        <x:v>0</x:v>
      </x:c>
      <x:c r="F180" s="2">
        <x:v>225</x:v>
      </x:c>
      <x:c r="G180" s="3">
        <x:f t="shared" si="2"/>
        <x:v>11708.733233979663</x:v>
      </x:c>
      <x:c r="H180" s="3">
        <x:v>2634464.9776454242</x:v>
      </x:c>
      <x:c r="I180" s="6" t="e">
        <x:f>SUMIF([1]Pengiriman!P:P,B180,[1]Pengiriman!X:X)</x:f>
        <x:v>#NAME?</x:v>
      </x:c>
    </x:row>
    <x:row r="181">
      <x:c r="A181" s="2" t="s">
        <x:v>75</x:v>
      </x:c>
      <x:c r="B181" s="2">
        <x:v>5746</x:v>
      </x:c>
      <x:c r="C181" s="2">
        <x:v>12903</x:v>
      </x:c>
      <x:c r="D181" s="2" t="s">
        <x:v>120</x:v>
      </x:c>
      <x:c r="E181" s="2">
        <x:v>35</x:v>
      </x:c>
      <x:c r="F181" s="2">
        <x:v>225</x:v>
      </x:c>
      <x:c r="G181" s="3">
        <x:f t="shared" si="2"/>
        <x:v>11699.389778795141</x:v>
      </x:c>
      <x:c r="H181" s="3">
        <x:v>2632362.7002289067</x:v>
      </x:c>
      <x:c r="I181" s="6" t="e">
        <x:f>SUMIF([1]Pengiriman!P:P,B181,[1]Pengiriman!X:X)</x:f>
        <x:v>#NAME?</x:v>
      </x:c>
    </x:row>
    <x:row r="182">
      <x:c r="A182" s="2" t="s">
        <x:v>75</x:v>
      </x:c>
      <x:c r="B182" s="2">
        <x:v>5748</x:v>
      </x:c>
      <x:c r="C182" s="2">
        <x:v>12904</x:v>
      </x:c>
      <x:c r="D182" s="2" t="s">
        <x:v>108</x:v>
      </x:c>
      <x:c r="E182" s="2">
        <x:v>81</x:v>
      </x:c>
      <x:c r="F182" s="2">
        <x:v>304</x:v>
      </x:c>
      <x:c r="G182" s="3">
        <x:f t="shared" si="2"/>
        <x:v>11280.668019005259</x:v>
      </x:c>
      <x:c r="H182" s="3">
        <x:v>3429323.077777599</x:v>
      </x:c>
      <x:c r="I182" s="6" t="e">
        <x:f>SUMIF([1]Pengiriman!P:P,B182,[1]Pengiriman!X:X)</x:f>
        <x:v>#NAME?</x:v>
      </x:c>
    </x:row>
    <x:row r="183">
      <x:c r="A183" s="2" t="s">
        <x:v>75</x:v>
      </x:c>
      <x:c r="B183" s="2">
        <x:v>5749</x:v>
      </x:c>
      <x:c r="C183" s="2">
        <x:v>12905</x:v>
      </x:c>
      <x:c r="D183" s="2" t="s">
        <x:v>136</x:v>
      </x:c>
      <x:c r="E183" s="2">
        <x:v>27</x:v>
      </x:c>
      <x:c r="F183" s="2">
        <x:v>87</x:v>
      </x:c>
      <x:c r="G183" s="3">
        <x:f t="shared" si="2"/>
        <x:v>11331.595114423819</x:v>
      </x:c>
      <x:c r="H183" s="3">
        <x:v>985848.77495487221</x:v>
      </x:c>
      <x:c r="I183" s="6" t="e">
        <x:f>SUMIF([1]Pengiriman!P:P,B183,[1]Pengiriman!X:X)</x:f>
        <x:v>#NAME?</x:v>
      </x:c>
    </x:row>
    <x:row r="184">
      <x:c r="A184" s="2" t="s">
        <x:v>75</x:v>
      </x:c>
      <x:c r="B184" s="2">
        <x:v>5751</x:v>
      </x:c>
      <x:c r="C184" s="2">
        <x:v>12907</x:v>
      </x:c>
      <x:c r="D184" s="2" t="s">
        <x:v>118</x:v>
      </x:c>
      <x:c r="E184" s="2">
        <x:v>34</x:v>
      </x:c>
      <x:c r="F184" s="2">
        <x:v>225</x:v>
      </x:c>
      <x:c r="G184" s="3">
        <x:f t="shared" si="2"/>
        <x:v>11786.322963919094</x:v>
      </x:c>
      <x:c r="H184" s="3">
        <x:v>2651922.666881796</x:v>
      </x:c>
      <x:c r="I184" s="6" t="e">
        <x:f>SUMIF([1]Pengiriman!P:P,B184,[1]Pengiriman!X:X)</x:f>
        <x:v>#NAME?</x:v>
      </x:c>
    </x:row>
    <x:row r="185">
      <x:c r="A185" s="2" t="s">
        <x:v>75</x:v>
      </x:c>
      <x:c r="B185" s="2">
        <x:v>5752</x:v>
      </x:c>
      <x:c r="C185" s="2">
        <x:v>12908</x:v>
      </x:c>
      <x:c r="D185" s="2" t="s">
        <x:v>116</x:v>
      </x:c>
      <x:c r="E185" s="2">
        <x:v>46</x:v>
      </x:c>
      <x:c r="F185" s="2">
        <x:v>225</x:v>
      </x:c>
      <x:c r="G185" s="3">
        <x:f t="shared" si="2"/>
        <x:v>11699.389778795141</x:v>
      </x:c>
      <x:c r="H185" s="3">
        <x:v>2632362.7002289067</x:v>
      </x:c>
      <x:c r="I185" s="6" t="e">
        <x:f>SUMIF([1]Pengiriman!P:P,B185,[1]Pengiriman!X:X)</x:f>
        <x:v>#NAME?</x:v>
      </x:c>
    </x:row>
    <x:row r="186">
      <x:c r="A186" s="2" t="s">
        <x:v>75</x:v>
      </x:c>
      <x:c r="B186" s="2">
        <x:v>5753</x:v>
      </x:c>
      <x:c r="C186" s="2">
        <x:v>12909</x:v>
      </x:c>
      <x:c r="D186" s="2" t="s">
        <x:v>116</x:v>
      </x:c>
      <x:c r="E186" s="2">
        <x:v>44</x:v>
      </x:c>
      <x:c r="F186" s="2">
        <x:v>225</x:v>
      </x:c>
      <x:c r="G186" s="3">
        <x:f t="shared" si="2"/>
        <x:v>11771.152076848968</x:v>
      </x:c>
      <x:c r="H186" s="3">
        <x:v>2648509.217291018</x:v>
      </x:c>
      <x:c r="I186" s="6" t="e">
        <x:f>SUMIF([1]Pengiriman!P:P,B186,[1]Pengiriman!X:X)</x:f>
        <x:v>#NAME?</x:v>
      </x:c>
    </x:row>
    <x:row r="187">
      <x:c r="A187" s="2" t="s">
        <x:v>75</x:v>
      </x:c>
      <x:c r="B187" s="2">
        <x:v>5755</x:v>
      </x:c>
      <x:c r="C187" s="2">
        <x:v>12911</x:v>
      </x:c>
      <x:c r="D187" s="2" t="s">
        <x:v>109</x:v>
      </x:c>
      <x:c r="E187" s="2">
        <x:v>14</x:v>
      </x:c>
      <x:c r="F187" s="2">
        <x:v>67</x:v>
      </x:c>
      <x:c r="G187" s="3">
        <x:f t="shared" si="2"/>
        <x:v>11699.389778794924</x:v>
      </x:c>
      <x:c r="H187" s="3">
        <x:v>783859.11517925991</x:v>
      </x:c>
      <x:c r="I187" s="6" t="e">
        <x:f>SUMIF([1]Pengiriman!P:P,B187,[1]Pengiriman!X:X)</x:f>
        <x:v>#NAME?</x:v>
      </x:c>
    </x:row>
    <x:row r="188">
      <x:c r="A188" s="2" t="s">
        <x:v>75</x:v>
      </x:c>
      <x:c r="B188" s="2">
        <x:v>5762</x:v>
      </x:c>
      <x:c r="C188" s="2">
        <x:v>12917</x:v>
      </x:c>
      <x:c r="D188" s="2" t="s">
        <x:v>103</x:v>
      </x:c>
      <x:c r="E188" s="2">
        <x:v>125</x:v>
      </x:c>
      <x:c r="F188" s="2">
        <x:v>450</x:v>
      </x:c>
      <x:c r="G188" s="3">
        <x:f t="shared" si="2"/>
        <x:v>11878.805313811246</x:v>
      </x:c>
      <x:c r="H188" s="3">
        <x:v>5345462.3912150608</x:v>
      </x:c>
      <x:c r="I188" s="6" t="e">
        <x:f>SUMIF([1]Pengiriman!P:P,B188,[1]Pengiriman!X:X)</x:f>
        <x:v>#NAME?</x:v>
      </x:c>
    </x:row>
    <x:row r="189">
      <x:c r="A189" s="2" t="s">
        <x:v>75</x:v>
      </x:c>
      <x:c r="B189" s="2">
        <x:v>5773</x:v>
      </x:c>
      <x:c r="C189" s="2">
        <x:v>12924</x:v>
      </x:c>
      <x:c r="D189" s="2" t="s">
        <x:v>120</x:v>
      </x:c>
      <x:c r="E189" s="2">
        <x:v>35</x:v>
      </x:c>
      <x:c r="F189" s="2">
        <x:v>225</x:v>
      </x:c>
      <x:c r="G189" s="3">
        <x:f t="shared" si="2"/>
        <x:v>11838.429496047922</x:v>
      </x:c>
      <x:c r="H189" s="3">
        <x:v>2663646.6366107822</x:v>
      </x:c>
      <x:c r="I189" s="6" t="e">
        <x:f>SUMIF([1]Pengiriman!P:P,B189,[1]Pengiriman!X:X)</x:f>
        <x:v>#NAME?</x:v>
      </x:c>
    </x:row>
    <x:row r="190">
      <x:c r="A190" s="2" t="s">
        <x:v>75</x:v>
      </x:c>
      <x:c r="B190" s="2">
        <x:v>5778</x:v>
      </x:c>
      <x:c r="C190" s="2">
        <x:v>12925</x:v>
      </x:c>
      <x:c r="D190" s="2" t="s">
        <x:v>101</x:v>
      </x:c>
      <x:c r="E190" s="2">
        <x:v>36</x:v>
      </x:c>
      <x:c r="F190" s="2">
        <x:v>225</x:v>
      </x:c>
      <x:c r="G190" s="3">
        <x:f t="shared" si="2"/>
        <x:v>11817.696880652515</x:v>
      </x:c>
      <x:c r="H190" s="3">
        <x:v>2658981.798146816</x:v>
      </x:c>
      <x:c r="I190" s="6" t="e">
        <x:f>SUMIF([1]Pengiriman!P:P,B190,[1]Pengiriman!X:X)</x:f>
        <x:v>#NAME?</x:v>
      </x:c>
    </x:row>
    <x:row r="191">
      <x:c r="A191" s="2" t="s">
        <x:v>75</x:v>
      </x:c>
      <x:c r="B191" s="2">
        <x:v>5781</x:v>
      </x:c>
      <x:c r="C191" s="2">
        <x:v>12926</x:v>
      </x:c>
      <x:c r="D191" s="2" t="s">
        <x:v>92</x:v>
      </x:c>
      <x:c r="E191" s="2">
        <x:v>3</x:v>
      </x:c>
      <x:c r="F191" s="2">
        <x:v>12</x:v>
      </x:c>
      <x:c r="G191" s="3">
        <x:f t="shared" si="2"/>
        <x:v>11750.923392613067</x:v>
      </x:c>
      <x:c r="H191" s="3">
        <x:v>141011.0807113568</x:v>
      </x:c>
      <x:c r="I191" s="6" t="e">
        <x:f>SUMIF([1]Pengiriman!P:P,B191,[1]Pengiriman!X:X)</x:f>
        <x:v>#NAME?</x:v>
      </x:c>
    </x:row>
    <x:row r="192">
      <x:c r="A192" s="2" t="s">
        <x:v>75</x:v>
      </x:c>
      <x:c r="B192" s="2">
        <x:v>5782</x:v>
      </x:c>
      <x:c r="C192" s="2">
        <x:v>12927</x:v>
      </x:c>
      <x:c r="D192" s="2" t="s">
        <x:v>109</x:v>
      </x:c>
      <x:c r="E192" s="2">
        <x:v>11</x:v>
      </x:c>
      <x:c r="F192" s="2">
        <x:v>58</x:v>
      </x:c>
      <x:c r="G192" s="3">
        <x:f t="shared" si="2"/>
        <x:v>11750.923392613258</x:v>
      </x:c>
      <x:c r="H192" s="3">
        <x:v>681553.55677156895</x:v>
      </x:c>
      <x:c r="I192" s="6" t="e">
        <x:f>SUMIF([1]Pengiriman!P:P,B192,[1]Pengiriman!X:X)</x:f>
        <x:v>#NAME?</x:v>
      </x:c>
    </x:row>
    <x:row r="193">
      <x:c r="A193" s="2" t="s">
        <x:v>75</x:v>
      </x:c>
      <x:c r="B193" s="2">
        <x:v>5756</x:v>
      </x:c>
      <x:c r="C193" s="2">
        <x:v>12912</x:v>
      </x:c>
      <x:c r="D193" s="2" t="s">
        <x:v>104</x:v>
      </x:c>
      <x:c r="E193" s="2">
        <x:v>0</x:v>
      </x:c>
      <x:c r="F193" s="2">
        <x:v>225</x:v>
      </x:c>
      <x:c r="G193" s="3">
        <x:f t="shared" si="2"/>
        <x:v>9408.3447566826417</x:v>
      </x:c>
      <x:c r="H193" s="3">
        <x:v>2116877.5702535943</x:v>
      </x:c>
      <x:c r="I193" s="6" t="e">
        <x:f>SUMIF([1]Pengiriman!P:P,B193,[1]Pengiriman!X:X)</x:f>
        <x:v>#NAME?</x:v>
      </x:c>
    </x:row>
    <x:row r="194">
      <x:c r="A194" s="2" t="s">
        <x:v>75</x:v>
      </x:c>
      <x:c r="B194" s="2">
        <x:v>5757</x:v>
      </x:c>
      <x:c r="C194" s="2">
        <x:v>12913</x:v>
      </x:c>
      <x:c r="D194" s="2" t="s">
        <x:v>104</x:v>
      </x:c>
      <x:c r="E194" s="2">
        <x:v>0</x:v>
      </x:c>
      <x:c r="F194" s="2">
        <x:v>225</x:v>
      </x:c>
      <x:c r="G194" s="3" t="n">
        <x:f t="shared" ref="G194:G214" si="3">H194/F194</x:f>
        <x:v>9408.344756682642</x:v>
      </x:c>
      <x:c r="H194" s="3">
        <x:v>2116877.5702535943</x:v>
      </x:c>
      <x:c r="I194" s="6" t="e">
        <x:f>SUMIF([1]Pengiriman!P:P,B194,[1]Pengiriman!X:X)</x:f>
        <x:v>#NAME?</x:v>
      </x:c>
    </x:row>
    <x:row r="195">
      <x:c r="A195" s="2" t="s">
        <x:v>75</x:v>
      </x:c>
      <x:c r="B195" s="2">
        <x:v>5760</x:v>
      </x:c>
      <x:c r="C195" s="2">
        <x:v>12916</x:v>
      </x:c>
      <x:c r="D195" s="2" t="s">
        <x:v>104</x:v>
      </x:c>
      <x:c r="E195" s="2">
        <x:v>0</x:v>
      </x:c>
      <x:c r="F195" s="2">
        <x:v>55</x:v>
      </x:c>
      <x:c r="G195" s="3">
        <x:f t="shared" si="3"/>
        <x:v>9408.3447566827199</x:v>
      </x:c>
      <x:c r="H195" s="3">
        <x:v>517458.96161754959</x:v>
      </x:c>
      <x:c r="I195" s="6" t="e">
        <x:f>SUMIF([1]Pengiriman!P:P,B195,[1]Pengiriman!X:X)</x:f>
        <x:v>#NAME?</x:v>
      </x:c>
    </x:row>
    <x:row r="196">
      <x:c r="A196" s="2" t="s">
        <x:v>75</x:v>
      </x:c>
      <x:c r="B196" s="2">
        <x:v>5770</x:v>
      </x:c>
      <x:c r="C196" s="2">
        <x:v>12922</x:v>
      </x:c>
      <x:c r="D196" s="2" t="s">
        <x:v>5</x:v>
      </x:c>
      <x:c r="E196" s="2">
        <x:v>0</x:v>
      </x:c>
      <x:c r="F196" s="2">
        <x:v>250</x:v>
      </x:c>
      <x:c r="G196" s="3">
        <x:f t="shared" si="3"/>
        <x:v>11928.068004463936</x:v>
      </x:c>
      <x:c r="H196" s="3">
        <x:v>2982017.0011159838</x:v>
      </x:c>
      <x:c r="I196" s="6" t="e">
        <x:f>SUMIF([1]Pengiriman!P:P,B196,[1]Pengiriman!X:X)</x:f>
        <x:v>#NAME?</x:v>
      </x:c>
    </x:row>
    <x:row r="197">
      <x:c r="A197" s="2" t="s">
        <x:v>75</x:v>
      </x:c>
      <x:c r="B197" s="2">
        <x:v>5811</x:v>
      </x:c>
      <x:c r="C197" s="2">
        <x:v>12944</x:v>
      </x:c>
      <x:c r="D197" s="2" t="s">
        <x:v>119</x:v>
      </x:c>
      <x:c r="E197" s="2">
        <x:v>0</x:v>
      </x:c>
      <x:c r="F197" s="2">
        <x:v>59</x:v>
      </x:c>
      <x:c r="G197" s="3">
        <x:f t="shared" si="3"/>
        <x:v>11708.733233979559</x:v>
      </x:c>
      <x:c r="H197" s="3">
        <x:v>690815.26080479403</x:v>
      </x:c>
      <x:c r="I197" s="6" t="e">
        <x:f>SUMIF([1]Pengiriman!P:P,B197,[1]Pengiriman!X:X)</x:f>
        <x:v>#NAME?</x:v>
      </x:c>
    </x:row>
    <x:row r="198">
      <x:c r="A198" s="2" t="s">
        <x:v>75</x:v>
      </x:c>
      <x:c r="B198" s="2">
        <x:v>7458</x:v>
      </x:c>
      <x:c r="C198" s="2">
        <x:v>12946</x:v>
      </x:c>
      <x:c r="D198" s="2" t="s">
        <x:v>127</x:v>
      </x:c>
      <x:c r="E198" s="2">
        <x:v>46</x:v>
      </x:c>
      <x:c r="F198" s="2">
        <x:v>225</x:v>
      </x:c>
      <x:c r="G198" s="3">
        <x:f t="shared" si="3"/>
        <x:v>10240.505914413805</x:v>
      </x:c>
      <x:c r="H198" s="3">
        <x:v>2304113.8307431061</x:v>
      </x:c>
      <x:c r="I198" s="6" t="e">
        <x:f>SUMIF([1]Pengiriman!P:P,B198,[1]Pengiriman!X:X)</x:f>
        <x:v>#NAME?</x:v>
      </x:c>
    </x:row>
    <x:row r="199">
      <x:c r="A199" s="2" t="s">
        <x:v>75</x:v>
      </x:c>
      <x:c r="B199" s="2">
        <x:v>5615</x:v>
      </x:c>
      <x:c r="C199" s="2">
        <x:v>12948</x:v>
      </x:c>
      <x:c r="D199" s="2" t="s">
        <x:v>104</x:v>
      </x:c>
      <x:c r="E199" s="2">
        <x:v>0</x:v>
      </x:c>
      <x:c r="F199" s="2">
        <x:v>88</x:v>
      </x:c>
      <x:c r="G199" s="3">
        <x:f t="shared" si="3"/>
        <x:v>9912.0787067680685</x:v>
      </x:c>
      <x:c r="H199" s="3">
        <x:v>872262.92619559006</x:v>
      </x:c>
      <x:c r="I199" s="6" t="e">
        <x:f>SUMIF([1]Pengiriman!P:P,B199,[1]Pengiriman!X:X)</x:f>
        <x:v>#NAME?</x:v>
      </x:c>
    </x:row>
    <x:row r="200">
      <x:c r="A200" s="2" t="s">
        <x:v>75</x:v>
      </x:c>
      <x:c r="B200" s="2">
        <x:v>5618</x:v>
      </x:c>
      <x:c r="C200" s="2">
        <x:v>12949</x:v>
      </x:c>
      <x:c r="D200" s="2" t="s">
        <x:v>104</x:v>
      </x:c>
      <x:c r="E200" s="2">
        <x:v>0</x:v>
      </x:c>
      <x:c r="F200" s="2">
        <x:v>154</x:v>
      </x:c>
      <x:c r="G200" s="3">
        <x:f t="shared" si="3"/>
        <x:v>9731.6803144443584</x:v>
      </x:c>
      <x:c r="H200" s="3">
        <x:v>1498678.7684244311</x:v>
      </x:c>
      <x:c r="I200" s="6" t="e">
        <x:f>SUMIF([1]Pengiriman!P:P,B200,[1]Pengiriman!X:X)</x:f>
        <x:v>#NAME?</x:v>
      </x:c>
    </x:row>
    <x:row r="201">
      <x:c r="A201" s="2" t="s">
        <x:v>75</x:v>
      </x:c>
      <x:c r="B201" s="2">
        <x:v>5619</x:v>
      </x:c>
      <x:c r="C201" s="2">
        <x:v>12950</x:v>
      </x:c>
      <x:c r="D201" s="2" t="s">
        <x:v>119</x:v>
      </x:c>
      <x:c r="E201" s="2">
        <x:v>0</x:v>
      </x:c>
      <x:c r="F201" s="2">
        <x:v>139</x:v>
      </x:c>
      <x:c r="G201" s="3">
        <x:f t="shared" si="3"/>
        <x:v>9848.2917350449279</x:v>
      </x:c>
      <x:c r="H201" s="3">
        <x:v>1368912.5511712451</x:v>
      </x:c>
      <x:c r="I201" s="6" t="e">
        <x:f>SUMIF([1]Pengiriman!P:P,B201,[1]Pengiriman!X:X)</x:f>
        <x:v>#NAME?</x:v>
      </x:c>
    </x:row>
    <x:row r="202">
      <x:c r="A202" s="2" t="s">
        <x:v>75</x:v>
      </x:c>
      <x:c r="B202" s="2">
        <x:v>5621</x:v>
      </x:c>
      <x:c r="C202" s="2">
        <x:v>12951</x:v>
      </x:c>
      <x:c r="D202" s="2" t="s">
        <x:v>5</x:v>
      </x:c>
      <x:c r="E202" s="2">
        <x:v>0</x:v>
      </x:c>
      <x:c r="F202" s="2">
        <x:v>181</x:v>
      </x:c>
      <x:c r="G202" s="3">
        <x:f t="shared" si="3"/>
        <x:v>9866.3588367963657</x:v>
      </x:c>
      <x:c r="H202" s="3">
        <x:v>1785810.9494601421</x:v>
      </x:c>
      <x:c r="I202" s="6" t="e">
        <x:f>SUMIF([1]Pengiriman!P:P,B202,[1]Pengiriman!X:X)</x:f>
        <x:v>#NAME?</x:v>
      </x:c>
    </x:row>
    <x:row r="203">
      <x:c r="A203" s="2" t="s">
        <x:v>75</x:v>
      </x:c>
      <x:c r="B203" s="2">
        <x:v>5775</x:v>
      </x:c>
      <x:c r="C203" s="2">
        <x:v>12952</x:v>
      </x:c>
      <x:c r="D203" s="2" t="s">
        <x:v>107</x:v>
      </x:c>
      <x:c r="E203" s="2">
        <x:v>22</x:v>
      </x:c>
      <x:c r="F203" s="2">
        <x:v>96</x:v>
      </x:c>
      <x:c r="G203" s="3">
        <x:f t="shared" si="3"/>
        <x:v>9320.9861021328124</x:v>
      </x:c>
      <x:c r="H203" s="3">
        <x:v>894814.66580475005</x:v>
      </x:c>
      <x:c r="I203" s="6" t="e">
        <x:f>SUMIF([1]Pengiriman!P:P,B203,[1]Pengiriman!X:X)</x:f>
        <x:v>#NAME?</x:v>
      </x:c>
    </x:row>
    <x:row r="204">
      <x:c r="A204" s="2" t="s">
        <x:v>75</x:v>
      </x:c>
      <x:c r="B204" s="2">
        <x:v>5474</x:v>
      </x:c>
      <x:c r="C204" s="2">
        <x:v>13025</x:v>
      </x:c>
      <x:c r="D204" s="2" t="s">
        <x:v>89</x:v>
      </x:c>
      <x:c r="E204" s="2">
        <x:v>87</x:v>
      </x:c>
      <x:c r="F204" s="2">
        <x:v>262</x:v>
      </x:c>
      <x:c r="G204" s="3">
        <x:f t="shared" si="3"/>
        <x:v>10527.63941286288</x:v>
      </x:c>
      <x:c r="H204" s="3">
        <x:v>2758241.5261700745</x:v>
      </x:c>
      <x:c r="I204" s="6" t="e">
        <x:f>SUMIF([1]Pengiriman!P:P,B204,[1]Pengiriman!X:X)</x:f>
        <x:v>#NAME?</x:v>
      </x:c>
    </x:row>
    <x:row r="205">
      <x:c r="A205" s="2" t="s">
        <x:v>75</x:v>
      </x:c>
      <x:c r="B205" s="2">
        <x:v>5776</x:v>
      </x:c>
      <x:c r="C205" s="2">
        <x:v>12953</x:v>
      </x:c>
      <x:c r="D205" s="2" t="s">
        <x:v>85</x:v>
      </x:c>
      <x:c r="E205" s="2">
        <x:v>8</x:v>
      </x:c>
      <x:c r="F205" s="2">
        <x:v>22</x:v>
      </x:c>
      <x:c r="G205" s="3">
        <x:f t="shared" si="3"/>
        <x:v>9320.9861021329998</x:v>
      </x:c>
      <x:c r="H205" s="3">
        <x:v>205061.694246926</x:v>
      </x:c>
      <x:c r="I205" s="6" t="e">
        <x:f>SUMIF([1]Pengiriman!P:P,B205,[1]Pengiriman!X:X)</x:f>
        <x:v>#NAME?</x:v>
      </x:c>
    </x:row>
    <x:row r="206">
      <x:c r="A206" s="2" t="s">
        <x:v>75</x:v>
      </x:c>
      <x:c r="B206" s="2">
        <x:v>5777</x:v>
      </x:c>
      <x:c r="C206" s="2">
        <x:v>12954</x:v>
      </x:c>
      <x:c r="D206" s="2" t="s">
        <x:v>108</x:v>
      </x:c>
      <x:c r="E206" s="2">
        <x:v>22</x:v>
      </x:c>
      <x:c r="F206" s="2">
        <x:v>88</x:v>
      </x:c>
      <x:c r="G206" s="3">
        <x:f t="shared" si="3"/>
        <x:v>9320.986102132727</x:v>
      </x:c>
      <x:c r="H206" s="3">
        <x:v>820246.77698768</x:v>
      </x:c>
      <x:c r="I206" s="6" t="e">
        <x:f>SUMIF([1]Pengiriman!P:P,B206,[1]Pengiriman!X:X)</x:f>
        <x:v>#NAME?</x:v>
      </x:c>
    </x:row>
    <x:row r="207">
      <x:c r="A207" s="2" t="s">
        <x:v>75</x:v>
      </x:c>
      <x:c r="B207" s="2">
        <x:v>5779</x:v>
      </x:c>
      <x:c r="C207" s="2">
        <x:v>12955</x:v>
      </x:c>
      <x:c r="D207" s="2" t="s">
        <x:v>103</x:v>
      </x:c>
      <x:c r="E207" s="2">
        <x:v>10</x:v>
      </x:c>
      <x:c r="F207" s="2">
        <x:v>38</x:v>
      </x:c>
      <x:c r="G207" s="3">
        <x:f t="shared" si="3"/>
        <x:v>9320.9861021327361</x:v>
      </x:c>
      <x:c r="H207" s="3">
        <x:v>354197.47188104398</x:v>
      </x:c>
      <x:c r="I207" s="6" t="e">
        <x:f>SUMIF([1]Pengiriman!P:P,B207,[1]Pengiriman!X:X)</x:f>
        <x:v>#NAME?</x:v>
      </x:c>
    </x:row>
    <x:row r="208">
      <x:c r="A208" s="2" t="s">
        <x:v>75</x:v>
      </x:c>
      <x:c r="B208" s="2">
        <x:v>5780</x:v>
      </x:c>
      <x:c r="C208" s="2">
        <x:v>12956</x:v>
      </x:c>
      <x:c r="D208" s="2" t="s">
        <x:v>131</x:v>
      </x:c>
      <x:c r="E208" s="2">
        <x:v>15</x:v>
      </x:c>
      <x:c r="F208" s="2">
        <x:v>42</x:v>
      </x:c>
      <x:c r="G208" s="3">
        <x:f t="shared" si="3"/>
        <x:v>9320.9861021327615</x:v>
      </x:c>
      <x:c r="H208" s="3">
        <x:v>391481.41628957598</x:v>
      </x:c>
      <x:c r="I208" s="6" t="e">
        <x:f>SUMIF([1]Pengiriman!P:P,B208,[1]Pengiriman!X:X)</x:f>
        <x:v>#NAME?</x:v>
      </x:c>
    </x:row>
    <x:row r="209">
      <x:c r="A209" s="2" t="s">
        <x:v>75</x:v>
      </x:c>
      <x:c r="B209" s="2">
        <x:v>5377</x:v>
      </x:c>
      <x:c r="C209" s="2">
        <x:v>12977</x:v>
      </x:c>
      <x:c r="D209" s="2" t="s">
        <x:v>86</x:v>
      </x:c>
      <x:c r="E209" s="2">
        <x:v>20</x:v>
      </x:c>
      <x:c r="F209" s="2">
        <x:v>89</x:v>
      </x:c>
      <x:c r="G209" s="3">
        <x:f t="shared" si="3"/>
        <x:v>6119.8091706261794</x:v>
      </x:c>
      <x:c r="H209" s="3">
        <x:v>544663.01618573</x:v>
      </x:c>
      <x:c r="I209" s="6" t="e">
        <x:f>SUMIF([1]Pengiriman!P:P,B209,[1]Pengiriman!X:X)</x:f>
        <x:v>#NAME?</x:v>
      </x:c>
    </x:row>
    <x:row r="210">
      <x:c r="A210" s="2" t="s">
        <x:v>75</x:v>
      </x:c>
      <x:c r="B210" s="2">
        <x:v>5387</x:v>
      </x:c>
      <x:c r="C210" s="2">
        <x:v>12980</x:v>
      </x:c>
      <x:c r="D210" s="2" t="s">
        <x:v>89</x:v>
      </x:c>
      <x:c r="E210" s="2">
        <x:v>93</x:v>
      </x:c>
      <x:c r="F210" s="2">
        <x:v>289</x:v>
      </x:c>
      <x:c r="G210" s="3">
        <x:f t="shared" si="3"/>
        <x:v>6119.8091706261939</x:v>
      </x:c>
      <x:c r="H210" s="3">
        <x:v>1768624.8503109701</x:v>
      </x:c>
      <x:c r="I210" s="6" t="e">
        <x:f>SUMIF([1]Pengiriman!P:P,B210,[1]Pengiriman!X:X)</x:f>
        <x:v>#NAME?</x:v>
      </x:c>
    </x:row>
    <x:row r="211">
      <x:c r="A211" s="2" t="s">
        <x:v>75</x:v>
      </x:c>
      <x:c r="B211" s="2">
        <x:v>5388</x:v>
      </x:c>
      <x:c r="C211" s="2">
        <x:v>12981</x:v>
      </x:c>
      <x:c r="D211" s="2" t="s">
        <x:v>89</x:v>
      </x:c>
      <x:c r="E211" s="2">
        <x:v>63</x:v>
      </x:c>
      <x:c r="F211" s="2">
        <x:v>151</x:v>
      </x:c>
      <x:c r="G211" s="3">
        <x:f t="shared" si="3"/>
        <x:v>6119.8091706262121</x:v>
      </x:c>
      <x:c r="H211" s="3">
        <x:v>924091.18476455798</x:v>
      </x:c>
      <x:c r="I211" s="6" t="e">
        <x:f>SUMIF([1]Pengiriman!P:P,B211,[1]Pengiriman!X:X)</x:f>
        <x:v>#NAME?</x:v>
      </x:c>
    </x:row>
    <x:row r="212">
      <x:c r="A212" s="2" t="s">
        <x:v>75</x:v>
      </x:c>
      <x:c r="B212" s="2">
        <x:v>5389</x:v>
      </x:c>
      <x:c r="C212" s="2">
        <x:v>12982</x:v>
      </x:c>
      <x:c r="D212" s="2" t="s">
        <x:v>90</x:v>
      </x:c>
      <x:c r="E212" s="2">
        <x:v>17</x:v>
      </x:c>
      <x:c r="F212" s="2">
        <x:v>53</x:v>
      </x:c>
      <x:c r="G212" s="3">
        <x:f t="shared" si="3"/>
        <x:v>6119.8091706261885</x:v>
      </x:c>
      <x:c r="H212" s="3">
        <x:v>324349.88604318799</x:v>
      </x:c>
      <x:c r="I212" s="6" t="e">
        <x:f>SUMIF([1]Pengiriman!P:P,B212,[1]Pengiriman!X:X)</x:f>
        <x:v>#NAME?</x:v>
      </x:c>
    </x:row>
    <x:row r="213">
      <x:c r="A213" s="2" t="s">
        <x:v>75</x:v>
      </x:c>
      <x:c r="B213" s="2">
        <x:v>5392</x:v>
      </x:c>
      <x:c r="C213" s="2">
        <x:v>12984</x:v>
      </x:c>
      <x:c r="D213" s="2" t="s">
        <x:v>91</x:v>
      </x:c>
      <x:c r="E213" s="2">
        <x:v>5</x:v>
      </x:c>
      <x:c r="F213" s="2">
        <x:v>95</x:v>
      </x:c>
      <x:c r="G213" s="3">
        <x:f t="shared" si="3"/>
        <x:v>6119.8091706262421</x:v>
      </x:c>
      <x:c r="H213" s="3">
        <x:v>581381.87120949302</x:v>
      </x:c>
      <x:c r="I213" s="6" t="e">
        <x:f>SUMIF([1]Pengiriman!P:P,B213,[1]Pengiriman!X:X)</x:f>
        <x:v>#NAME?</x:v>
      </x:c>
    </x:row>
    <x:row r="214">
      <x:c r="A214" s="2" t="s">
        <x:v>75</x:v>
      </x:c>
      <x:c r="B214" s="2">
        <x:v>5395</x:v>
      </x:c>
      <x:c r="C214" s="2">
        <x:v>12987</x:v>
      </x:c>
      <x:c r="D214" s="2" t="s">
        <x:v>93</x:v>
      </x:c>
      <x:c r="E214" s="2">
        <x:v>7</x:v>
      </x:c>
      <x:c r="F214" s="2">
        <x:v>30</x:v>
      </x:c>
      <x:c r="G214" s="3">
        <x:f t="shared" si="3"/>
        <x:v>6119.8091706260666</x:v>
      </x:c>
      <x:c r="H214" s="3">
        <x:v>183594.27511878201</x:v>
      </x:c>
      <x:c r="I214" s="6" t="e">
        <x:f>SUMIF([1]Pengiriman!P:P,B214,[1]Pengiriman!X:X)</x:f>
        <x:v>#NAME?</x:v>
      </x:c>
    </x:row>
    <x:row r="215">
      <x:c r="A215" s="2" t="s">
        <x:v>75</x:v>
      </x:c>
      <x:c r="B215" s="2">
        <x:v>5460</x:v>
      </x:c>
      <x:c r="C215" s="2">
        <x:v>12996</x:v>
      </x:c>
      <x:c r="D215" s="2" t="s">
        <x:v>84</x:v>
      </x:c>
      <x:c r="E215" s="2">
        <x:v>27</x:v>
      </x:c>
      <x:c r="F215" s="2">
        <x:v>76</x:v>
      </x:c>
      <x:c r="G215" s="3">
        <x:v>8851.5416130828362</x:v>
      </x:c>
      <x:c r="H215" s="3">
        <x:v>672717.16259429557</x:v>
      </x:c>
      <x:c r="I215" s="6" t="e">
        <x:f>SUMIF([1]Pengiriman!P:P,B215,[1]Pengiriman!X:X)</x:f>
        <x:v>#NAME?</x:v>
      </x:c>
    </x:row>
    <x:row r="216">
      <x:c r="A216" s="2" t="s">
        <x:v>75</x:v>
      </x:c>
      <x:c r="B216" s="2">
        <x:v>5583</x:v>
      </x:c>
      <x:c r="C216" s="2">
        <x:v>13001</x:v>
      </x:c>
      <x:c r="D216" s="2" t="s">
        <x:v>80</x:v>
      </x:c>
      <x:c r="E216" s="2">
        <x:v>0</x:v>
      </x:c>
      <x:c r="F216" s="2">
        <x:v>216</x:v>
      </x:c>
      <x:c r="G216" s="3" t="n">
        <x:f t="shared" ref="G216:G262" si="4">H216/F216</x:f>
        <x:v>6119.809170626389</x:v>
      </x:c>
      <x:c r="H216" s="3">
        <x:v>1321878.7808552999</x:v>
      </x:c>
      <x:c r="I216" s="6" t="e">
        <x:f>SUMIF([1]Pengiriman!P:P,B216,[1]Pengiriman!X:X)</x:f>
        <x:v>#NAME?</x:v>
      </x:c>
    </x:row>
    <x:row r="217">
      <x:c r="A217" s="2" t="s">
        <x:v>75</x:v>
      </x:c>
      <x:c r="B217" s="2">
        <x:v>5113</x:v>
      </x:c>
      <x:c r="C217" s="2">
        <x:v>12961</x:v>
      </x:c>
      <x:c r="D217" s="2" t="s">
        <x:v>118</x:v>
      </x:c>
      <x:c r="E217" s="2">
        <x:v>19</x:v>
      </x:c>
      <x:c r="F217" s="2">
        <x:v>132</x:v>
      </x:c>
      <x:c r="G217" s="3">
        <x:f t="shared" si="4"/>
        <x:v>6689.9267485996534</x:v>
      </x:c>
      <x:c r="H217" s="3">
        <x:v>883070.33081515424</x:v>
      </x:c>
      <x:c r="I217" s="6" t="e">
        <x:f>SUMIF([1]Pengiriman!P:P,B217,[1]Pengiriman!X:X)</x:f>
        <x:v>#NAME?</x:v>
      </x:c>
    </x:row>
    <x:row r="218">
      <x:c r="A218" s="2" t="s">
        <x:v>75</x:v>
      </x:c>
      <x:c r="B218" s="2">
        <x:v>5117</x:v>
      </x:c>
      <x:c r="C218" s="2">
        <x:v>12962</x:v>
      </x:c>
      <x:c r="D218" s="2" t="s">
        <x:v>113</x:v>
      </x:c>
      <x:c r="E218" s="2">
        <x:v>13</x:v>
      </x:c>
      <x:c r="F218" s="2">
        <x:v>81</x:v>
      </x:c>
      <x:c r="G218" s="3">
        <x:f t="shared" si="4"/>
        <x:v>7165.0247302441785</x:v>
      </x:c>
      <x:c r="H218" s="3">
        <x:v>580367.00314977847</x:v>
      </x:c>
      <x:c r="I218" s="6" t="e">
        <x:f>SUMIF([1]Pengiriman!P:P,B218,[1]Pengiriman!X:X)</x:f>
        <x:v>#NAME?</x:v>
      </x:c>
    </x:row>
    <x:row r="219">
      <x:c r="A219" s="2" t="s">
        <x:v>75</x:v>
      </x:c>
      <x:c r="B219" s="2">
        <x:v>5118</x:v>
      </x:c>
      <x:c r="C219" s="2">
        <x:v>12963</x:v>
      </x:c>
      <x:c r="D219" s="2" t="s">
        <x:v>110</x:v>
      </x:c>
      <x:c r="E219" s="2">
        <x:v>22</x:v>
      </x:c>
      <x:c r="F219" s="2">
        <x:v>99</x:v>
      </x:c>
      <x:c r="G219" s="3">
        <x:f t="shared" si="4"/>
        <x:v>7165.0247302442131</x:v>
      </x:c>
      <x:c r="H219" s="3">
        <x:v>709337.44829417707</x:v>
      </x:c>
      <x:c r="I219" s="6" t="e">
        <x:f>SUMIF([1]Pengiriman!P:P,B219,[1]Pengiriman!X:X)</x:f>
        <x:v>#NAME?</x:v>
      </x:c>
    </x:row>
    <x:row r="220">
      <x:c r="A220" s="2" t="s">
        <x:v>75</x:v>
      </x:c>
      <x:c r="B220" s="2">
        <x:v>5121</x:v>
      </x:c>
      <x:c r="C220" s="2">
        <x:v>12965</x:v>
      </x:c>
      <x:c r="D220" s="2" t="s">
        <x:v>101</x:v>
      </x:c>
      <x:c r="E220" s="2">
        <x:v>36</x:v>
      </x:c>
      <x:c r="F220" s="2">
        <x:v>225</x:v>
      </x:c>
      <x:c r="G220" s="3">
        <x:f t="shared" si="4"/>
        <x:v>7165.0247302440266</x:v>
      </x:c>
      <x:c r="H220" s="3">
        <x:v>1612130.5643049059</x:v>
      </x:c>
      <x:c r="I220" s="6" t="e">
        <x:f>SUMIF([1]Pengiriman!P:P,B220,[1]Pengiriman!X:X)</x:f>
        <x:v>#NAME?</x:v>
      </x:c>
    </x:row>
    <x:row r="221">
      <x:c r="A221" s="2" t="s">
        <x:v>75</x:v>
      </x:c>
      <x:c r="B221" s="2">
        <x:v>5123</x:v>
      </x:c>
      <x:c r="C221" s="2">
        <x:v>12966</x:v>
      </x:c>
      <x:c r="D221" s="2" t="s">
        <x:v>112</x:v>
      </x:c>
      <x:c r="E221" s="2">
        <x:v>45</x:v>
      </x:c>
      <x:c r="F221" s="2">
        <x:v>225</x:v>
      </x:c>
      <x:c r="G221" s="3">
        <x:f t="shared" si="4"/>
        <x:v>7165.0247302440266</x:v>
      </x:c>
      <x:c r="H221" s="3">
        <x:v>1612130.5643049059</x:v>
      </x:c>
      <x:c r="I221" s="6" t="e">
        <x:f>SUMIF([1]Pengiriman!P:P,B221,[1]Pengiriman!X:X)</x:f>
        <x:v>#NAME?</x:v>
      </x:c>
    </x:row>
    <x:row r="222">
      <x:c r="A222" s="2" t="s">
        <x:v>75</x:v>
      </x:c>
      <x:c r="B222" s="2">
        <x:v>5124</x:v>
      </x:c>
      <x:c r="C222" s="2">
        <x:v>12967</x:v>
      </x:c>
      <x:c r="D222" s="2" t="s">
        <x:v>95</x:v>
      </x:c>
      <x:c r="E222" s="2">
        <x:v>51</x:v>
      </x:c>
      <x:c r="F222" s="2">
        <x:v>225</x:v>
      </x:c>
      <x:c r="G222" s="3">
        <x:f t="shared" si="4"/>
        <x:v>7165.0247302440266</x:v>
      </x:c>
      <x:c r="H222" s="3">
        <x:v>1612130.5643049059</x:v>
      </x:c>
      <x:c r="I222" s="6" t="e">
        <x:f>SUMIF([1]Pengiriman!P:P,B222,[1]Pengiriman!X:X)</x:f>
        <x:v>#NAME?</x:v>
      </x:c>
    </x:row>
    <x:row r="223">
      <x:c r="A223" s="2" t="s">
        <x:v>75</x:v>
      </x:c>
      <x:c r="B223" s="2">
        <x:v>5126</x:v>
      </x:c>
      <x:c r="C223" s="2">
        <x:v>12968</x:v>
      </x:c>
      <x:c r="D223" s="2" t="s">
        <x:v>112</x:v>
      </x:c>
      <x:c r="E223" s="2">
        <x:v>26</x:v>
      </x:c>
      <x:c r="F223" s="2">
        <x:v>134</x:v>
      </x:c>
      <x:c r="G223" s="3">
        <x:f t="shared" si="4"/>
        <x:v>6517.615092570305</x:v>
      </x:c>
      <x:c r="H223" s="3">
        <x:v>873360.42240442091</x:v>
      </x:c>
      <x:c r="I223" s="6" t="e">
        <x:f>SUMIF([1]Pengiriman!P:P,B223,[1]Pengiriman!X:X)</x:f>
        <x:v>#NAME?</x:v>
      </x:c>
    </x:row>
    <x:row r="224">
      <x:c r="A224" s="2" t="s">
        <x:v>75</x:v>
      </x:c>
      <x:c r="B224" s="2">
        <x:v>5127</x:v>
      </x:c>
      <x:c r="C224" s="2">
        <x:v>12969</x:v>
      </x:c>
      <x:c r="D224" s="2" t="s">
        <x:v>101</x:v>
      </x:c>
      <x:c r="E224" s="2">
        <x:v>22</x:v>
      </x:c>
      <x:c r="F224" s="2">
        <x:v>143</x:v>
      </x:c>
      <x:c r="G224" s="3">
        <x:f t="shared" si="4"/>
        <x:v>6989.6039370216395</x:v>
      </x:c>
      <x:c r="H224" s="3">
        <x:v>999513.36299409438</x:v>
      </x:c>
      <x:c r="I224" s="6" t="e">
        <x:f>SUMIF([1]Pengiriman!P:P,B224,[1]Pengiriman!X:X)</x:f>
        <x:v>#NAME?</x:v>
      </x:c>
    </x:row>
    <x:row r="225">
      <x:c r="A225" s="2" t="s">
        <x:v>75</x:v>
      </x:c>
      <x:c r="B225" s="2">
        <x:v>5128</x:v>
      </x:c>
      <x:c r="C225" s="2">
        <x:v>12970</x:v>
      </x:c>
      <x:c r="D225" s="2" t="s">
        <x:v>98</x:v>
      </x:c>
      <x:c r="E225" s="2">
        <x:v>11</x:v>
      </x:c>
      <x:c r="F225" s="2">
        <x:v>73</x:v>
      </x:c>
      <x:c r="G225" s="3">
        <x:f t="shared" si="4"/>
        <x:v>7165.024730244234</x:v>
      </x:c>
      <x:c r="H225" s="3">
        <x:v>523046.80530782911</x:v>
      </x:c>
      <x:c r="I225" s="6" t="e">
        <x:f>SUMIF([1]Pengiriman!P:P,B225,[1]Pengiriman!X:X)</x:f>
        <x:v>#NAME?</x:v>
      </x:c>
    </x:row>
    <x:row r="226">
      <x:c r="A226" s="2" t="s">
        <x:v>75</x:v>
      </x:c>
      <x:c r="B226" s="2">
        <x:v>5393</x:v>
      </x:c>
      <x:c r="C226" s="2">
        <x:v>12985</x:v>
      </x:c>
      <x:c r="D226" s="2" t="s">
        <x:v>116</x:v>
      </x:c>
      <x:c r="E226" s="2">
        <x:v>18</x:v>
      </x:c>
      <x:c r="F226" s="2">
        <x:v>81</x:v>
      </x:c>
      <x:c r="G226" s="3">
        <x:f t="shared" si="4"/>
        <x:v>6119.809170626173</x:v>
      </x:c>
      <x:c r="H226" s="3">
        <x:v>495704.54282072</x:v>
      </x:c>
      <x:c r="I226" s="6" t="e">
        <x:f>SUMIF([1]Pengiriman!P:P,B226,[1]Pengiriman!X:X)</x:f>
        <x:v>#NAME?</x:v>
      </x:c>
    </x:row>
    <x:row r="227">
      <x:c r="A227" s="2" t="s">
        <x:v>75</x:v>
      </x:c>
      <x:c r="B227" s="2">
        <x:v>5394</x:v>
      </x:c>
      <x:c r="C227" s="2">
        <x:v>12986</x:v>
      </x:c>
      <x:c r="D227" s="2" t="s">
        <x:v>82</x:v>
      </x:c>
      <x:c r="E227" s="2">
        <x:v>12</x:v>
      </x:c>
      <x:c r="F227" s="2">
        <x:v>60</x:v>
      </x:c>
      <x:c r="G227" s="3">
        <x:f t="shared" si="4"/>
        <x:v>6119.809170626133</x:v>
      </x:c>
      <x:c r="H227" s="3">
        <x:v>367188.55023756798</x:v>
      </x:c>
      <x:c r="I227" s="6" t="e">
        <x:f>SUMIF([1]Pengiriman!P:P,B227,[1]Pengiriman!X:X)</x:f>
        <x:v>#NAME?</x:v>
      </x:c>
    </x:row>
    <x:row r="228">
      <x:c r="A228" s="2" t="s">
        <x:v>75</x:v>
      </x:c>
      <x:c r="B228" s="2">
        <x:v>5574</x:v>
      </x:c>
      <x:c r="C228" s="2">
        <x:v>12998</x:v>
      </x:c>
      <x:c r="D228" s="2" t="s">
        <x:v>106</x:v>
      </x:c>
      <x:c r="E228" s="2">
        <x:v>22</x:v>
      </x:c>
      <x:c r="F228" s="2">
        <x:v>90</x:v>
      </x:c>
      <x:c r="G228" s="3">
        <x:f t="shared" si="4"/>
        <x:v>6119.8091706262212</x:v>
      </x:c>
      <x:c r="H228" s="3">
        <x:v>550782.82535635994</x:v>
      </x:c>
      <x:c r="I228" s="6" t="e">
        <x:f>SUMIF([1]Pengiriman!P:P,B228,[1]Pengiriman!X:X)</x:f>
        <x:v>#NAME?</x:v>
      </x:c>
    </x:row>
    <x:row r="229">
      <x:c r="A229" s="2" t="s">
        <x:v>75</x:v>
      </x:c>
      <x:c r="B229" s="2">
        <x:v>5576</x:v>
      </x:c>
      <x:c r="C229" s="2">
        <x:v>13000</x:v>
      </x:c>
      <x:c r="D229" s="2" t="s">
        <x:v>107</x:v>
      </x:c>
      <x:c r="E229" s="2">
        <x:v>59</x:v>
      </x:c>
      <x:c r="F229" s="2">
        <x:v>195</x:v>
      </x:c>
      <x:c r="G229" s="3">
        <x:f t="shared" si="4"/>
        <x:v>6119.8091706260511</x:v>
      </x:c>
      <x:c r="H229" s="3">
        <x:v>1193362.78827208</x:v>
      </x:c>
      <x:c r="I229" s="6" t="e">
        <x:f>SUMIF([1]Pengiriman!P:P,B229,[1]Pengiriman!X:X)</x:f>
        <x:v>#NAME?</x:v>
      </x:c>
    </x:row>
    <x:row r="230">
      <x:c r="A230" s="2" t="s">
        <x:v>75</x:v>
      </x:c>
      <x:c r="B230" s="2">
        <x:v>5584</x:v>
      </x:c>
      <x:c r="C230" s="2">
        <x:v>13002</x:v>
      </x:c>
      <x:c r="D230" s="2" t="s">
        <x:v>104</x:v>
      </x:c>
      <x:c r="E230" s="2">
        <x:v>0</x:v>
      </x:c>
      <x:c r="F230" s="2">
        <x:v>225</x:v>
      </x:c>
      <x:c r="G230" s="3">
        <x:f t="shared" si="4"/>
        <x:v>6119.8091706262221</x:v>
      </x:c>
      <x:c r="H230" s="3">
        <x:v>1376957.0633908999</x:v>
      </x:c>
      <x:c r="I230" s="6" t="e">
        <x:f>SUMIF([1]Pengiriman!P:P,B230,[1]Pengiriman!X:X)</x:f>
        <x:v>#NAME?</x:v>
      </x:c>
    </x:row>
    <x:row r="231">
      <x:c r="A231" s="2" t="s">
        <x:v>75</x:v>
      </x:c>
      <x:c r="B231" s="2">
        <x:v>5076</x:v>
      </x:c>
      <x:c r="C231" s="2">
        <x:v>12957</x:v>
      </x:c>
      <x:c r="D231" s="2" t="s">
        <x:v>8</x:v>
      </x:c>
      <x:c r="E231" s="2">
        <x:v>0</x:v>
      </x:c>
      <x:c r="F231" s="2">
        <x:v>67</x:v>
      </x:c>
      <x:c r="G231" s="3">
        <x:f t="shared" si="4"/>
        <x:v>6650.2170665517497</x:v>
      </x:c>
      <x:c r="H231" s="3">
        <x:v>445564.54345896724</x:v>
      </x:c>
      <x:c r="I231" s="6" t="e">
        <x:f>SUMIF([1]Pengiriman!P:P,B231,[1]Pengiriman!X:X)</x:f>
        <x:v>#NAME?</x:v>
      </x:c>
    </x:row>
    <x:row r="232">
      <x:c r="A232" s="2" t="s">
        <x:v>75</x:v>
      </x:c>
      <x:c r="B232" s="2">
        <x:v>5080</x:v>
      </x:c>
      <x:c r="C232" s="2">
        <x:v>12959</x:v>
      </x:c>
      <x:c r="D232" s="2" t="s">
        <x:v>5</x:v>
      </x:c>
      <x:c r="E232" s="2">
        <x:v>0</x:v>
      </x:c>
      <x:c r="F232" s="2">
        <x:v>364</x:v>
      </x:c>
      <x:c r="G232" s="3">
        <x:f t="shared" si="4"/>
        <x:v>6243.2824372843452</x:v>
      </x:c>
      <x:c r="H232" s="3">
        <x:v>2272554.8071715017</x:v>
      </x:c>
      <x:c r="I232" s="6" t="e">
        <x:f>SUMIF([1]Pengiriman!P:P,B232,[1]Pengiriman!X:X)</x:f>
        <x:v>#NAME?</x:v>
      </x:c>
    </x:row>
    <x:row r="233">
      <x:c r="A233" s="2" t="s">
        <x:v>75</x:v>
      </x:c>
      <x:c r="B233" s="2">
        <x:v>5112</x:v>
      </x:c>
      <x:c r="C233" s="2">
        <x:v>12960</x:v>
      </x:c>
      <x:c r="D233" s="2" t="s">
        <x:v>116</x:v>
      </x:c>
      <x:c r="E233" s="2">
        <x:v>47</x:v>
      </x:c>
      <x:c r="F233" s="2">
        <x:v>225</x:v>
      </x:c>
      <x:c r="G233" s="3">
        <x:f t="shared" si="4"/>
        <x:v>7072.116680500525</x:v>
      </x:c>
      <x:c r="H233" s="3">
        <x:v>1591226.2531126181</x:v>
      </x:c>
      <x:c r="I233" s="6" t="e">
        <x:f>SUMIF([1]Pengiriman!P:P,B233,[1]Pengiriman!X:X)</x:f>
        <x:v>#NAME?</x:v>
      </x:c>
    </x:row>
    <x:row r="234">
      <x:c r="A234" s="2" t="s">
        <x:v>75</x:v>
      </x:c>
      <x:c r="B234" s="2">
        <x:v>5119</x:v>
      </x:c>
      <x:c r="C234" s="2">
        <x:v>12964</x:v>
      </x:c>
      <x:c r="D234" s="2" t="s">
        <x:v>137</x:v>
      </x:c>
      <x:c r="E234" s="2">
        <x:v>3</x:v>
      </x:c>
      <x:c r="F234" s="2">
        <x:v>16</x:v>
      </x:c>
      <x:c r="G234" s="3">
        <x:f t="shared" si="4"/>
        <x:v>7165.0247302442949</x:v>
      </x:c>
      <x:c r="H234" s="3">
        <x:v>114640.39568390872</x:v>
      </x:c>
      <x:c r="I234" s="6" t="e">
        <x:f>SUMIF([1]Pengiriman!P:P,B234,[1]Pengiriman!X:X)</x:f>
        <x:v>#NAME?</x:v>
      </x:c>
    </x:row>
    <x:row r="235">
      <x:c r="A235" s="2" t="s">
        <x:v>75</x:v>
      </x:c>
      <x:c r="B235" s="2">
        <x:v>5129</x:v>
      </x:c>
      <x:c r="C235" s="2">
        <x:v>12971</x:v>
      </x:c>
      <x:c r="D235" s="2" t="s">
        <x:v>96</x:v>
      </x:c>
      <x:c r="E235" s="2">
        <x:v>18</x:v>
      </x:c>
      <x:c r="F235" s="2">
        <x:v>95</x:v>
      </x:c>
      <x:c r="G235" s="3">
        <x:f t="shared" si="4"/>
        <x:v>7165.0247302441821</x:v>
      </x:c>
      <x:c r="H235" s="3">
        <x:v>680677.3493731973</x:v>
      </x:c>
      <x:c r="I235" s="6" t="e">
        <x:f>SUMIF([1]Pengiriman!P:P,B235,[1]Pengiriman!X:X)</x:f>
        <x:v>#NAME?</x:v>
      </x:c>
    </x:row>
    <x:row r="236">
      <x:c r="A236" s="2" t="s">
        <x:v>75</x:v>
      </x:c>
      <x:c r="B236" s="2">
        <x:v>5130</x:v>
      </x:c>
      <x:c r="C236" s="2">
        <x:v>12972</x:v>
      </x:c>
      <x:c r="D236" s="2" t="s">
        <x:v>97</x:v>
      </x:c>
      <x:c r="E236" s="2">
        <x:v>22</x:v>
      </x:c>
      <x:c r="F236" s="2">
        <x:v>95</x:v>
      </x:c>
      <x:c r="G236" s="3">
        <x:f t="shared" si="4"/>
        <x:v>7165.0247302441821</x:v>
      </x:c>
      <x:c r="H236" s="3">
        <x:v>680677.3493731973</x:v>
      </x:c>
      <x:c r="I236" s="6" t="e">
        <x:f>SUMIF([1]Pengiriman!P:P,B236,[1]Pengiriman!X:X)</x:f>
        <x:v>#NAME?</x:v>
      </x:c>
    </x:row>
    <x:row r="237">
      <x:c r="A237" s="2" t="s">
        <x:v>75</x:v>
      </x:c>
      <x:c r="B237" s="2">
        <x:v>5131</x:v>
      </x:c>
      <x:c r="C237" s="2">
        <x:v>12973</x:v>
      </x:c>
      <x:c r="D237" s="2" t="s">
        <x:v>92</x:v>
      </x:c>
      <x:c r="E237" s="2">
        <x:v>42</x:v>
      </x:c>
      <x:c r="F237" s="2">
        <x:v>163</x:v>
      </x:c>
      <x:c r="G237" s="3">
        <x:f t="shared" si="4"/>
        <x:v>6741.8086140798605</x:v>
      </x:c>
      <x:c r="H237" s="3">
        <x:v>1098914.8040950173</x:v>
      </x:c>
      <x:c r="I237" s="6" t="e">
        <x:f>SUMIF([1]Pengiriman!P:P,B237,[1]Pengiriman!X:X)</x:f>
        <x:v>#NAME?</x:v>
      </x:c>
    </x:row>
    <x:row r="238">
      <x:c r="A238" s="2" t="s">
        <x:v>75</x:v>
      </x:c>
      <x:c r="B238" s="2">
        <x:v>5371</x:v>
      </x:c>
      <x:c r="C238" s="2">
        <x:v>12974</x:v>
      </x:c>
      <x:c r="D238" s="2" t="s">
        <x:v>115</x:v>
      </x:c>
      <x:c r="E238" s="2">
        <x:v>27</x:v>
      </x:c>
      <x:c r="F238" s="2">
        <x:v>114</x:v>
      </x:c>
      <x:c r="G238" s="3">
        <x:f t="shared" si="4"/>
        <x:v>6119.8091706261403</x:v>
      </x:c>
      <x:c r="H238" s="3">
        <x:v>697658.24545138003</x:v>
      </x:c>
      <x:c r="I238" s="6" t="e">
        <x:f>SUMIF([1]Pengiriman!P:P,B238,[1]Pengiriman!X:X)</x:f>
        <x:v>#NAME?</x:v>
      </x:c>
    </x:row>
    <x:row r="239">
      <x:c r="A239" s="2" t="s">
        <x:v>75</x:v>
      </x:c>
      <x:c r="B239" s="2">
        <x:v>5396</x:v>
      </x:c>
      <x:c r="C239" s="2">
        <x:v>12988</x:v>
      </x:c>
      <x:c r="D239" s="2" t="s">
        <x:v>138</x:v>
      </x:c>
      <x:c r="E239" s="2">
        <x:v>17</x:v>
      </x:c>
      <x:c r="F239" s="2">
        <x:v>70</x:v>
      </x:c>
      <x:c r="G239" s="3">
        <x:f t="shared" si="4"/>
        <x:v>6119.809170626143</x:v>
      </x:c>
      <x:c r="H239" s="3">
        <x:v>428386.64194383001</x:v>
      </x:c>
      <x:c r="I239" s="6" t="e">
        <x:f>SUMIF([1]Pengiriman!P:P,B239,[1]Pengiriman!X:X)</x:f>
        <x:v>#NAME?</x:v>
      </x:c>
    </x:row>
    <x:row r="240">
      <x:c r="A240" s="2" t="s">
        <x:v>75</x:v>
      </x:c>
      <x:c r="B240" s="2">
        <x:v>5397</x:v>
      </x:c>
      <x:c r="C240" s="2">
        <x:v>12989</x:v>
      </x:c>
      <x:c r="D240" s="2" t="s">
        <x:v>104</x:v>
      </x:c>
      <x:c r="E240" s="2">
        <x:v>0</x:v>
      </x:c>
      <x:c r="F240" s="2">
        <x:v>88</x:v>
      </x:c>
      <x:c r="G240" s="3">
        <x:f t="shared" si="4"/>
        <x:v>6119.8091706262267</x:v>
      </x:c>
      <x:c r="H240" s="3">
        <x:v>538543.20701510797</x:v>
      </x:c>
      <x:c r="I240" s="6" t="e">
        <x:f>SUMIF([1]Pengiriman!P:P,B240,[1]Pengiriman!X:X)</x:f>
        <x:v>#NAME?</x:v>
      </x:c>
    </x:row>
    <x:row r="241">
      <x:c r="A241" s="2" t="s">
        <x:v>75</x:v>
      </x:c>
      <x:c r="B241" s="2">
        <x:v>5398</x:v>
      </x:c>
      <x:c r="C241" s="2">
        <x:v>12990</x:v>
      </x:c>
      <x:c r="D241" s="2" t="s">
        <x:v>119</x:v>
      </x:c>
      <x:c r="E241" s="2">
        <x:v>0</x:v>
      </x:c>
      <x:c r="F241" s="2">
        <x:v>91</x:v>
      </x:c>
      <x:c r="G241" s="3">
        <x:f t="shared" si="4"/>
        <x:v>6119.8091706261539</x:v>
      </x:c>
      <x:c r="H241" s="3">
        <x:v>556902.63452697999</x:v>
      </x:c>
      <x:c r="I241" s="6" t="e">
        <x:f>SUMIF([1]Pengiriman!P:P,B241,[1]Pengiriman!X:X)</x:f>
        <x:v>#NAME?</x:v>
      </x:c>
    </x:row>
    <x:row r="242">
      <x:c r="A242" s="2" t="s">
        <x:v>75</x:v>
      </x:c>
      <x:c r="B242" s="2">
        <x:v>5423</x:v>
      </x:c>
      <x:c r="C242" s="2">
        <x:v>12995</x:v>
      </x:c>
      <x:c r="D242" s="2" t="s">
        <x:v>119</x:v>
      </x:c>
      <x:c r="E242" s="2">
        <x:v>0</x:v>
      </x:c>
      <x:c r="F242" s="2">
        <x:v>55</x:v>
      </x:c>
      <x:c r="G242" s="3">
        <x:f t="shared" si="4"/>
        <x:v>6119.8091706261821</x:v>
      </x:c>
      <x:c r="H242" s="3">
        <x:v>336589.50438444002</x:v>
      </x:c>
      <x:c r="I242" s="6" t="e">
        <x:f>SUMIF([1]Pengiriman!P:P,B242,[1]Pengiriman!X:X)</x:f>
        <x:v>#NAME?</x:v>
      </x:c>
    </x:row>
    <x:row r="243">
      <x:c r="A243" s="2" t="s">
        <x:v>75</x:v>
      </x:c>
      <x:c r="B243" s="2">
        <x:v>5573</x:v>
      </x:c>
      <x:c r="C243" s="2">
        <x:v>12997</x:v>
      </x:c>
      <x:c r="D243" s="2" t="s">
        <x:v>111</x:v>
      </x:c>
      <x:c r="E243" s="2">
        <x:v>12</x:v>
      </x:c>
      <x:c r="F243" s="2">
        <x:v>55</x:v>
      </x:c>
      <x:c r="G243" s="3">
        <x:f t="shared" si="4"/>
        <x:v>6119.8091706261821</x:v>
      </x:c>
      <x:c r="H243" s="3">
        <x:v>336589.50438444002</x:v>
      </x:c>
      <x:c r="I243" s="6" t="e">
        <x:f>SUMIF([1]Pengiriman!P:P,B243,[1]Pengiriman!X:X)</x:f>
        <x:v>#NAME?</x:v>
      </x:c>
    </x:row>
    <x:row r="244">
      <x:c r="A244" s="2" t="s">
        <x:v>75</x:v>
      </x:c>
      <x:c r="B244" s="2">
        <x:v>5585</x:v>
      </x:c>
      <x:c r="C244" s="2">
        <x:v>13003</x:v>
      </x:c>
      <x:c r="D244" s="2" t="s">
        <x:v>104</x:v>
      </x:c>
      <x:c r="E244" s="2">
        <x:v>0</x:v>
      </x:c>
      <x:c r="F244" s="2">
        <x:v>201</x:v>
      </x:c>
      <x:c r="G244" s="3">
        <x:f t="shared" si="4"/>
        <x:v>6119.8091706262185</x:v>
      </x:c>
      <x:c r="H244" s="3">
        <x:v>1230081.6432958699</x:v>
      </x:c>
      <x:c r="I244" s="6" t="e">
        <x:f>SUMIF([1]Pengiriman!P:P,B244,[1]Pengiriman!X:X)</x:f>
        <x:v>#NAME?</x:v>
      </x:c>
    </x:row>
    <x:row r="245">
      <x:c r="A245" s="2" t="s">
        <x:v>75</x:v>
      </x:c>
      <x:c r="B245" s="2">
        <x:v>5372</x:v>
      </x:c>
      <x:c r="C245" s="2">
        <x:v>12975</x:v>
      </x:c>
      <x:c r="D245" s="2" t="s">
        <x:v>94</x:v>
      </x:c>
      <x:c r="E245" s="2">
        <x:v>43</x:v>
      </x:c>
      <x:c r="F245" s="2">
        <x:v>139</x:v>
      </x:c>
      <x:c r="G245" s="3">
        <x:f t="shared" si="4"/>
        <x:v>6119.8091706262157</x:v>
      </x:c>
      <x:c r="H245" s="3">
        <x:v>850653.47471704404</x:v>
      </x:c>
      <x:c r="I245" s="6" t="e">
        <x:f>SUMIF([1]Pengiriman!P:P,B245,[1]Pengiriman!X:X)</x:f>
        <x:v>#NAME?</x:v>
      </x:c>
    </x:row>
    <x:row r="246">
      <x:c r="A246" s="2" t="s">
        <x:v>75</x:v>
      </x:c>
      <x:c r="B246" s="2">
        <x:v>5376</x:v>
      </x:c>
      <x:c r="C246" s="2">
        <x:v>12976</x:v>
      </x:c>
      <x:c r="D246" s="2" t="s">
        <x:v>81</x:v>
      </x:c>
      <x:c r="E246" s="2">
        <x:v>14</x:v>
      </x:c>
      <x:c r="F246" s="2">
        <x:v>66</x:v>
      </x:c>
      <x:c r="G246" s="3">
        <x:f t="shared" si="4"/>
        <x:v>6119.8091706262721</x:v>
      </x:c>
      <x:c r="H246" s="3">
        <x:v>403907.40526133397</x:v>
      </x:c>
      <x:c r="I246" s="6" t="e">
        <x:f>SUMIF([1]Pengiriman!P:P,B246,[1]Pengiriman!X:X)</x:f>
        <x:v>#NAME?</x:v>
      </x:c>
    </x:row>
    <x:row r="247">
      <x:c r="A247" s="2" t="s">
        <x:v>75</x:v>
      </x:c>
      <x:c r="B247" s="2">
        <x:v>5378</x:v>
      </x:c>
      <x:c r="C247" s="2">
        <x:v>12978</x:v>
      </x:c>
      <x:c r="D247" s="2" t="s">
        <x:v>83</x:v>
      </x:c>
      <x:c r="E247" s="2">
        <x:v>41</x:v>
      </x:c>
      <x:c r="F247" s="2">
        <x:v>123</x:v>
      </x:c>
      <x:c r="G247" s="3">
        <x:f t="shared" si="4"/>
        <x:v>6119.8091706261785</x:v>
      </x:c>
      <x:c r="H247" s="3">
        <x:v>752736.52798701997</x:v>
      </x:c>
      <x:c r="I247" s="6" t="e">
        <x:f>SUMIF([1]Pengiriman!P:P,B247,[1]Pengiriman!X:X)</x:f>
        <x:v>#NAME?</x:v>
      </x:c>
    </x:row>
    <x:row r="248">
      <x:c r="A248" s="2" t="s">
        <x:v>75</x:v>
      </x:c>
      <x:c r="B248" s="2">
        <x:v>5380</x:v>
      </x:c>
      <x:c r="C248" s="2">
        <x:v>12979</x:v>
      </x:c>
      <x:c r="D248" s="2" t="s">
        <x:v>84</x:v>
      </x:c>
      <x:c r="E248" s="2">
        <x:v>98</x:v>
      </x:c>
      <x:c r="F248" s="2">
        <x:v>261</x:v>
      </x:c>
      <x:c r="G248" s="3">
        <x:f t="shared" si="4"/>
        <x:v>6119.8091706262448</x:v>
      </x:c>
      <x:c r="H248" s="3">
        <x:v>1597270.1935334499</x:v>
      </x:c>
      <x:c r="I248" s="6" t="e">
        <x:f>SUMIF([1]Pengiriman!P:P,B248,[1]Pengiriman!X:X)</x:f>
        <x:v>#NAME?</x:v>
      </x:c>
    </x:row>
    <x:row r="249">
      <x:c r="A249" s="2" t="s">
        <x:v>75</x:v>
      </x:c>
      <x:c r="B249" s="2">
        <x:v>5391</x:v>
      </x:c>
      <x:c r="C249" s="2">
        <x:v>12983</x:v>
      </x:c>
      <x:c r="D249" s="2" t="s">
        <x:v>128</x:v>
      </x:c>
      <x:c r="E249" s="2">
        <x:v>80</x:v>
      </x:c>
      <x:c r="F249" s="2">
        <x:v>328</x:v>
      </x:c>
      <x:c r="G249" s="3">
        <x:f t="shared" si="4"/>
        <x:v>6119.8091706261894</x:v>
      </x:c>
      <x:c r="H249" s="3">
        <x:v>2007297.40796539</x:v>
      </x:c>
      <x:c r="I249" s="6" t="e">
        <x:f>SUMIF([1]Pengiriman!P:P,B249,[1]Pengiriman!X:X)</x:f>
        <x:v>#NAME?</x:v>
      </x:c>
    </x:row>
    <x:row r="250">
      <x:c r="A250" s="2" t="s">
        <x:v>75</x:v>
      </x:c>
      <x:c r="B250" s="2">
        <x:v>5400</x:v>
      </x:c>
      <x:c r="C250" s="2">
        <x:v>12991</x:v>
      </x:c>
      <x:c r="D250" s="2" t="s">
        <x:v>139</x:v>
      </x:c>
      <x:c r="E250" s="2">
        <x:v>7</x:v>
      </x:c>
      <x:c r="F250" s="2">
        <x:v>38</x:v>
      </x:c>
      <x:c r="G250" s="3">
        <x:f t="shared" si="4"/>
        <x:v>6119.8091706263158</x:v>
      </x:c>
      <x:c r="H250" s="3">
        <x:v>232552.74848380001</x:v>
      </x:c>
      <x:c r="I250" s="6" t="e">
        <x:f>SUMIF([1]Pengiriman!P:P,B250,[1]Pengiriman!X:X)</x:f>
        <x:v>#NAME?</x:v>
      </x:c>
    </x:row>
    <x:row r="251">
      <x:c r="A251" s="2" t="s">
        <x:v>75</x:v>
      </x:c>
      <x:c r="B251" s="2">
        <x:v>5401</x:v>
      </x:c>
      <x:c r="C251" s="2">
        <x:v>12992</x:v>
      </x:c>
      <x:c r="D251" s="2" t="s">
        <x:v>5</x:v>
      </x:c>
      <x:c r="E251" s="2">
        <x:v>0</x:v>
      </x:c>
      <x:c r="F251" s="2">
        <x:v>115</x:v>
      </x:c>
      <x:c r="G251" s="3">
        <x:f t="shared" si="4"/>
        <x:v>6119.8091706261739</x:v>
      </x:c>
      <x:c r="H251" s="3">
        <x:v>703778.05462200998</x:v>
      </x:c>
      <x:c r="I251" s="6" t="e">
        <x:f>SUMIF([1]Pengiriman!P:P,B251,[1]Pengiriman!X:X)</x:f>
        <x:v>#NAME?</x:v>
      </x:c>
    </x:row>
    <x:row r="252">
      <x:c r="A252" s="2" t="s">
        <x:v>75</x:v>
      </x:c>
      <x:c r="B252" s="2">
        <x:v>5417</x:v>
      </x:c>
      <x:c r="C252" s="2">
        <x:v>12993</x:v>
      </x:c>
      <x:c r="D252" s="2" t="s">
        <x:v>85</x:v>
      </x:c>
      <x:c r="E252" s="2">
        <x:v>75</x:v>
      </x:c>
      <x:c r="F252" s="2">
        <x:v>228</x:v>
      </x:c>
      <x:c r="G252" s="3">
        <x:f t="shared" si="4"/>
        <x:v>6119.8091706261403</x:v>
      </x:c>
      <x:c r="H252" s="3">
        <x:v>1395316.4909027601</x:v>
      </x:c>
      <x:c r="I252" s="6" t="e">
        <x:f>SUMIF([1]Pengiriman!P:P,B252,[1]Pengiriman!X:X)</x:f>
        <x:v>#NAME?</x:v>
      </x:c>
    </x:row>
    <x:row r="253">
      <x:c r="A253" s="2" t="s">
        <x:v>75</x:v>
      </x:c>
      <x:c r="B253" s="2">
        <x:v>5575</x:v>
      </x:c>
      <x:c r="C253" s="2">
        <x:v>12999</x:v>
      </x:c>
      <x:c r="D253" s="2" t="s">
        <x:v>103</x:v>
      </x:c>
      <x:c r="E253" s="2">
        <x:v>74</x:v>
      </x:c>
      <x:c r="F253" s="2">
        <x:v>271</x:v>
      </x:c>
      <x:c r="G253" s="3">
        <x:f t="shared" si="4"/>
        <x:v>6119.8091706261994</x:v>
      </x:c>
      <x:c r="H253" s="3">
        <x:v>1658468.2852397</x:v>
      </x:c>
      <x:c r="I253" s="6" t="e">
        <x:f>SUMIF([1]Pengiriman!P:P,B253,[1]Pengiriman!X:X)</x:f>
        <x:v>#NAME?</x:v>
      </x:c>
    </x:row>
    <x:row r="254">
      <x:c r="A254" s="2" t="s">
        <x:v>75</x:v>
      </x:c>
      <x:c r="B254" s="2">
        <x:v>5679</x:v>
      </x:c>
      <x:c r="C254" s="2">
        <x:v>13004</x:v>
      </x:c>
      <x:c r="D254" s="2" t="s">
        <x:v>100</x:v>
      </x:c>
      <x:c r="E254" s="2">
        <x:v>8</x:v>
      </x:c>
      <x:c r="F254" s="2">
        <x:v>29</x:v>
      </x:c>
      <x:c r="G254" s="3">
        <x:f t="shared" si="4"/>
        <x:v>6119.8091706262076</x:v>
      </x:c>
      <x:c r="H254" s="3">
        <x:v>177474.46594816001</x:v>
      </x:c>
      <x:c r="I254" s="6" t="e">
        <x:f>SUMIF([1]Pengiriman!P:P,B254,[1]Pengiriman!X:X)</x:f>
        <x:v>#NAME?</x:v>
      </x:c>
    </x:row>
    <x:row r="255">
      <x:c r="A255" s="2" t="s">
        <x:v>75</x:v>
      </x:c>
      <x:c r="B255" s="2">
        <x:v>5691</x:v>
      </x:c>
      <x:c r="C255" s="2">
        <x:v>13005</x:v>
      </x:c>
      <x:c r="D255" s="2" t="s">
        <x:v>114</x:v>
      </x:c>
      <x:c r="E255" s="2">
        <x:v>33</x:v>
      </x:c>
      <x:c r="F255" s="2">
        <x:v>159</x:v>
      </x:c>
      <x:c r="G255" s="3">
        <x:f t="shared" si="4"/>
        <x:v>6119.8091706262258</x:v>
      </x:c>
      <x:c r="H255" s="3">
        <x:v>973049.65812956996</x:v>
      </x:c>
      <x:c r="I255" s="6" t="e">
        <x:f>SUMIF([1]Pengiriman!P:P,B255,[1]Pengiriman!X:X)</x:f>
        <x:v>#NAME?</x:v>
      </x:c>
    </x:row>
    <x:row r="256">
      <x:c r="A256" s="2" t="s">
        <x:v>75</x:v>
      </x:c>
      <x:c r="B256" s="2">
        <x:v>5692</x:v>
      </x:c>
      <x:c r="C256" s="2">
        <x:v>13006</x:v>
      </x:c>
      <x:c r="D256" s="2" t="s">
        <x:v>120</x:v>
      </x:c>
      <x:c r="E256" s="2">
        <x:v>4</x:v>
      </x:c>
      <x:c r="F256" s="2">
        <x:v>22</x:v>
      </x:c>
      <x:c r="G256" s="3">
        <x:f t="shared" si="4"/>
        <x:v>6119.8091706263631</x:v>
      </x:c>
      <x:c r="H256" s="3">
        <x:v>134635.80175377999</x:v>
      </x:c>
      <x:c r="I256" s="6" t="e">
        <x:f>SUMIF([1]Pengiriman!P:P,B256,[1]Pengiriman!X:X)</x:f>
        <x:v>#NAME?</x:v>
      </x:c>
    </x:row>
    <x:row r="257">
      <x:c r="A257" s="2" t="s">
        <x:v>75</x:v>
      </x:c>
      <x:c r="B257" s="2">
        <x:v>5693</x:v>
      </x:c>
      <x:c r="C257" s="2">
        <x:v>13007</x:v>
      </x:c>
      <x:c r="D257" s="2" t="s">
        <x:v>121</x:v>
      </x:c>
      <x:c r="E257" s="2">
        <x:v>26</x:v>
      </x:c>
      <x:c r="F257" s="2">
        <x:v>119</x:v>
      </x:c>
      <x:c r="G257" s="3">
        <x:f t="shared" si="4"/>
        <x:v>6119.8091706262185</x:v>
      </x:c>
      <x:c r="H257" s="3">
        <x:v>728257.29130451998</x:v>
      </x:c>
      <x:c r="I257" s="6" t="e">
        <x:f>SUMIF([1]Pengiriman!P:P,B257,[1]Pengiriman!X:X)</x:f>
        <x:v>#NAME?</x:v>
      </x:c>
    </x:row>
    <x:row r="258">
      <x:c r="A258" s="2" t="s">
        <x:v>75</x:v>
      </x:c>
      <x:c r="B258" s="2">
        <x:v>2851</x:v>
      </x:c>
      <x:c r="C258" s="2">
        <x:v>13008</x:v>
      </x:c>
      <x:c r="D258" s="2" t="s">
        <x:v>138</x:v>
      </x:c>
      <x:c r="E258" s="2">
        <x:v>14</x:v>
      </x:c>
      <x:c r="F258" s="2">
        <x:v>70</x:v>
      </x:c>
      <x:c r="G258" s="3">
        <x:f t="shared" si="4"/>
        <x:v>2741.151457865024</x:v>
      </x:c>
      <x:c r="H258" s="3">
        <x:v>191880.60205055168</x:v>
      </x:c>
      <x:c r="I258" s="6" t="e">
        <x:f>SUMIF([1]Pengiriman!P:P,B258,[1]Pengiriman!X:X)</x:f>
        <x:v>#NAME?</x:v>
      </x:c>
    </x:row>
    <x:row r="259">
      <x:c r="A259" s="2" t="s">
        <x:v>75</x:v>
      </x:c>
      <x:c r="B259" s="2">
        <x:v>2884</x:v>
      </x:c>
      <x:c r="C259" s="2">
        <x:v>13010</x:v>
      </x:c>
      <x:c r="D259" s="2" t="s">
        <x:v>140</x:v>
      </x:c>
      <x:c r="E259" s="2">
        <x:v>0</x:v>
      </x:c>
      <x:c r="F259" s="2">
        <x:v>49</x:v>
      </x:c>
      <x:c r="G259" s="3">
        <x:f t="shared" si="4"/>
        <x:v>9662.7929696335923</x:v>
      </x:c>
      <x:c r="H259" s="3">
        <x:v>473476.85551204602</x:v>
      </x:c>
      <x:c r="I259" s="6" t="e">
        <x:f>SUMIF([1]Pengiriman!P:P,B259,[1]Pengiriman!X:X)</x:f>
        <x:v>#NAME?</x:v>
      </x:c>
    </x:row>
    <x:row r="260">
      <x:c r="A260" s="2" t="s">
        <x:v>75</x:v>
      </x:c>
      <x:c r="B260" s="2">
        <x:v>5020</x:v>
      </x:c>
      <x:c r="C260" s="2">
        <x:v>13012</x:v>
      </x:c>
      <x:c r="D260" s="2" t="s">
        <x:v>137</x:v>
      </x:c>
      <x:c r="E260" s="2">
        <x:v>28</x:v>
      </x:c>
      <x:c r="F260" s="2">
        <x:v>141</x:v>
      </x:c>
      <x:c r="G260" s="3">
        <x:f t="shared" si="4"/>
        <x:v>11999.109739659629</x:v>
      </x:c>
      <x:c r="H260" s="3">
        <x:v>1691874.4732920076</x:v>
      </x:c>
      <x:c r="I260" s="6" t="e">
        <x:f>SUMIF([1]Pengiriman!P:P,B260,[1]Pengiriman!X:X)</x:f>
        <x:v>#NAME?</x:v>
      </x:c>
    </x:row>
    <x:row r="261">
      <x:c r="A261" s="2" t="s">
        <x:v>75</x:v>
      </x:c>
      <x:c r="B261" s="2">
        <x:v>5432</x:v>
      </x:c>
      <x:c r="C261" s="2">
        <x:v>13020</x:v>
      </x:c>
      <x:c r="D261" s="2" t="s">
        <x:v>104</x:v>
      </x:c>
      <x:c r="E261" s="2">
        <x:v>0</x:v>
      </x:c>
      <x:c r="F261" s="2">
        <x:v>225</x:v>
      </x:c>
      <x:c r="G261" s="3">
        <x:f t="shared" si="4"/>
        <x:v>10326.785382580574</x:v>
      </x:c>
      <x:c r="H261" s="3">
        <x:v>2323526.7110806294</x:v>
      </x:c>
      <x:c r="I261" s="6" t="e">
        <x:f>SUMIF([1]Pengiriman!P:P,B261,[1]Pengiriman!X:X)</x:f>
        <x:v>#NAME?</x:v>
      </x:c>
    </x:row>
    <x:row r="262">
      <x:c r="A262" s="2" t="s">
        <x:v>75</x:v>
      </x:c>
      <x:c r="B262" s="2">
        <x:v>5433</x:v>
      </x:c>
      <x:c r="C262" s="2">
        <x:v>13021</x:v>
      </x:c>
      <x:c r="D262" s="2" t="s">
        <x:v>5</x:v>
      </x:c>
      <x:c r="E262" s="2">
        <x:v>0</x:v>
      </x:c>
      <x:c r="F262" s="2">
        <x:v>450</x:v>
      </x:c>
      <x:c r="G262" s="3">
        <x:f t="shared" si="4"/>
        <x:v>11654.971289787833</x:v>
      </x:c>
      <x:c r="H262" s="3">
        <x:v>5244737.0804045247</x:v>
      </x:c>
      <x:c r="I262" s="6" t="e">
        <x:f>SUMIF([1]Pengiriman!P:P,B262,[1]Pengiriman!X:X)</x:f>
        <x:v>#NAME?</x:v>
      </x:c>
    </x:row>
    <x:row r="263">
      <x:c r="A263" s="2" t="s">
        <x:v>75</x:v>
      </x:c>
      <x:c r="B263" s="2">
        <x:v>5460</x:v>
      </x:c>
      <x:c r="C263" s="2">
        <x:v>13022</x:v>
      </x:c>
      <x:c r="D263" s="2" t="s">
        <x:v>84</x:v>
      </x:c>
      <x:c r="E263" s="2">
        <x:v>110</x:v>
      </x:c>
      <x:c r="F263" s="2">
        <x:v>280</x:v>
      </x:c>
      <x:c r="G263" s="3">
        <x:v>8851.5416130828362</x:v>
      </x:c>
      <x:c r="H263" s="3">
        <x:v>2478431.6516631939</x:v>
      </x:c>
      <x:c r="I263" s="6" t="e">
        <x:f>SUMIF([1]Pengiriman!P:P,B263,[1]Pengiriman!X:X)</x:f>
        <x:v>#NAME?</x:v>
      </x:c>
    </x:row>
    <x:row r="264">
      <x:c r="A264" s="2" t="s">
        <x:v>75</x:v>
      </x:c>
      <x:c r="B264" s="2">
        <x:v>5464</x:v>
      </x:c>
      <x:c r="C264" s="2">
        <x:v>13023</x:v>
      </x:c>
      <x:c r="D264" s="2" t="s">
        <x:v>91</x:v>
      </x:c>
      <x:c r="E264" s="2">
        <x:v>70</x:v>
      </x:c>
      <x:c r="F264" s="2">
        <x:v>350</x:v>
      </x:c>
      <x:c r="G264" s="3" t="n">
        <x:f t="shared" ref="G264:G295" si="5">H264/F264</x:f>
        <x:v>9894.444183506324</x:v>
      </x:c>
      <x:c r="H264" s="3">
        <x:v>3463055.4642272135</x:v>
      </x:c>
      <x:c r="I264" s="6" t="e">
        <x:f>SUMIF([1]Pengiriman!P:P,B264,[1]Pengiriman!X:X)</x:f>
        <x:v>#NAME?</x:v>
      </x:c>
    </x:row>
    <x:row r="265">
      <x:c r="A265" s="2" t="s">
        <x:v>75</x:v>
      </x:c>
      <x:c r="B265" s="2">
        <x:v>5471</x:v>
      </x:c>
      <x:c r="C265" s="2">
        <x:v>13024</x:v>
      </x:c>
      <x:c r="D265" s="2" t="s">
        <x:v>100</x:v>
      </x:c>
      <x:c r="E265" s="2">
        <x:v>110</x:v>
      </x:c>
      <x:c r="F265" s="2">
        <x:v>450</x:v>
      </x:c>
      <x:c r="G265" s="3">
        <x:f t="shared" si="5"/>
        <x:v>10701.049087663752</x:v>
      </x:c>
      <x:c r="H265" s="3">
        <x:v>4815472.0894486886</x:v>
      </x:c>
      <x:c r="I265" s="6" t="e">
        <x:f>SUMIF([1]Pengiriman!P:P,B265,[1]Pengiriman!X:X)</x:f>
        <x:v>#NAME?</x:v>
      </x:c>
    </x:row>
    <x:row r="266">
      <x:c r="A266" s="2" t="s">
        <x:v>75</x:v>
      </x:c>
      <x:c r="B266" s="2">
        <x:v>5229</x:v>
      </x:c>
      <x:c r="C266" s="2">
        <x:v>12715</x:v>
      </x:c>
      <x:c r="D266" s="2" t="s">
        <x:v>104</x:v>
      </x:c>
      <x:c r="E266" s="2">
        <x:v>0</x:v>
      </x:c>
      <x:c r="F266" s="2">
        <x:v>225</x:v>
      </x:c>
      <x:c r="G266" s="3">
        <x:f t="shared" si="5"/>
        <x:v>12892.369466973692</x:v>
      </x:c>
      <x:c r="H266" s="3">
        <x:v>2900783.1300690807</x:v>
      </x:c>
      <x:c r="I266" s="6" t="e">
        <x:f>SUMIF([1]Pengiriman!P:P,B266,[1]Pengiriman!X:X)</x:f>
        <x:v>#NAME?</x:v>
      </x:c>
    </x:row>
    <x:row r="267">
      <x:c r="A267" s="2" t="s">
        <x:v>75</x:v>
      </x:c>
      <x:c r="B267" s="2">
        <x:v>5316</x:v>
      </x:c>
      <x:c r="C267" s="2">
        <x:v>12720</x:v>
      </x:c>
      <x:c r="D267" s="2" t="s">
        <x:v>104</x:v>
      </x:c>
      <x:c r="E267" s="2">
        <x:v>5</x:v>
      </x:c>
      <x:c r="F267" s="2">
        <x:v>225</x:v>
      </x:c>
      <x:c r="G267" s="3">
        <x:f t="shared" si="5"/>
        <x:v>11251.457549476445</x:v>
      </x:c>
      <x:c r="H267" s="3">
        <x:v>2531577.9486322002</x:v>
      </x:c>
      <x:c r="I267" s="6" t="e">
        <x:f>SUMIF([1]Pengiriman!P:P,B267,[1]Pengiriman!X:X)</x:f>
        <x:v>#NAME?</x:v>
      </x:c>
    </x:row>
    <x:row r="268">
      <x:c r="A268" s="2" t="s">
        <x:v>75</x:v>
      </x:c>
      <x:c r="B268" s="2">
        <x:v>5427</x:v>
      </x:c>
      <x:c r="C268" s="2">
        <x:v>12722</x:v>
      </x:c>
      <x:c r="D268" s="2" t="s">
        <x:v>101</x:v>
      </x:c>
      <x:c r="E268" s="2">
        <x:v>1</x:v>
      </x:c>
      <x:c r="F268" s="2">
        <x:v>6</x:v>
      </x:c>
      <x:c r="G268" s="3">
        <x:f t="shared" si="5"/>
        <x:v>11307.265192936</x:v>
      </x:c>
      <x:c r="H268" s="3">
        <x:v>67843.591157616</x:v>
      </x:c>
      <x:c r="I268" s="6" t="e">
        <x:f>SUMIF([1]Pengiriman!P:P,B268,[1]Pengiriman!X:X)</x:f>
        <x:v>#NAME?</x:v>
      </x:c>
    </x:row>
    <x:row r="269">
      <x:c r="A269" s="2" t="s">
        <x:v>75</x:v>
      </x:c>
      <x:c r="B269" s="2">
        <x:v>5449</x:v>
      </x:c>
      <x:c r="C269" s="2">
        <x:v>12727</x:v>
      </x:c>
      <x:c r="D269" s="2" t="s">
        <x:v>104</x:v>
      </x:c>
      <x:c r="E269" s="2">
        <x:v>0</x:v>
      </x:c>
      <x:c r="F269" s="2">
        <x:v>225</x:v>
      </x:c>
      <x:c r="G269" s="3">
        <x:f t="shared" si="5"/>
        <x:v>11166.083663657355</x:v>
      </x:c>
      <x:c r="H269" s="3">
        <x:v>2512368.8243229049</x:v>
      </x:c>
      <x:c r="I269" s="6" t="e">
        <x:f>SUMIF([1]Pengiriman!P:P,B269,[1]Pengiriman!X:X)</x:f>
        <x:v>#NAME?</x:v>
      </x:c>
    </x:row>
    <x:row r="270">
      <x:c r="A270" s="2" t="s">
        <x:v>75</x:v>
      </x:c>
      <x:c r="B270" s="2">
        <x:v>5520</x:v>
      </x:c>
      <x:c r="C270" s="2">
        <x:v>12730</x:v>
      </x:c>
      <x:c r="D270" s="2" t="s">
        <x:v>141</x:v>
      </x:c>
      <x:c r="E270" s="2">
        <x:v>1</x:v>
      </x:c>
      <x:c r="F270" s="2">
        <x:v>5</x:v>
      </x:c>
      <x:c r="G270" s="3">
        <x:f t="shared" si="5"/>
        <x:v>10761.4191764099</x:v>
      </x:c>
      <x:c r="H270" s="3">
        <x:v>53807.0958820495</x:v>
      </x:c>
      <x:c r="I270" s="6" t="e">
        <x:f>SUMIF([1]Pengiriman!P:P,B270,[1]Pengiriman!X:X)</x:f>
        <x:v>#NAME?</x:v>
      </x:c>
    </x:row>
    <x:row r="271">
      <x:c r="A271" s="2" t="s">
        <x:v>75</x:v>
      </x:c>
      <x:c r="B271" s="2">
        <x:v>5523</x:v>
      </x:c>
      <x:c r="C271" s="2">
        <x:v>12733</x:v>
      </x:c>
      <x:c r="D271" s="2" t="s">
        <x:v>104</x:v>
      </x:c>
      <x:c r="E271" s="2">
        <x:v>0</x:v>
      </x:c>
      <x:c r="F271" s="2">
        <x:v>225</x:v>
      </x:c>
      <x:c r="G271" s="3">
        <x:f t="shared" si="5"/>
        <x:v>11232.485592359682</x:v>
      </x:c>
      <x:c r="H271" s="3">
        <x:v>2527309.2582809287</x:v>
      </x:c>
      <x:c r="I271" s="6" t="e">
        <x:f>SUMIF([1]Pengiriman!P:P,B271,[1]Pengiriman!X:X)</x:f>
        <x:v>#NAME?</x:v>
      </x:c>
    </x:row>
    <x:row r="272">
      <x:c r="A272" s="2" t="s">
        <x:v>75</x:v>
      </x:c>
      <x:c r="B272" s="2">
        <x:v>5527</x:v>
      </x:c>
      <x:c r="C272" s="2">
        <x:v>12734</x:v>
      </x:c>
      <x:c r="D272" s="2" t="s">
        <x:v>104</x:v>
      </x:c>
      <x:c r="E272" s="2">
        <x:v>0</x:v>
      </x:c>
      <x:c r="F272" s="2">
        <x:v>225</x:v>
      </x:c>
      <x:c r="G272" s="3">
        <x:f t="shared" si="5"/>
        <x:v>11361.797238505022</x:v>
      </x:c>
      <x:c r="H272" s="3">
        <x:v>2556404.3786636298</x:v>
      </x:c>
      <x:c r="I272" s="6" t="e">
        <x:f>SUMIF([1]Pengiriman!P:P,B272,[1]Pengiriman!X:X)</x:f>
        <x:v>#NAME?</x:v>
      </x:c>
    </x:row>
    <x:row r="273">
      <x:c r="A273" s="2" t="s">
        <x:v>75</x:v>
      </x:c>
      <x:c r="B273" s="2">
        <x:v>5528</x:v>
      </x:c>
      <x:c r="C273" s="2">
        <x:v>12735</x:v>
      </x:c>
      <x:c r="D273" s="2" t="s">
        <x:v>104</x:v>
      </x:c>
      <x:c r="E273" s="2">
        <x:v>0</x:v>
      </x:c>
      <x:c r="F273" s="2">
        <x:v>225</x:v>
      </x:c>
      <x:c r="G273" s="3">
        <x:f t="shared" si="5"/>
        <x:v>11361.797238505022</x:v>
      </x:c>
      <x:c r="H273" s="3">
        <x:v>2556404.3786636298</x:v>
      </x:c>
      <x:c r="I273" s="6" t="e">
        <x:f>SUMIF([1]Pengiriman!P:P,B273,[1]Pengiriman!X:X)</x:f>
        <x:v>#NAME?</x:v>
      </x:c>
    </x:row>
    <x:row r="274">
      <x:c r="A274" s="2" t="s">
        <x:v>75</x:v>
      </x:c>
      <x:c r="B274" s="2">
        <x:v>5651</x:v>
      </x:c>
      <x:c r="C274" s="2">
        <x:v>12742</x:v>
      </x:c>
      <x:c r="D274" s="2" t="s">
        <x:v>104</x:v>
      </x:c>
      <x:c r="E274" s="2">
        <x:v>0</x:v>
      </x:c>
      <x:c r="F274" s="2">
        <x:v>225</x:v>
      </x:c>
      <x:c r="G274" s="3">
        <x:f t="shared" si="5"/>
        <x:v>11093.505022214846</x:v>
      </x:c>
      <x:c r="H274" s="3">
        <x:v>2496038.6299983403</x:v>
      </x:c>
      <x:c r="I274" s="6" t="e">
        <x:f>SUMIF([1]Pengiriman!P:P,B274,[1]Pengiriman!X:X)</x:f>
        <x:v>#NAME?</x:v>
      </x:c>
    </x:row>
    <x:row r="275">
      <x:c r="A275" s="2" t="s">
        <x:v>75</x:v>
      </x:c>
      <x:c r="B275" s="2">
        <x:v>5652</x:v>
      </x:c>
      <x:c r="C275" s="2">
        <x:v>12743</x:v>
      </x:c>
      <x:c r="D275" s="2" t="s">
        <x:v>104</x:v>
      </x:c>
      <x:c r="E275" s="2">
        <x:v>0</x:v>
      </x:c>
      <x:c r="F275" s="2">
        <x:v>225</x:v>
      </x:c>
      <x:c r="G275" s="3">
        <x:f t="shared" si="5"/>
        <x:v>11271.121578160333</x:v>
      </x:c>
      <x:c r="H275" s="3">
        <x:v>2536002.3550860751</x:v>
      </x:c>
      <x:c r="I275" s="6" t="e">
        <x:f>SUMIF([1]Pengiriman!P:P,B275,[1]Pengiriman!X:X)</x:f>
        <x:v>#NAME?</x:v>
      </x:c>
    </x:row>
    <x:row r="276">
      <x:c r="A276" s="2" t="s">
        <x:v>75</x:v>
      </x:c>
      <x:c r="B276" s="2">
        <x:v>2782</x:v>
      </x:c>
      <x:c r="C276" s="2">
        <x:v>12802</x:v>
      </x:c>
      <x:c r="D276" s="2" t="s">
        <x:v>104</x:v>
      </x:c>
      <x:c r="E276" s="2">
        <x:v>70</x:v>
      </x:c>
      <x:c r="F276" s="2">
        <x:v>225</x:v>
      </x:c>
      <x:c r="G276" s="3">
        <x:f t="shared" si="5"/>
        <x:v>10890.042657143063</x:v>
      </x:c>
      <x:c r="H276" s="3">
        <x:v>2450259.5978571894</x:v>
      </x:c>
      <x:c r="I276" s="6" t="e">
        <x:f>SUMIF([1]Pengiriman!P:P,B276,[1]Pengiriman!X:X)</x:f>
        <x:v>#NAME?</x:v>
      </x:c>
    </x:row>
    <x:row r="277">
      <x:c r="A277" s="2" t="s">
        <x:v>75</x:v>
      </x:c>
      <x:c r="B277" s="2">
        <x:v>2784</x:v>
      </x:c>
      <x:c r="C277" s="2">
        <x:v>12803</x:v>
      </x:c>
      <x:c r="D277" s="2" t="s">
        <x:v>8</x:v>
      </x:c>
      <x:c r="E277" s="2">
        <x:v>0</x:v>
      </x:c>
      <x:c r="F277" s="2">
        <x:v>225</x:v>
      </x:c>
      <x:c r="G277" s="3">
        <x:f t="shared" si="5"/>
        <x:v>8354.0746854483878</x:v>
      </x:c>
      <x:c r="H277" s="3">
        <x:v>1879666.8042258872</x:v>
      </x:c>
      <x:c r="I277" s="6" t="e">
        <x:f>SUMIF([1]Pengiriman!P:P,B277,[1]Pengiriman!X:X)</x:f>
        <x:v>#NAME?</x:v>
      </x:c>
    </x:row>
    <x:row r="278">
      <x:c r="A278" s="2" t="s">
        <x:v>75</x:v>
      </x:c>
      <x:c r="B278" s="2">
        <x:v>2811</x:v>
      </x:c>
      <x:c r="C278" s="2">
        <x:v>12804</x:v>
      </x:c>
      <x:c r="D278" s="2" t="s">
        <x:v>104</x:v>
      </x:c>
      <x:c r="E278" s="2">
        <x:v>0</x:v>
      </x:c>
      <x:c r="F278" s="2">
        <x:v>225</x:v>
      </x:c>
      <x:c r="G278" s="3">
        <x:f t="shared" si="5"/>
        <x:v>8593.5243487893604</x:v>
      </x:c>
      <x:c r="H278" s="3">
        <x:v>1933542.9784776061</x:v>
      </x:c>
      <x:c r="I278" s="6" t="e">
        <x:f>SUMIF([1]Pengiriman!P:P,B278,[1]Pengiriman!X:X)</x:f>
        <x:v>#NAME?</x:v>
      </x:c>
    </x:row>
    <x:row r="279">
      <x:c r="A279" s="2" t="s">
        <x:v>75</x:v>
      </x:c>
      <x:c r="B279" s="2">
        <x:v>5252</x:v>
      </x:c>
      <x:c r="C279" s="2">
        <x:v>12809</x:v>
      </x:c>
      <x:c r="D279" s="2" t="s">
        <x:v>104</x:v>
      </x:c>
      <x:c r="E279" s="2">
        <x:v>0</x:v>
      </x:c>
      <x:c r="F279" s="2">
        <x:v>225</x:v>
      </x:c>
      <x:c r="G279" s="3">
        <x:f t="shared" si="5"/>
        <x:v>10747.013093290252</x:v>
      </x:c>
      <x:c r="H279" s="3">
        <x:v>2418077.9459903068</x:v>
      </x:c>
      <x:c r="I279" s="6" t="e">
        <x:f>SUMIF([1]Pengiriman!P:P,B279,[1]Pengiriman!X:X)</x:f>
        <x:v>#NAME?</x:v>
      </x:c>
    </x:row>
    <x:row r="280">
      <x:c r="A280" s="2" t="s">
        <x:v>75</x:v>
      </x:c>
      <x:c r="B280" s="2">
        <x:v>5254</x:v>
      </x:c>
      <x:c r="C280" s="2">
        <x:v>12810</x:v>
      </x:c>
      <x:c r="D280" s="2" t="s">
        <x:v>104</x:v>
      </x:c>
      <x:c r="E280" s="2">
        <x:v>0</x:v>
      </x:c>
      <x:c r="F280" s="2">
        <x:v>225</x:v>
      </x:c>
      <x:c r="G280" s="3">
        <x:f t="shared" si="5"/>
        <x:v>10747.013093290252</x:v>
      </x:c>
      <x:c r="H280" s="3">
        <x:v>2418077.9459903068</x:v>
      </x:c>
      <x:c r="I280" s="6" t="e">
        <x:f>SUMIF([1]Pengiriman!P:P,B280,[1]Pengiriman!X:X)</x:f>
        <x:v>#NAME?</x:v>
      </x:c>
    </x:row>
    <x:row r="281">
      <x:c r="A281" s="2" t="s">
        <x:v>75</x:v>
      </x:c>
      <x:c r="B281" s="2">
        <x:v>5258</x:v>
      </x:c>
      <x:c r="C281" s="2">
        <x:v>12811</x:v>
      </x:c>
      <x:c r="D281" s="2" t="s">
        <x:v>104</x:v>
      </x:c>
      <x:c r="E281" s="2">
        <x:v>0</x:v>
      </x:c>
      <x:c r="F281" s="2">
        <x:v>225</x:v>
      </x:c>
      <x:c r="G281" s="3">
        <x:f t="shared" si="5"/>
        <x:v>9661.8200946256165</x:v>
      </x:c>
      <x:c r="H281" s="3">
        <x:v>2173909.5212907637</x:v>
      </x:c>
      <x:c r="I281" s="6" t="e">
        <x:f>SUMIF([1]Pengiriman!P:P,B281,[1]Pengiriman!X:X)</x:f>
        <x:v>#NAME?</x:v>
      </x:c>
    </x:row>
    <x:row r="282">
      <x:c r="A282" s="2" t="s">
        <x:v>75</x:v>
      </x:c>
      <x:c r="B282" s="2">
        <x:v>5327</x:v>
      </x:c>
      <x:c r="C282" s="2">
        <x:v>12814</x:v>
      </x:c>
      <x:c r="D282" s="2" t="s">
        <x:v>104</x:v>
      </x:c>
      <x:c r="E282" s="2">
        <x:v>0</x:v>
      </x:c>
      <x:c r="F282" s="2">
        <x:v>200</x:v>
      </x:c>
      <x:c r="G282" s="3">
        <x:f t="shared" si="5"/>
        <x:v>9514.5355802252907</x:v>
      </x:c>
      <x:c r="H282" s="3">
        <x:v>1902907.116045058</x:v>
      </x:c>
      <x:c r="I282" s="6" t="e">
        <x:f>SUMIF([1]Pengiriman!P:P,B282,[1]Pengiriman!X:X)</x:f>
        <x:v>#NAME?</x:v>
      </x:c>
    </x:row>
    <x:row r="283">
      <x:c r="A283" s="2" t="s">
        <x:v>75</x:v>
      </x:c>
      <x:c r="B283" s="2">
        <x:v>5328</x:v>
      </x:c>
      <x:c r="C283" s="2">
        <x:v>12815</x:v>
      </x:c>
      <x:c r="D283" s="2" t="s">
        <x:v>104</x:v>
      </x:c>
      <x:c r="E283" s="2">
        <x:v>0</x:v>
      </x:c>
      <x:c r="F283" s="2">
        <x:v>100</x:v>
      </x:c>
      <x:c r="G283" s="3">
        <x:f t="shared" si="5"/>
        <x:v>9514.5355802251906</x:v>
      </x:c>
      <x:c r="H283" s="3">
        <x:v>951453.55802251911</x:v>
      </x:c>
      <x:c r="I283" s="6" t="e">
        <x:f>SUMIF([1]Pengiriman!P:P,B283,[1]Pengiriman!X:X)</x:f>
        <x:v>#NAME?</x:v>
      </x:c>
    </x:row>
    <x:row r="284">
      <x:c r="A284" s="2" t="s">
        <x:v>75</x:v>
      </x:c>
      <x:c r="B284" s="2">
        <x:v>5329</x:v>
      </x:c>
      <x:c r="C284" s="2">
        <x:v>12816</x:v>
      </x:c>
      <x:c r="D284" s="2" t="s">
        <x:v>104</x:v>
      </x:c>
      <x:c r="E284" s="2">
        <x:v>0</x:v>
      </x:c>
      <x:c r="F284" s="2">
        <x:v>100</x:v>
      </x:c>
      <x:c r="G284" s="3">
        <x:f t="shared" si="5"/>
        <x:v>9514.5355802251906</x:v>
      </x:c>
      <x:c r="H284" s="3">
        <x:v>951453.55802251911</x:v>
      </x:c>
      <x:c r="I284" s="6" t="e">
        <x:f>SUMIF([1]Pengiriman!P:P,B284,[1]Pengiriman!X:X)</x:f>
        <x:v>#NAME?</x:v>
      </x:c>
    </x:row>
    <x:row r="285">
      <x:c r="A285" s="2" t="s">
        <x:v>75</x:v>
      </x:c>
      <x:c r="B285" s="2">
        <x:v>5330</x:v>
      </x:c>
      <x:c r="C285" s="2">
        <x:v>12817</x:v>
      </x:c>
      <x:c r="D285" s="2" t="s">
        <x:v>104</x:v>
      </x:c>
      <x:c r="E285" s="2">
        <x:v>0</x:v>
      </x:c>
      <x:c r="F285" s="2">
        <x:v>75</x:v>
      </x:c>
      <x:c r="G285" s="3">
        <x:f t="shared" si="5"/>
        <x:v>9514.535580225227</x:v>
      </x:c>
      <x:c r="H285" s="3">
        <x:v>713590.16851689201</x:v>
      </x:c>
      <x:c r="I285" s="6" t="e">
        <x:f>SUMIF([1]Pengiriman!P:P,B285,[1]Pengiriman!X:X)</x:f>
        <x:v>#NAME?</x:v>
      </x:c>
    </x:row>
    <x:row r="286">
      <x:c r="A286" s="2" t="s">
        <x:v>75</x:v>
      </x:c>
      <x:c r="B286" s="2">
        <x:v>5337</x:v>
      </x:c>
      <x:c r="C286" s="2">
        <x:v>12818</x:v>
      </x:c>
      <x:c r="D286" s="2" t="s">
        <x:v>104</x:v>
      </x:c>
      <x:c r="E286" s="2">
        <x:v>0</x:v>
      </x:c>
      <x:c r="F286" s="2">
        <x:v>225</x:v>
      </x:c>
      <x:c r="G286" s="3">
        <x:f t="shared" si="5"/>
        <x:v>9514.5355802251779</x:v>
      </x:c>
      <x:c r="H286" s="3">
        <x:v>2140770.5055506648</x:v>
      </x:c>
      <x:c r="I286" s="6" t="e">
        <x:f>SUMIF([1]Pengiriman!P:P,B286,[1]Pengiriman!X:X)</x:f>
        <x:v>#NAME?</x:v>
      </x:c>
    </x:row>
    <x:row r="287">
      <x:c r="A287" s="2" t="s">
        <x:v>75</x:v>
      </x:c>
      <x:c r="B287" s="2">
        <x:v>5338</x:v>
      </x:c>
      <x:c r="C287" s="2">
        <x:v>12819</x:v>
      </x:c>
      <x:c r="D287" s="2" t="s">
        <x:v>104</x:v>
      </x:c>
      <x:c r="E287" s="2">
        <x:v>0</x:v>
      </x:c>
      <x:c r="F287" s="2">
        <x:v>225</x:v>
      </x:c>
      <x:c r="G287" s="3">
        <x:f t="shared" si="5"/>
        <x:v>9514.5355802251779</x:v>
      </x:c>
      <x:c r="H287" s="3">
        <x:v>2140770.5055506648</x:v>
      </x:c>
      <x:c r="I287" s="6" t="e">
        <x:f>SUMIF([1]Pengiriman!P:P,B287,[1]Pengiriman!X:X)</x:f>
        <x:v>#NAME?</x:v>
      </x:c>
    </x:row>
    <x:row r="288">
      <x:c r="A288" s="2" t="s">
        <x:v>75</x:v>
      </x:c>
      <x:c r="B288" s="2">
        <x:v>5339</x:v>
      </x:c>
      <x:c r="C288" s="2">
        <x:v>12820</x:v>
      </x:c>
      <x:c r="D288" s="2" t="s">
        <x:v>104</x:v>
      </x:c>
      <x:c r="E288" s="2">
        <x:v>0</x:v>
      </x:c>
      <x:c r="F288" s="2">
        <x:v>225</x:v>
      </x:c>
      <x:c r="G288" s="3">
        <x:f t="shared" si="5"/>
        <x:v>11499.435437198517</x:v>
      </x:c>
      <x:c r="H288" s="3">
        <x:v>2587372.9733696664</x:v>
      </x:c>
      <x:c r="I288" s="6" t="e">
        <x:f>SUMIF([1]Pengiriman!P:P,B288,[1]Pengiriman!X:X)</x:f>
        <x:v>#NAME?</x:v>
      </x:c>
    </x:row>
    <x:row r="289">
      <x:c r="A289" s="2" t="s">
        <x:v>75</x:v>
      </x:c>
      <x:c r="B289" s="2">
        <x:v>5340</x:v>
      </x:c>
      <x:c r="C289" s="2">
        <x:v>12821</x:v>
      </x:c>
      <x:c r="D289" s="2" t="s">
        <x:v>104</x:v>
      </x:c>
      <x:c r="E289" s="2">
        <x:v>0</x:v>
      </x:c>
      <x:c r="F289" s="2">
        <x:v>225</x:v>
      </x:c>
      <x:c r="G289" s="3">
        <x:f t="shared" si="5"/>
        <x:v>9973.3652243102752</x:v>
      </x:c>
      <x:c r="H289" s="3">
        <x:v>2244007.175469812</x:v>
      </x:c>
      <x:c r="I289" s="6" t="e">
        <x:f>SUMIF([1]Pengiriman!P:P,B289,[1]Pengiriman!X:X)</x:f>
        <x:v>#NAME?</x:v>
      </x:c>
    </x:row>
    <x:row r="290">
      <x:c r="A290" s="2" t="s">
        <x:v>75</x:v>
      </x:c>
      <x:c r="B290" s="2">
        <x:v>5341</x:v>
      </x:c>
      <x:c r="C290" s="2">
        <x:v>12822</x:v>
      </x:c>
      <x:c r="D290" s="2" t="s">
        <x:v>104</x:v>
      </x:c>
      <x:c r="E290" s="2">
        <x:v>0</x:v>
      </x:c>
      <x:c r="F290" s="2">
        <x:v>225</x:v>
      </x:c>
      <x:c r="G290" s="3">
        <x:f t="shared" si="5"/>
        <x:v>11007.540262958626</x:v>
      </x:c>
      <x:c r="H290" s="3">
        <x:v>2476696.559165691</x:v>
      </x:c>
      <x:c r="I290" s="6" t="e">
        <x:f>SUMIF([1]Pengiriman!P:P,B290,[1]Pengiriman!X:X)</x:f>
        <x:v>#NAME?</x:v>
      </x:c>
    </x:row>
    <x:row r="291">
      <x:c r="A291" s="2" t="s">
        <x:v>75</x:v>
      </x:c>
      <x:c r="B291" s="2">
        <x:v>5369</x:v>
      </x:c>
      <x:c r="C291" s="2">
        <x:v>12825</x:v>
      </x:c>
      <x:c r="D291" s="2" t="s">
        <x:v>142</x:v>
      </x:c>
      <x:c r="E291" s="2">
        <x:v>0</x:v>
      </x:c>
      <x:c r="F291" s="2">
        <x:v>225</x:v>
      </x:c>
      <x:c r="G291" s="3">
        <x:f t="shared" si="5"/>
        <x:v>11906.731596234906</x:v>
      </x:c>
      <x:c r="H291" s="3">
        <x:v>2679014.609152854</x:v>
      </x:c>
      <x:c r="I291" s="6" t="e">
        <x:f>SUMIF([1]Pengiriman!P:P,B291,[1]Pengiriman!X:X)</x:f>
        <x:v>#NAME?</x:v>
      </x:c>
    </x:row>
    <x:row r="292">
      <x:c r="A292" s="2" t="s">
        <x:v>75</x:v>
      </x:c>
      <x:c r="B292" s="2">
        <x:v>5406</x:v>
      </x:c>
      <x:c r="C292" s="2">
        <x:v>12826</x:v>
      </x:c>
      <x:c r="D292" s="2" t="s">
        <x:v>104</x:v>
      </x:c>
      <x:c r="E292" s="2">
        <x:v>0</x:v>
      </x:c>
      <x:c r="F292" s="2">
        <x:v>225</x:v>
      </x:c>
      <x:c r="G292" s="3">
        <x:f t="shared" si="5"/>
        <x:v>11895.265970984756</x:v>
      </x:c>
      <x:c r="H292" s="3">
        <x:v>2676434.8434715699</x:v>
      </x:c>
      <x:c r="I292" s="6" t="e">
        <x:f>SUMIF([1]Pengiriman!P:P,B292,[1]Pengiriman!X:X)</x:f>
        <x:v>#NAME?</x:v>
      </x:c>
    </x:row>
    <x:row r="293">
      <x:c r="A293" s="2" t="s">
        <x:v>75</x:v>
      </x:c>
      <x:c r="B293" s="2">
        <x:v>5407</x:v>
      </x:c>
      <x:c r="C293" s="2">
        <x:v>12827</x:v>
      </x:c>
      <x:c r="D293" s="2" t="s">
        <x:v>104</x:v>
      </x:c>
      <x:c r="E293" s="2">
        <x:v>0</x:v>
      </x:c>
      <x:c r="F293" s="2">
        <x:v>225</x:v>
      </x:c>
      <x:c r="G293" s="3">
        <x:f t="shared" si="5"/>
        <x:v>11895.265970984756</x:v>
      </x:c>
      <x:c r="H293" s="3">
        <x:v>2676434.8434715699</x:v>
      </x:c>
      <x:c r="I293" s="6" t="e">
        <x:f>SUMIF([1]Pengiriman!P:P,B293,[1]Pengiriman!X:X)</x:f>
        <x:v>#NAME?</x:v>
      </x:c>
    </x:row>
    <x:row r="294">
      <x:c r="A294" s="2" t="s">
        <x:v>75</x:v>
      </x:c>
      <x:c r="B294" s="2">
        <x:v>5408</x:v>
      </x:c>
      <x:c r="C294" s="2">
        <x:v>12828</x:v>
      </x:c>
      <x:c r="D294" s="2" t="s">
        <x:v>104</x:v>
      </x:c>
      <x:c r="E294" s="2">
        <x:v>0</x:v>
      </x:c>
      <x:c r="F294" s="2">
        <x:v>225</x:v>
      </x:c>
      <x:c r="G294" s="3">
        <x:f t="shared" si="5"/>
        <x:v>11906.776943093562</x:v>
      </x:c>
      <x:c r="H294" s="3">
        <x:v>2679024.8121960517</x:v>
      </x:c>
      <x:c r="I294" s="6" t="e">
        <x:f>SUMIF([1]Pengiriman!P:P,B294,[1]Pengiriman!X:X)</x:f>
        <x:v>#NAME?</x:v>
      </x:c>
    </x:row>
    <x:row r="295">
      <x:c r="A295" s="2" t="s">
        <x:v>75</x:v>
      </x:c>
      <x:c r="B295" s="2">
        <x:v>5531</x:v>
      </x:c>
      <x:c r="C295" s="2">
        <x:v>12835</x:v>
      </x:c>
      <x:c r="D295" s="2" t="s">
        <x:v>104</x:v>
      </x:c>
      <x:c r="E295" s="2">
        <x:v>0</x:v>
      </x:c>
      <x:c r="F295" s="2">
        <x:v>225</x:v>
      </x:c>
      <x:c r="G295" s="3">
        <x:f t="shared" si="5"/>
        <x:v>9593.0118474639876</x:v>
      </x:c>
      <x:c r="H295" s="3">
        <x:v>2158427.6656793971</x:v>
      </x:c>
      <x:c r="I295" s="6" t="e">
        <x:f>SUMIF([1]Pengiriman!P:P,B295,[1]Pengiriman!X:X)</x:f>
        <x:v>#NAME?</x:v>
      </x:c>
    </x:row>
    <x:row r="296">
      <x:c r="A296" s="2" t="s">
        <x:v>75</x:v>
      </x:c>
      <x:c r="B296" s="2">
        <x:v>5532</x:v>
      </x:c>
      <x:c r="C296" s="2">
        <x:v>12836</x:v>
      </x:c>
      <x:c r="D296" s="2" t="s">
        <x:v>104</x:v>
      </x:c>
      <x:c r="E296" s="2">
        <x:v>0</x:v>
      </x:c>
      <x:c r="F296" s="2">
        <x:v>225</x:v>
      </x:c>
      <x:c r="G296" s="3" t="n">
        <x:f t="shared" ref="G296:G322" si="6">H296/F296</x:f>
        <x:v>9593.011847463988</x:v>
      </x:c>
      <x:c r="H296" s="3">
        <x:v>2158427.6656793971</x:v>
      </x:c>
      <x:c r="I296" s="6" t="e">
        <x:f>SUMIF([1]Pengiriman!P:P,B296,[1]Pengiriman!X:X)</x:f>
        <x:v>#NAME?</x:v>
      </x:c>
    </x:row>
    <x:row r="297">
      <x:c r="A297" s="2" t="s">
        <x:v>75</x:v>
      </x:c>
      <x:c r="B297" s="2">
        <x:v>5547</x:v>
      </x:c>
      <x:c r="C297" s="2">
        <x:v>12842</x:v>
      </x:c>
      <x:c r="D297" s="2" t="s">
        <x:v>104</x:v>
      </x:c>
      <x:c r="E297" s="2">
        <x:v>0</x:v>
      </x:c>
      <x:c r="F297" s="2">
        <x:v>225</x:v>
      </x:c>
      <x:c r="G297" s="3">
        <x:f t="shared" si="6"/>
        <x:v>8137.9310344826672</x:v>
      </x:c>
      <x:c r="H297" s="3">
        <x:v>1831034.4827586</x:v>
      </x:c>
      <x:c r="I297" s="6" t="e">
        <x:f>SUMIF([1]Pengiriman!P:P,B297,[1]Pengiriman!X:X)</x:f>
        <x:v>#NAME?</x:v>
      </x:c>
    </x:row>
    <x:row r="298">
      <x:c r="A298" s="2" t="s">
        <x:v>75</x:v>
      </x:c>
      <x:c r="B298" s="2">
        <x:v>5548</x:v>
      </x:c>
      <x:c r="C298" s="2">
        <x:v>12843</x:v>
      </x:c>
      <x:c r="D298" s="2" t="s">
        <x:v>104</x:v>
      </x:c>
      <x:c r="E298" s="2">
        <x:v>0</x:v>
      </x:c>
      <x:c r="F298" s="2">
        <x:v>225</x:v>
      </x:c>
      <x:c r="G298" s="3">
        <x:f t="shared" si="6"/>
        <x:v>8137.9310344826672</x:v>
      </x:c>
      <x:c r="H298" s="3">
        <x:v>1831034.4827586</x:v>
      </x:c>
      <x:c r="I298" s="6" t="e">
        <x:f>SUMIF([1]Pengiriman!P:P,B298,[1]Pengiriman!X:X)</x:f>
        <x:v>#NAME?</x:v>
      </x:c>
    </x:row>
    <x:row r="299">
      <x:c r="A299" s="2" t="s">
        <x:v>75</x:v>
      </x:c>
      <x:c r="B299" s="2">
        <x:v>5549</x:v>
      </x:c>
      <x:c r="C299" s="2">
        <x:v>12844</x:v>
      </x:c>
      <x:c r="D299" s="2" t="s">
        <x:v>104</x:v>
      </x:c>
      <x:c r="E299" s="2">
        <x:v>0</x:v>
      </x:c>
      <x:c r="F299" s="2">
        <x:v>225</x:v>
      </x:c>
      <x:c r="G299" s="3">
        <x:f t="shared" si="6"/>
        <x:v>9536.0778258902392</x:v>
      </x:c>
      <x:c r="H299" s="3">
        <x:v>2145617.5108253038</x:v>
      </x:c>
      <x:c r="I299" s="6" t="e">
        <x:f>SUMIF([1]Pengiriman!P:P,B299,[1]Pengiriman!X:X)</x:f>
        <x:v>#NAME?</x:v>
      </x:c>
    </x:row>
    <x:row r="300">
      <x:c r="A300" s="2" t="s">
        <x:v>75</x:v>
      </x:c>
      <x:c r="B300" s="2">
        <x:v>5551</x:v>
      </x:c>
      <x:c r="C300" s="2">
        <x:v>12845</x:v>
      </x:c>
      <x:c r="D300" s="2" t="s">
        <x:v>104</x:v>
      </x:c>
      <x:c r="E300" s="2">
        <x:v>0</x:v>
      </x:c>
      <x:c r="F300" s="2">
        <x:v>225</x:v>
      </x:c>
      <x:c r="G300" s="3">
        <x:f t="shared" si="6"/>
        <x:v>11222.078368469869</x:v>
      </x:c>
      <x:c r="H300" s="3">
        <x:v>2524967.6329057207</x:v>
      </x:c>
      <x:c r="I300" s="6" t="e">
        <x:f>SUMIF([1]Pengiriman!P:P,B300,[1]Pengiriman!X:X)</x:f>
        <x:v>#NAME?</x:v>
      </x:c>
    </x:row>
    <x:row r="301">
      <x:c r="A301" s="2" t="s">
        <x:v>75</x:v>
      </x:c>
      <x:c r="B301" s="2">
        <x:v>5552</x:v>
      </x:c>
      <x:c r="C301" s="2">
        <x:v>12846</x:v>
      </x:c>
      <x:c r="D301" s="2" t="s">
        <x:v>104</x:v>
      </x:c>
      <x:c r="E301" s="2">
        <x:v>0</x:v>
      </x:c>
      <x:c r="F301" s="2">
        <x:v>225</x:v>
      </x:c>
      <x:c r="G301" s="3">
        <x:f t="shared" si="6"/>
        <x:v>11222.078368469869</x:v>
      </x:c>
      <x:c r="H301" s="3">
        <x:v>2524967.6329057207</x:v>
      </x:c>
      <x:c r="I301" s="6" t="e">
        <x:f>SUMIF([1]Pengiriman!P:P,B301,[1]Pengiriman!X:X)</x:f>
        <x:v>#NAME?</x:v>
      </x:c>
    </x:row>
    <x:row r="302">
      <x:c r="A302" s="2" t="s">
        <x:v>75</x:v>
      </x:c>
      <x:c r="B302" s="2">
        <x:v>5623</x:v>
      </x:c>
      <x:c r="C302" s="2">
        <x:v>12865</x:v>
      </x:c>
      <x:c r="D302" s="2" t="s">
        <x:v>104</x:v>
      </x:c>
      <x:c r="E302" s="2">
        <x:v>0</x:v>
      </x:c>
      <x:c r="F302" s="2">
        <x:v>225</x:v>
      </x:c>
      <x:c r="G302" s="3">
        <x:f t="shared" si="6"/>
        <x:v>8703.0780186737156</x:v>
      </x:c>
      <x:c r="H302" s="3">
        <x:v>1958192.5542015859</x:v>
      </x:c>
      <x:c r="I302" s="6" t="e">
        <x:f>SUMIF([1]Pengiriman!P:P,B302,[1]Pengiriman!X:X)</x:f>
        <x:v>#NAME?</x:v>
      </x:c>
    </x:row>
    <x:row r="303">
      <x:c r="A303" s="2" t="s">
        <x:v>75</x:v>
      </x:c>
      <x:c r="B303" s="2">
        <x:v>5625</x:v>
      </x:c>
      <x:c r="C303" s="2">
        <x:v>12866</x:v>
      </x:c>
      <x:c r="D303" s="2" t="s">
        <x:v>104</x:v>
      </x:c>
      <x:c r="E303" s="2">
        <x:v>0</x:v>
      </x:c>
      <x:c r="F303" s="2">
        <x:v>225</x:v>
      </x:c>
      <x:c r="G303" s="3">
        <x:f t="shared" si="6"/>
        <x:v>9139.7429808246688</x:v>
      </x:c>
      <x:c r="H303" s="3">
        <x:v>2056442.1706855507</x:v>
      </x:c>
      <x:c r="I303" s="6" t="e">
        <x:f>SUMIF([1]Pengiriman!P:P,B303,[1]Pengiriman!X:X)</x:f>
        <x:v>#NAME?</x:v>
      </x:c>
    </x:row>
    <x:row r="304">
      <x:c r="A304" s="2" t="s">
        <x:v>75</x:v>
      </x:c>
      <x:c r="B304" s="2">
        <x:v>5629</x:v>
      </x:c>
      <x:c r="C304" s="2">
        <x:v>12869</x:v>
      </x:c>
      <x:c r="D304" s="2" t="s">
        <x:v>104</x:v>
      </x:c>
      <x:c r="E304" s="2">
        <x:v>0</x:v>
      </x:c>
      <x:c r="F304" s="2">
        <x:v>225</x:v>
      </x:c>
      <x:c r="G304" s="3">
        <x:f t="shared" si="6"/>
        <x:v>9975.0990813298395</x:v>
      </x:c>
      <x:c r="H304" s="3">
        <x:v>2244397.293299214</x:v>
      </x:c>
      <x:c r="I304" s="6" t="e">
        <x:f>SUMIF([1]Pengiriman!P:P,B304,[1]Pengiriman!X:X)</x:f>
        <x:v>#NAME?</x:v>
      </x:c>
    </x:row>
    <x:row r="305">
      <x:c r="A305" s="2" t="s">
        <x:v>75</x:v>
      </x:c>
      <x:c r="B305" s="2">
        <x:v>5639</x:v>
      </x:c>
      <x:c r="C305" s="2">
        <x:v>12873</x:v>
      </x:c>
      <x:c r="D305" s="2" t="s">
        <x:v>104</x:v>
      </x:c>
      <x:c r="E305" s="2">
        <x:v>0</x:v>
      </x:c>
      <x:c r="F305" s="2">
        <x:v>225</x:v>
      </x:c>
      <x:c r="G305" s="3">
        <x:f t="shared" si="6"/>
        <x:v>10674.282284337756</x:v>
      </x:c>
      <x:c r="H305" s="3">
        <x:v>2401713.5139759951</x:v>
      </x:c>
      <x:c r="I305" s="6" t="e">
        <x:f>SUMIF([1]Pengiriman!P:P,B305,[1]Pengiriman!X:X)</x:f>
        <x:v>#NAME?</x:v>
      </x:c>
    </x:row>
    <x:row r="306">
      <x:c r="A306" s="2" t="s">
        <x:v>75</x:v>
      </x:c>
      <x:c r="B306" s="2">
        <x:v>5719</x:v>
      </x:c>
      <x:c r="C306" s="2">
        <x:v>12892</x:v>
      </x:c>
      <x:c r="D306" s="2" t="s">
        <x:v>104</x:v>
      </x:c>
      <x:c r="E306" s="2">
        <x:v>0</x:v>
      </x:c>
      <x:c r="F306" s="2">
        <x:v>225</x:v>
      </x:c>
      <x:c r="G306" s="3">
        <x:f t="shared" si="6"/>
        <x:v>10598.063850449613</x:v>
      </x:c>
      <x:c r="H306" s="3">
        <x:v>2384564.366351163</x:v>
      </x:c>
      <x:c r="I306" s="6" t="e">
        <x:f>SUMIF([1]Pengiriman!P:P,B306,[1]Pengiriman!X:X)</x:f>
        <x:v>#NAME?</x:v>
      </x:c>
    </x:row>
    <x:row r="307">
      <x:c r="A307" s="2" t="s">
        <x:v>75</x:v>
      </x:c>
      <x:c r="B307" s="2">
        <x:v>5721</x:v>
      </x:c>
      <x:c r="C307" s="2">
        <x:v>12893</x:v>
      </x:c>
      <x:c r="D307" s="2" t="s">
        <x:v>104</x:v>
      </x:c>
      <x:c r="E307" s="2">
        <x:v>0</x:v>
      </x:c>
      <x:c r="F307" s="2">
        <x:v>225</x:v>
      </x:c>
      <x:c r="G307" s="3">
        <x:f t="shared" si="6"/>
        <x:v>10598.063850449613</x:v>
      </x:c>
      <x:c r="H307" s="3">
        <x:v>2384564.366351163</x:v>
      </x:c>
      <x:c r="I307" s="6" t="e">
        <x:f>SUMIF([1]Pengiriman!P:P,B307,[1]Pengiriman!X:X)</x:f>
        <x:v>#NAME?</x:v>
      </x:c>
    </x:row>
    <x:row r="308">
      <x:c r="A308" s="2" t="s">
        <x:v>75</x:v>
      </x:c>
      <x:c r="B308" s="2">
        <x:v>5758</x:v>
      </x:c>
      <x:c r="C308" s="2">
        <x:v>12914</x:v>
      </x:c>
      <x:c r="D308" s="2" t="s">
        <x:v>104</x:v>
      </x:c>
      <x:c r="E308" s="2">
        <x:v>0</x:v>
      </x:c>
      <x:c r="F308" s="2">
        <x:v>225</x:v>
      </x:c>
      <x:c r="G308" s="3">
        <x:f t="shared" si="6"/>
        <x:v>9408.3447566826417</x:v>
      </x:c>
      <x:c r="H308" s="3">
        <x:v>2116877.5702535943</x:v>
      </x:c>
      <x:c r="I308" s="6" t="e">
        <x:f>SUMIF([1]Pengiriman!P:P,B308,[1]Pengiriman!X:X)</x:f>
        <x:v>#NAME?</x:v>
      </x:c>
    </x:row>
    <x:row r="309">
      <x:c r="A309" s="2" t="s">
        <x:v>75</x:v>
      </x:c>
      <x:c r="B309" s="2">
        <x:v>5799</x:v>
      </x:c>
      <x:c r="C309" s="2">
        <x:v>12934</x:v>
      </x:c>
      <x:c r="D309" s="2" t="s">
        <x:v>95</x:v>
      </x:c>
      <x:c r="E309" s="2">
        <x:v>47</x:v>
      </x:c>
      <x:c r="F309" s="2">
        <x:v>200</x:v>
      </x:c>
      <x:c r="G309" s="3">
        <x:f t="shared" si="6"/>
        <x:v>11708.733233979548</x:v>
      </x:c>
      <x:c r="H309" s="3">
        <x:v>2341746.6467959099</x:v>
      </x:c>
      <x:c r="I309" s="6" t="e">
        <x:f>SUMIF([1]Pengiriman!P:P,B309,[1]Pengiriman!X:X)</x:f>
        <x:v>#NAME?</x:v>
      </x:c>
    </x:row>
    <x:row r="310">
      <x:c r="A310" s="2" t="s">
        <x:v>75</x:v>
      </x:c>
      <x:c r="B310" s="2">
        <x:v>5077</x:v>
      </x:c>
      <x:c r="C310" s="2">
        <x:v>12958</x:v>
      </x:c>
      <x:c r="D310" s="2" t="s">
        <x:v>104</x:v>
      </x:c>
      <x:c r="E310" s="2">
        <x:v>0</x:v>
      </x:c>
      <x:c r="F310" s="2">
        <x:v>225</x:v>
      </x:c>
      <x:c r="G310" s="3">
        <x:f t="shared" si="6"/>
        <x:v>6426.4057347807766</x:v>
      </x:c>
      <x:c r="H310" s="3">
        <x:v>1445941.2903256747</x:v>
      </x:c>
      <x:c r="I310" s="6" t="e">
        <x:f>SUMIF([1]Pengiriman!P:P,B310,[1]Pengiriman!X:X)</x:f>
        <x:v>#NAME?</x:v>
      </x:c>
    </x:row>
    <x:row r="311">
      <x:c r="A311" s="2" t="s">
        <x:v>75</x:v>
      </x:c>
      <x:c r="B311" s="2">
        <x:v>5422</x:v>
      </x:c>
      <x:c r="C311" s="2">
        <x:v>12994</x:v>
      </x:c>
      <x:c r="D311" s="2" t="s">
        <x:v>104</x:v>
      </x:c>
      <x:c r="E311" s="2">
        <x:v>0</x:v>
      </x:c>
      <x:c r="F311" s="2">
        <x:v>225</x:v>
      </x:c>
      <x:c r="G311" s="3">
        <x:f t="shared" si="6"/>
        <x:v>6119.8091706263549</x:v>
      </x:c>
      <x:c r="H311" s="3">
        <x:v>1376957.06339093</x:v>
      </x:c>
      <x:c r="I311" s="6" t="e">
        <x:f>SUMIF([1]Pengiriman!P:P,B311,[1]Pengiriman!X:X)</x:f>
        <x:v>#NAME?</x:v>
      </x:c>
    </x:row>
    <x:row r="312">
      <x:c r="A312" s="2" t="s">
        <x:v>75</x:v>
      </x:c>
      <x:c r="B312" s="2">
        <x:v>2882</x:v>
      </x:c>
      <x:c r="C312" s="2">
        <x:v>13009</x:v>
      </x:c>
      <x:c r="D312" s="2" t="s">
        <x:v>8</x:v>
      </x:c>
      <x:c r="E312" s="2">
        <x:v>0</x:v>
      </x:c>
      <x:c r="F312" s="2">
        <x:v>225</x:v>
      </x:c>
      <x:c r="G312" s="3">
        <x:f t="shared" si="6"/>
        <x:v>11444.037687627364</x:v>
      </x:c>
      <x:c r="H312" s="3">
        <x:v>2574908.4797161571</x:v>
      </x:c>
      <x:c r="I312" s="6" t="e">
        <x:f>SUMIF([1]Pengiriman!P:P,B312,[1]Pengiriman!X:X)</x:f>
        <x:v>#NAME?</x:v>
      </x:c>
    </x:row>
    <x:row r="313">
      <x:c r="A313" s="2" t="s">
        <x:v>75</x:v>
      </x:c>
      <x:c r="B313" s="2">
        <x:v>5011</x:v>
      </x:c>
      <x:c r="C313" s="2">
        <x:v>13011</x:v>
      </x:c>
      <x:c r="D313" s="2" t="s">
        <x:v>104</x:v>
      </x:c>
      <x:c r="E313" s="2">
        <x:v>0</x:v>
      </x:c>
      <x:c r="F313" s="2">
        <x:v>225</x:v>
      </x:c>
      <x:c r="G313" s="3">
        <x:f t="shared" si="6"/>
        <x:v>12227.344711789092</x:v>
      </x:c>
      <x:c r="H313" s="3">
        <x:v>2751152.5601525456</x:v>
      </x:c>
      <x:c r="I313" s="6" t="e">
        <x:f>SUMIF([1]Pengiriman!P:P,B313,[1]Pengiriman!X:X)</x:f>
        <x:v>#NAME?</x:v>
      </x:c>
    </x:row>
    <x:row r="314">
      <x:c r="A314" s="2" t="s">
        <x:v>75</x:v>
      </x:c>
      <x:c r="B314" s="2">
        <x:v>5134</x:v>
      </x:c>
      <x:c r="C314" s="2">
        <x:v>13013</x:v>
      </x:c>
      <x:c r="D314" s="2" t="s">
        <x:v>104</x:v>
      </x:c>
      <x:c r="E314" s="2">
        <x:v>0</x:v>
      </x:c>
      <x:c r="F314" s="2">
        <x:v>225</x:v>
      </x:c>
      <x:c r="G314" s="3">
        <x:f t="shared" si="6"/>
        <x:v>10450.382650742473</x:v>
      </x:c>
      <x:c r="H314" s="3">
        <x:v>2351336.0964170564</x:v>
      </x:c>
      <x:c r="I314" s="6" t="e">
        <x:f>SUMIF([1]Pengiriman!P:P,B314,[1]Pengiriman!X:X)</x:f>
        <x:v>#NAME?</x:v>
      </x:c>
    </x:row>
    <x:row r="315">
      <x:c r="A315" s="2" t="s">
        <x:v>75</x:v>
      </x:c>
      <x:c r="B315" s="2">
        <x:v>5135</x:v>
      </x:c>
      <x:c r="C315" s="2">
        <x:v>13014</x:v>
      </x:c>
      <x:c r="D315" s="2" t="s">
        <x:v>104</x:v>
      </x:c>
      <x:c r="E315" s="2">
        <x:v>0</x:v>
      </x:c>
      <x:c r="F315" s="2">
        <x:v>225</x:v>
      </x:c>
      <x:c r="G315" s="3">
        <x:f t="shared" si="6"/>
        <x:v>10450.382650742473</x:v>
      </x:c>
      <x:c r="H315" s="3">
        <x:v>2351336.0964170564</x:v>
      </x:c>
      <x:c r="I315" s="6" t="e">
        <x:f>SUMIF([1]Pengiriman!P:P,B315,[1]Pengiriman!X:X)</x:f>
        <x:v>#NAME?</x:v>
      </x:c>
    </x:row>
    <x:row r="316">
      <x:c r="A316" s="2" t="s">
        <x:v>75</x:v>
      </x:c>
      <x:c r="B316" s="2">
        <x:v>5137</x:v>
      </x:c>
      <x:c r="C316" s="2">
        <x:v>13015</x:v>
      </x:c>
      <x:c r="D316" s="2" t="s">
        <x:v>104</x:v>
      </x:c>
      <x:c r="E316" s="2">
        <x:v>0</x:v>
      </x:c>
      <x:c r="F316" s="2">
        <x:v>225</x:v>
      </x:c>
      <x:c r="G316" s="3">
        <x:f t="shared" si="6"/>
        <x:v>10450.382650742473</x:v>
      </x:c>
      <x:c r="H316" s="3">
        <x:v>2351336.0964170564</x:v>
      </x:c>
      <x:c r="I316" s="6" t="e">
        <x:f>SUMIF([1]Pengiriman!P:P,B316,[1]Pengiriman!X:X)</x:f>
        <x:v>#NAME?</x:v>
      </x:c>
    </x:row>
    <x:row r="317">
      <x:c r="A317" s="2" t="s">
        <x:v>75</x:v>
      </x:c>
      <x:c r="B317" s="2">
        <x:v>5146</x:v>
      </x:c>
      <x:c r="C317" s="2">
        <x:v>13016</x:v>
      </x:c>
      <x:c r="D317" s="2" t="s">
        <x:v>104</x:v>
      </x:c>
      <x:c r="E317" s="2">
        <x:v>0</x:v>
      </x:c>
      <x:c r="F317" s="2">
        <x:v>225</x:v>
      </x:c>
      <x:c r="G317" s="3">
        <x:f t="shared" si="6"/>
        <x:v>11447.983870967941</x:v>
      </x:c>
      <x:c r="H317" s="3">
        <x:v>2575796.3709677868</x:v>
      </x:c>
      <x:c r="I317" s="6" t="e">
        <x:f>SUMIF([1]Pengiriman!P:P,B317,[1]Pengiriman!X:X)</x:f>
        <x:v>#NAME?</x:v>
      </x:c>
    </x:row>
    <x:row r="318">
      <x:c r="A318" s="2" t="s">
        <x:v>75</x:v>
      </x:c>
      <x:c r="B318" s="2">
        <x:v>5424</x:v>
      </x:c>
      <x:c r="C318" s="2">
        <x:v>13017</x:v>
      </x:c>
      <x:c r="D318" s="2" t="s">
        <x:v>104</x:v>
      </x:c>
      <x:c r="E318" s="2">
        <x:v>0</x:v>
      </x:c>
      <x:c r="F318" s="2">
        <x:v>225</x:v>
      </x:c>
      <x:c r="G318" s="3">
        <x:f t="shared" si="6"/>
        <x:v>11951.569638909639</x:v>
      </x:c>
      <x:c r="H318" s="3">
        <x:v>2689103.1687546689</x:v>
      </x:c>
      <x:c r="I318" s="6" t="e">
        <x:f>SUMIF([1]Pengiriman!P:P,B318,[1]Pengiriman!X:X)</x:f>
        <x:v>#NAME?</x:v>
      </x:c>
    </x:row>
    <x:row r="319">
      <x:c r="A319" s="2" t="s">
        <x:v>75</x:v>
      </x:c>
      <x:c r="B319" s="2">
        <x:v>5425</x:v>
      </x:c>
      <x:c r="C319" s="2">
        <x:v>13018</x:v>
      </x:c>
      <x:c r="D319" s="2" t="s">
        <x:v>104</x:v>
      </x:c>
      <x:c r="E319" s="2">
        <x:v>0</x:v>
      </x:c>
      <x:c r="F319" s="2">
        <x:v>225</x:v>
      </x:c>
      <x:c r="G319" s="3">
        <x:f t="shared" si="6"/>
        <x:v>11951.569638909639</x:v>
      </x:c>
      <x:c r="H319" s="3">
        <x:v>2689103.1687546689</x:v>
      </x:c>
      <x:c r="I319" s="6" t="e">
        <x:f>SUMIF([1]Pengiriman!P:P,B319,[1]Pengiriman!X:X)</x:f>
        <x:v>#NAME?</x:v>
      </x:c>
    </x:row>
    <x:row r="320">
      <x:c r="A320" s="2" t="s">
        <x:v>75</x:v>
      </x:c>
      <x:c r="B320" s="2">
        <x:v>5426</x:v>
      </x:c>
      <x:c r="C320" s="2">
        <x:v>13019</x:v>
      </x:c>
      <x:c r="D320" s="2" t="s">
        <x:v>104</x:v>
      </x:c>
      <x:c r="E320" s="2">
        <x:v>0</x:v>
      </x:c>
      <x:c r="F320" s="2">
        <x:v>225</x:v>
      </x:c>
      <x:c r="G320" s="3">
        <x:f t="shared" si="6"/>
        <x:v>11951.569638909639</x:v>
      </x:c>
      <x:c r="H320" s="3">
        <x:v>2689103.1687546689</x:v>
      </x:c>
      <x:c r="I320" s="6" t="e">
        <x:f>SUMIF([1]Pengiriman!P:P,B320,[1]Pengiriman!X:X)</x:f>
        <x:v>#NAME?</x:v>
      </x:c>
    </x:row>
    <x:row r="321">
      <x:c r="A321" s="2" t="s">
        <x:v>75</x:v>
      </x:c>
      <x:c r="B321" s="2">
        <x:v>2826</x:v>
      </x:c>
      <x:c r="C321" s="2">
        <x:v>12805</x:v>
      </x:c>
      <x:c r="D321" s="2" t="s">
        <x:v>104</x:v>
      </x:c>
      <x:c r="E321" s="2">
        <x:v>0</x:v>
      </x:c>
      <x:c r="F321" s="2">
        <x:v>225</x:v>
      </x:c>
      <x:c r="G321" s="3">
        <x:f t="shared" si="6"/>
        <x:v>11230.439438279422</x:v>
      </x:c>
      <x:c r="H321" s="3">
        <x:v>2526848.87361287</x:v>
      </x:c>
      <x:c r="I321" s="6" t="e">
        <x:f>SUMIF([1]Pengiriman!P:P,B321,[1]Pengiriman!X:X)</x:f>
        <x:v>#NAME?</x:v>
      </x:c>
    </x:row>
    <x:row r="322">
      <x:c r="A322" s="2" t="s">
        <x:v>75</x:v>
      </x:c>
      <x:c r="B322" s="2">
        <x:v>9999</x:v>
      </x:c>
      <x:c r="C322" s="2">
        <x:v>12947</x:v>
      </x:c>
      <x:c r="D322" s="2" t="s">
        <x:v>104</x:v>
      </x:c>
      <x:c r="E322" s="2">
        <x:v>0</x:v>
      </x:c>
      <x:c r="F322" s="2">
        <x:v>17</x:v>
      </x:c>
      <x:c r="G322" s="3">
        <x:f t="shared" si="6"/>
        <x:v>12835.329070756685</x:v>
      </x:c>
      <x:c r="H322" s="3">
        <x:v>218200.59420286363</x:v>
      </x:c>
      <x:c r="I322" s="6" t="e">
        <x:f>SUMIF([1]Pengiriman!P:P,B322,[1]Pengiriman!X:X)</x:f>
        <x:v>#NAME?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4.5"/>
  <x:cols>
    <x:col min="1" max="1" width="6.90625" customWidth="1"/>
    <x:col min="2" max="2" width="8.453125" customWidth="1"/>
    <x:col min="3" max="3" width="8.26953125" customWidth="1"/>
    <x:col min="4" max="4" width="50.90625" customWidth="1"/>
    <x:col min="5" max="6" width="5.81640625" customWidth="1"/>
    <x:col min="7" max="7" width="14.7265625" style="6" customWidth="1"/>
    <x:col min="8" max="8" width="12.6328125" style="6" customWidth="1"/>
    <x:col min="9" max="9" width="10" style="6" customWidth="1"/>
  </x:cols>
  <x:sheetData>
    <x:row r="1">
      <x:c r="A1" s="1" t="s">
        <x:v>11</x:v>
      </x:c>
      <x:c r="B1" s="1" t="s">
        <x:v>12</x:v>
      </x:c>
      <x:c r="C1" s="1" t="s">
        <x:v>13</x:v>
      </x:c>
      <x:c r="D1" s="1" t="s">
        <x:v>14</x:v>
      </x:c>
      <x:c r="E1" s="1" t="s">
        <x:v>15</x:v>
      </x:c>
      <x:c r="F1" s="1" t="s">
        <x:v>16</x:v>
      </x:c>
      <x:c r="G1" s="5" t="s">
        <x:v>17</x:v>
      </x:c>
      <x:c r="H1" s="5" t="s">
        <x:v>18</x:v>
      </x:c>
      <x:c r="I1" s="42" t="s">
        <x:v>143</x:v>
      </x:c>
    </x:row>
    <x:row r="2">
      <x:c r="A2" s="2" t="s">
        <x:v>144</x:v>
      </x:c>
      <x:c r="B2" s="2">
        <x:v>2065</x:v>
      </x:c>
      <x:c r="C2" s="2">
        <x:v>11472</x:v>
      </x:c>
      <x:c r="D2" s="2" t="s">
        <x:v>145</x:v>
      </x:c>
      <x:c r="E2" s="2">
        <x:v>102</x:v>
      </x:c>
      <x:c r="F2" s="2">
        <x:v>225</x:v>
      </x:c>
      <x:c r="G2" s="3" t="n">
        <x:f>H2/F2</x:f>
        <x:v>9617.73237751825</x:v>
      </x:c>
      <x:c r="H2" s="3">
        <x:v>2163989.7849416062</x:v>
      </x:c>
      <x:c r="I2" s="6" t="e">
        <x:f>SUMIF([1]Pengiriman!AB:AB,B2,[1]Pengiriman!AJ:AJ)</x:f>
        <x:v>#NAME?</x:v>
      </x:c>
    </x:row>
    <x:row r="3">
      <x:c r="A3" s="2" t="s">
        <x:v>144</x:v>
      </x:c>
      <x:c r="B3" s="2">
        <x:v>2069</x:v>
      </x:c>
      <x:c r="C3" s="2">
        <x:v>11473</x:v>
      </x:c>
      <x:c r="D3" s="2" t="s">
        <x:v>146</x:v>
      </x:c>
      <x:c r="E3" s="2">
        <x:v>0</x:v>
      </x:c>
      <x:c r="F3" s="2">
        <x:v>225</x:v>
      </x:c>
      <x:c r="G3" s="3" t="n">
        <x:f t="shared" ref="G3:G66" si="0">H3/F3</x:f>
        <x:v>9617.73237751825</x:v>
      </x:c>
      <x:c r="H3" s="3">
        <x:v>2163989.7849416062</x:v>
      </x:c>
      <x:c r="I3" s="6" t="e">
        <x:f>SUMIF([1]Pengiriman!AB:AB,B3,[1]Pengiriman!AJ:AJ)</x:f>
        <x:v>#NAME?</x:v>
      </x:c>
    </x:row>
    <x:row r="4">
      <x:c r="A4" s="2" t="s">
        <x:v>144</x:v>
      </x:c>
      <x:c r="B4" s="2">
        <x:v>2141</x:v>
      </x:c>
      <x:c r="C4" s="2">
        <x:v>11474</x:v>
      </x:c>
      <x:c r="D4" s="2" t="s">
        <x:v>146</x:v>
      </x:c>
      <x:c r="E4" s="2">
        <x:v>0</x:v>
      </x:c>
      <x:c r="F4" s="2">
        <x:v>225</x:v>
      </x:c>
      <x:c r="G4" s="3">
        <x:f t="shared" si="0"/>
        <x:v>9617.7323775182504</x:v>
      </x:c>
      <x:c r="H4" s="3">
        <x:v>2163989.7849416062</x:v>
      </x:c>
      <x:c r="I4" s="6" t="e">
        <x:f>SUMIF([1]Pengiriman!AB:AB,B4,[1]Pengiriman!AJ:AJ)</x:f>
        <x:v>#NAME?</x:v>
      </x:c>
    </x:row>
    <x:row r="5">
      <x:c r="A5" s="2" t="s">
        <x:v>144</x:v>
      </x:c>
      <x:c r="B5" s="2">
        <x:v>2150</x:v>
      </x:c>
      <x:c r="C5" s="2">
        <x:v>11475</x:v>
      </x:c>
      <x:c r="D5" s="2" t="s">
        <x:v>146</x:v>
      </x:c>
      <x:c r="E5" s="2">
        <x:v>0</x:v>
      </x:c>
      <x:c r="F5" s="2">
        <x:v>225</x:v>
      </x:c>
      <x:c r="G5" s="3">
        <x:f t="shared" si="0"/>
        <x:v>9617.7323775182504</x:v>
      </x:c>
      <x:c r="H5" s="3">
        <x:v>2163989.7849416062</x:v>
      </x:c>
      <x:c r="I5" s="6" t="e">
        <x:f>SUMIF([1]Pengiriman!AB:AB,B5,[1]Pengiriman!AJ:AJ)</x:f>
        <x:v>#NAME?</x:v>
      </x:c>
    </x:row>
    <x:row r="6">
      <x:c r="A6" s="2" t="s">
        <x:v>144</x:v>
      </x:c>
      <x:c r="B6" s="2">
        <x:v>2167</x:v>
      </x:c>
      <x:c r="C6" s="2">
        <x:v>11476</x:v>
      </x:c>
      <x:c r="D6" s="2" t="s">
        <x:v>145</x:v>
      </x:c>
      <x:c r="E6" s="2">
        <x:v>0</x:v>
      </x:c>
      <x:c r="F6" s="2">
        <x:v>225</x:v>
      </x:c>
      <x:c r="G6" s="3">
        <x:f t="shared" si="0"/>
        <x:v>9617.7323775182504</x:v>
      </x:c>
      <x:c r="H6" s="3">
        <x:v>2163989.7849416062</x:v>
      </x:c>
      <x:c r="I6" s="6" t="e">
        <x:f>SUMIF([1]Pengiriman!AB:AB,B6,[1]Pengiriman!AJ:AJ)</x:f>
        <x:v>#NAME?</x:v>
      </x:c>
    </x:row>
    <x:row r="7">
      <x:c r="A7" s="2" t="s">
        <x:v>144</x:v>
      </x:c>
      <x:c r="B7" s="2">
        <x:v>2192</x:v>
      </x:c>
      <x:c r="C7" s="2">
        <x:v>11477</x:v>
      </x:c>
      <x:c r="D7" s="2" t="s">
        <x:v>146</x:v>
      </x:c>
      <x:c r="E7" s="2">
        <x:v>0</x:v>
      </x:c>
      <x:c r="F7" s="2">
        <x:v>225</x:v>
      </x:c>
      <x:c r="G7" s="3">
        <x:f t="shared" si="0"/>
        <x:v>9617.7323775182504</x:v>
      </x:c>
      <x:c r="H7" s="3">
        <x:v>2163989.7849416062</x:v>
      </x:c>
      <x:c r="I7" s="6" t="e">
        <x:f>SUMIF([1]Pengiriman!AB:AB,B7,[1]Pengiriman!AJ:AJ)</x:f>
        <x:v>#NAME?</x:v>
      </x:c>
    </x:row>
    <x:row r="8">
      <x:c r="A8" s="2" t="s">
        <x:v>144</x:v>
      </x:c>
      <x:c r="B8" s="2">
        <x:v>2222</x:v>
      </x:c>
      <x:c r="C8" s="2">
        <x:v>11478</x:v>
      </x:c>
      <x:c r="D8" s="2" t="s">
        <x:v>146</x:v>
      </x:c>
      <x:c r="E8" s="2">
        <x:v>0</x:v>
      </x:c>
      <x:c r="F8" s="2">
        <x:v>225</x:v>
      </x:c>
      <x:c r="G8" s="3">
        <x:f t="shared" si="0"/>
        <x:v>9617.7323775182504</x:v>
      </x:c>
      <x:c r="H8" s="3">
        <x:v>2163989.7849416062</x:v>
      </x:c>
      <x:c r="I8" s="6" t="e">
        <x:f>SUMIF([1]Pengiriman!AB:AB,B8,[1]Pengiriman!AJ:AJ)</x:f>
        <x:v>#NAME?</x:v>
      </x:c>
    </x:row>
    <x:row r="9">
      <x:c r="A9" s="2" t="s">
        <x:v>144</x:v>
      </x:c>
      <x:c r="B9" s="2">
        <x:v>2353</x:v>
      </x:c>
      <x:c r="C9" s="2">
        <x:v>11479</x:v>
      </x:c>
      <x:c r="D9" s="2" t="s">
        <x:v>147</x:v>
      </x:c>
      <x:c r="E9" s="2">
        <x:v>53</x:v>
      </x:c>
      <x:c r="F9" s="2">
        <x:v>225</x:v>
      </x:c>
      <x:c r="G9" s="3">
        <x:f t="shared" si="0"/>
        <x:v>9617.7323775182504</x:v>
      </x:c>
      <x:c r="H9" s="3">
        <x:v>2163989.7849416062</x:v>
      </x:c>
      <x:c r="I9" s="6" t="e">
        <x:f>SUMIF([1]Pengiriman!AB:AB,B9,[1]Pengiriman!AJ:AJ)</x:f>
        <x:v>#NAME?</x:v>
      </x:c>
    </x:row>
    <x:row r="10">
      <x:c r="A10" s="2" t="s">
        <x:v>144</x:v>
      </x:c>
      <x:c r="B10" s="2">
        <x:v>2396</x:v>
      </x:c>
      <x:c r="C10" s="2">
        <x:v>11480</x:v>
      </x:c>
      <x:c r="D10" s="2" t="s">
        <x:v>148</x:v>
      </x:c>
      <x:c r="E10" s="2">
        <x:v>38</x:v>
      </x:c>
      <x:c r="F10" s="2">
        <x:v>225</x:v>
      </x:c>
      <x:c r="G10" s="3">
        <x:f t="shared" si="0"/>
        <x:v>9617.7323775182504</x:v>
      </x:c>
      <x:c r="H10" s="3">
        <x:v>2163989.7849416062</x:v>
      </x:c>
      <x:c r="I10" s="6" t="e">
        <x:f>SUMIF([1]Pengiriman!AB:AB,B10,[1]Pengiriman!AJ:AJ)</x:f>
        <x:v>#NAME?</x:v>
      </x:c>
    </x:row>
    <x:row r="11">
      <x:c r="A11" s="2" t="s">
        <x:v>144</x:v>
      </x:c>
      <x:c r="B11" s="2">
        <x:v>2401</x:v>
      </x:c>
      <x:c r="C11" s="2">
        <x:v>11481</x:v>
      </x:c>
      <x:c r="D11" s="2" t="s">
        <x:v>119</x:v>
      </x:c>
      <x:c r="E11" s="2">
        <x:v>0</x:v>
      </x:c>
      <x:c r="F11" s="2">
        <x:v>225</x:v>
      </x:c>
      <x:c r="G11" s="3">
        <x:f t="shared" si="0"/>
        <x:v>9617.7323775182504</x:v>
      </x:c>
      <x:c r="H11" s="3">
        <x:v>2163989.7849416062</x:v>
      </x:c>
      <x:c r="I11" s="6" t="e">
        <x:f>SUMIF([1]Pengiriman!AB:AB,B11,[1]Pengiriman!AJ:AJ)</x:f>
        <x:v>#NAME?</x:v>
      </x:c>
    </x:row>
    <x:row r="12">
      <x:c r="A12" s="2" t="s">
        <x:v>144</x:v>
      </x:c>
      <x:c r="B12" s="2">
        <x:v>2403</x:v>
      </x:c>
      <x:c r="C12" s="2">
        <x:v>11482</x:v>
      </x:c>
      <x:c r="D12" s="2" t="s">
        <x:v>146</x:v>
      </x:c>
      <x:c r="E12" s="2">
        <x:v>0</x:v>
      </x:c>
      <x:c r="F12" s="2">
        <x:v>225</x:v>
      </x:c>
      <x:c r="G12" s="3">
        <x:f t="shared" si="0"/>
        <x:v>9617.7323775182504</x:v>
      </x:c>
      <x:c r="H12" s="3">
        <x:v>2163989.7849416062</x:v>
      </x:c>
      <x:c r="I12" s="6" t="e">
        <x:f>SUMIF([1]Pengiriman!AB:AB,B12,[1]Pengiriman!AJ:AJ)</x:f>
        <x:v>#NAME?</x:v>
      </x:c>
    </x:row>
    <x:row r="13">
      <x:c r="A13" s="2" t="s">
        <x:v>144</x:v>
      </x:c>
      <x:c r="B13" s="2">
        <x:v>2404</x:v>
      </x:c>
      <x:c r="C13" s="2">
        <x:v>11483</x:v>
      </x:c>
      <x:c r="D13" s="2" t="s">
        <x:v>146</x:v>
      </x:c>
      <x:c r="E13" s="2">
        <x:v>0</x:v>
      </x:c>
      <x:c r="F13" s="2">
        <x:v>225</x:v>
      </x:c>
      <x:c r="G13" s="3">
        <x:f t="shared" si="0"/>
        <x:v>9617.7323775182504</x:v>
      </x:c>
      <x:c r="H13" s="3">
        <x:v>2163989.7849416062</x:v>
      </x:c>
      <x:c r="I13" s="6" t="e">
        <x:f>SUMIF([1]Pengiriman!AB:AB,B13,[1]Pengiriman!AJ:AJ)</x:f>
        <x:v>#NAME?</x:v>
      </x:c>
    </x:row>
    <x:row r="14">
      <x:c r="A14" s="2" t="s">
        <x:v>144</x:v>
      </x:c>
      <x:c r="B14" s="2">
        <x:v>2427</x:v>
      </x:c>
      <x:c r="C14" s="2">
        <x:v>11484</x:v>
      </x:c>
      <x:c r="D14" s="2" t="s">
        <x:v>146</x:v>
      </x:c>
      <x:c r="E14" s="2">
        <x:v>0</x:v>
      </x:c>
      <x:c r="F14" s="2">
        <x:v>225</x:v>
      </x:c>
      <x:c r="G14" s="3">
        <x:f t="shared" si="0"/>
        <x:v>9617.7323775182504</x:v>
      </x:c>
      <x:c r="H14" s="3">
        <x:v>2163989.7849416062</x:v>
      </x:c>
      <x:c r="I14" s="6" t="e">
        <x:f>SUMIF([1]Pengiriman!AB:AB,B14,[1]Pengiriman!AJ:AJ)</x:f>
        <x:v>#NAME?</x:v>
      </x:c>
    </x:row>
    <x:row r="15">
      <x:c r="A15" s="2" t="s">
        <x:v>144</x:v>
      </x:c>
      <x:c r="B15" s="2">
        <x:v>2428</x:v>
      </x:c>
      <x:c r="C15" s="2">
        <x:v>11485</x:v>
      </x:c>
      <x:c r="D15" s="2" t="s">
        <x:v>146</x:v>
      </x:c>
      <x:c r="E15" s="2">
        <x:v>0</x:v>
      </x:c>
      <x:c r="F15" s="2">
        <x:v>225</x:v>
      </x:c>
      <x:c r="G15" s="3">
        <x:f t="shared" si="0"/>
        <x:v>9617.7323775182504</x:v>
      </x:c>
      <x:c r="H15" s="3">
        <x:v>2163989.7849416062</x:v>
      </x:c>
      <x:c r="I15" s="6" t="e">
        <x:f>SUMIF([1]Pengiriman!AB:AB,B15,[1]Pengiriman!AJ:AJ)</x:f>
        <x:v>#NAME?</x:v>
      </x:c>
    </x:row>
    <x:row r="16">
      <x:c r="A16" s="2" t="s">
        <x:v>144</x:v>
      </x:c>
      <x:c r="B16" s="2">
        <x:v>2429</x:v>
      </x:c>
      <x:c r="C16" s="2">
        <x:v>11486</x:v>
      </x:c>
      <x:c r="D16" s="2" t="s">
        <x:v>146</x:v>
      </x:c>
      <x:c r="E16" s="2">
        <x:v>0</x:v>
      </x:c>
      <x:c r="F16" s="2">
        <x:v>225</x:v>
      </x:c>
      <x:c r="G16" s="3">
        <x:f t="shared" si="0"/>
        <x:v>9617.7323775182504</x:v>
      </x:c>
      <x:c r="H16" s="3">
        <x:v>2163989.7849416062</x:v>
      </x:c>
      <x:c r="I16" s="6" t="e">
        <x:f>SUMIF([1]Pengiriman!AB:AB,B16,[1]Pengiriman!AJ:AJ)</x:f>
        <x:v>#NAME?</x:v>
      </x:c>
    </x:row>
    <x:row r="17">
      <x:c r="A17" s="2" t="s">
        <x:v>144</x:v>
      </x:c>
      <x:c r="B17" s="2">
        <x:v>2430</x:v>
      </x:c>
      <x:c r="C17" s="2">
        <x:v>11487</x:v>
      </x:c>
      <x:c r="D17" s="2" t="s">
        <x:v>146</x:v>
      </x:c>
      <x:c r="E17" s="2">
        <x:v>0</x:v>
      </x:c>
      <x:c r="F17" s="2">
        <x:v>225</x:v>
      </x:c>
      <x:c r="G17" s="3">
        <x:f t="shared" si="0"/>
        <x:v>9617.7323775182504</x:v>
      </x:c>
      <x:c r="H17" s="3">
        <x:v>2163989.7849416062</x:v>
      </x:c>
      <x:c r="I17" s="6" t="e">
        <x:f>SUMIF([1]Pengiriman!AB:AB,B17,[1]Pengiriman!AJ:AJ)</x:f>
        <x:v>#NAME?</x:v>
      </x:c>
    </x:row>
    <x:row r="18">
      <x:c r="A18" s="2" t="s">
        <x:v>144</x:v>
      </x:c>
      <x:c r="B18" s="2">
        <x:v>2431</x:v>
      </x:c>
      <x:c r="C18" s="2">
        <x:v>11488</x:v>
      </x:c>
      <x:c r="D18" s="2" t="s">
        <x:v>146</x:v>
      </x:c>
      <x:c r="E18" s="2">
        <x:v>0</x:v>
      </x:c>
      <x:c r="F18" s="2">
        <x:v>225</x:v>
      </x:c>
      <x:c r="G18" s="3">
        <x:f t="shared" si="0"/>
        <x:v>9617.7323775182504</x:v>
      </x:c>
      <x:c r="H18" s="3">
        <x:v>2163989.7849416062</x:v>
      </x:c>
      <x:c r="I18" s="6" t="e">
        <x:f>SUMIF([1]Pengiriman!AB:AB,B18,[1]Pengiriman!AJ:AJ)</x:f>
        <x:v>#NAME?</x:v>
      </x:c>
    </x:row>
    <x:row r="19">
      <x:c r="A19" s="2" t="s">
        <x:v>144</x:v>
      </x:c>
      <x:c r="B19" s="2">
        <x:v>2435</x:v>
      </x:c>
      <x:c r="C19" s="2">
        <x:v>11489</x:v>
      </x:c>
      <x:c r="D19" s="2" t="s">
        <x:v>119</x:v>
      </x:c>
      <x:c r="E19" s="2">
        <x:v>0</x:v>
      </x:c>
      <x:c r="F19" s="2">
        <x:v>225</x:v>
      </x:c>
      <x:c r="G19" s="3">
        <x:f t="shared" si="0"/>
        <x:v>9617.7323775182504</x:v>
      </x:c>
      <x:c r="H19" s="3">
        <x:v>2163989.7849416062</x:v>
      </x:c>
      <x:c r="I19" s="6" t="e">
        <x:f>SUMIF([1]Pengiriman!AB:AB,B19,[1]Pengiriman!AJ:AJ)</x:f>
        <x:v>#NAME?</x:v>
      </x:c>
    </x:row>
    <x:row r="20">
      <x:c r="A20" s="2" t="s">
        <x:v>144</x:v>
      </x:c>
      <x:c r="B20" s="2">
        <x:v>2657</x:v>
      </x:c>
      <x:c r="C20" s="2">
        <x:v>11490</x:v>
      </x:c>
      <x:c r="D20" s="2" t="s">
        <x:v>95</x:v>
      </x:c>
      <x:c r="E20" s="2">
        <x:v>57</x:v>
      </x:c>
      <x:c r="F20" s="2">
        <x:v>225</x:v>
      </x:c>
      <x:c r="G20" s="3">
        <x:f t="shared" si="0"/>
        <x:v>10240.505914413805</x:v>
      </x:c>
      <x:c r="H20" s="3">
        <x:v>2304113.8307431061</x:v>
      </x:c>
      <x:c r="I20" s="6" t="e">
        <x:f>SUMIF([1]Pengiriman!AB:AB,B20,[1]Pengiriman!AJ:AJ)</x:f>
        <x:v>#NAME?</x:v>
      </x:c>
    </x:row>
    <x:row r="21">
      <x:c r="A21" s="2" t="s">
        <x:v>144</x:v>
      </x:c>
      <x:c r="B21" s="2">
        <x:v>2694</x:v>
      </x:c>
      <x:c r="C21" s="2">
        <x:v>11491</x:v>
      </x:c>
      <x:c r="D21" s="2" t="s">
        <x:v>104</x:v>
      </x:c>
      <x:c r="E21" s="2">
        <x:v>0</x:v>
      </x:c>
      <x:c r="F21" s="2">
        <x:v>225</x:v>
      </x:c>
      <x:c r="G21" s="3">
        <x:f t="shared" si="0"/>
        <x:v>10240.505914413805</x:v>
      </x:c>
      <x:c r="H21" s="3">
        <x:v>2304113.8307431061</x:v>
      </x:c>
      <x:c r="I21" s="6" t="e">
        <x:f>SUMIF([1]Pengiriman!AB:AB,B21,[1]Pengiriman!AJ:AJ)</x:f>
        <x:v>#NAME?</x:v>
      </x:c>
    </x:row>
    <x:row r="22">
      <x:c r="A22" s="2" t="s">
        <x:v>144</x:v>
      </x:c>
      <x:c r="B22" s="2">
        <x:v>2696</x:v>
      </x:c>
      <x:c r="C22" s="2">
        <x:v>11492</x:v>
      </x:c>
      <x:c r="D22" s="2" t="s">
        <x:v>119</x:v>
      </x:c>
      <x:c r="E22" s="2">
        <x:v>0</x:v>
      </x:c>
      <x:c r="F22" s="2">
        <x:v>225</x:v>
      </x:c>
      <x:c r="G22" s="3">
        <x:f t="shared" si="0"/>
        <x:v>10240.505914413805</x:v>
      </x:c>
      <x:c r="H22" s="3">
        <x:v>2304113.8307431061</x:v>
      </x:c>
      <x:c r="I22" s="6" t="e">
        <x:f>SUMIF([1]Pengiriman!AB:AB,B22,[1]Pengiriman!AJ:AJ)</x:f>
        <x:v>#NAME?</x:v>
      </x:c>
    </x:row>
    <x:row r="23">
      <x:c r="A23" s="2" t="s">
        <x:v>144</x:v>
      </x:c>
      <x:c r="B23" s="2">
        <x:v>2697</x:v>
      </x:c>
      <x:c r="C23" s="2">
        <x:v>11493</x:v>
      </x:c>
      <x:c r="D23" s="2" t="s">
        <x:v>119</x:v>
      </x:c>
      <x:c r="E23" s="2">
        <x:v>0</x:v>
      </x:c>
      <x:c r="F23" s="2">
        <x:v>225</x:v>
      </x:c>
      <x:c r="G23" s="3">
        <x:f t="shared" si="0"/>
        <x:v>10240.505914413805</x:v>
      </x:c>
      <x:c r="H23" s="3">
        <x:v>2304113.8307431061</x:v>
      </x:c>
      <x:c r="I23" s="6" t="e">
        <x:f>SUMIF([1]Pengiriman!AB:AB,B23,[1]Pengiriman!AJ:AJ)</x:f>
        <x:v>#NAME?</x:v>
      </x:c>
    </x:row>
    <x:row r="24">
      <x:c r="A24" s="2" t="s">
        <x:v>144</x:v>
      </x:c>
      <x:c r="B24" s="2">
        <x:v>2698</x:v>
      </x:c>
      <x:c r="C24" s="2">
        <x:v>11494</x:v>
      </x:c>
      <x:c r="D24" s="2" t="s">
        <x:v>145</x:v>
      </x:c>
      <x:c r="E24" s="2">
        <x:v>0</x:v>
      </x:c>
      <x:c r="F24" s="2">
        <x:v>225</x:v>
      </x:c>
      <x:c r="G24" s="3">
        <x:f t="shared" si="0"/>
        <x:v>10240.505914413805</x:v>
      </x:c>
      <x:c r="H24" s="3">
        <x:v>2304113.8307431061</x:v>
      </x:c>
      <x:c r="I24" s="6" t="e">
        <x:f>SUMIF([1]Pengiriman!AB:AB,B24,[1]Pengiriman!AJ:AJ)</x:f>
        <x:v>#NAME?</x:v>
      </x:c>
    </x:row>
    <x:row r="25">
      <x:c r="A25" s="2" t="s">
        <x:v>144</x:v>
      </x:c>
      <x:c r="B25" s="2">
        <x:v>2709</x:v>
      </x:c>
      <x:c r="C25" s="2">
        <x:v>11495</x:v>
      </x:c>
      <x:c r="D25" s="2" t="s">
        <x:v>146</x:v>
      </x:c>
      <x:c r="E25" s="2">
        <x:v>0</x:v>
      </x:c>
      <x:c r="F25" s="2">
        <x:v>450</x:v>
      </x:c>
      <x:c r="G25" s="3">
        <x:f t="shared" si="0"/>
        <x:v>10240.50591441403</x:v>
      </x:c>
      <x:c r="H25" s="3">
        <x:v>4608227.6614863137</x:v>
      </x:c>
      <x:c r="I25" s="6" t="e">
        <x:f>SUMIF([1]Pengiriman!AB:AB,B25,[1]Pengiriman!AJ:AJ)</x:f>
        <x:v>#NAME?</x:v>
      </x:c>
    </x:row>
    <x:row r="26">
      <x:c r="A26" s="2" t="s">
        <x:v>144</x:v>
      </x:c>
      <x:c r="B26" s="2">
        <x:v>2712</x:v>
      </x:c>
      <x:c r="C26" s="2">
        <x:v>11496</x:v>
      </x:c>
      <x:c r="D26" s="2" t="s">
        <x:v>119</x:v>
      </x:c>
      <x:c r="E26" s="2">
        <x:v>0</x:v>
      </x:c>
      <x:c r="F26" s="2">
        <x:v>225</x:v>
      </x:c>
      <x:c r="G26" s="3">
        <x:f t="shared" si="0"/>
        <x:v>10240.505914413805</x:v>
      </x:c>
      <x:c r="H26" s="3">
        <x:v>2304113.8307431061</x:v>
      </x:c>
      <x:c r="I26" s="6" t="e">
        <x:f>SUMIF([1]Pengiriman!AB:AB,B26,[1]Pengiriman!AJ:AJ)</x:f>
        <x:v>#NAME?</x:v>
      </x:c>
    </x:row>
    <x:row r="27">
      <x:c r="A27" s="2" t="s">
        <x:v>144</x:v>
      </x:c>
      <x:c r="B27" s="2">
        <x:v>2730</x:v>
      </x:c>
      <x:c r="C27" s="2">
        <x:v>11497</x:v>
      </x:c>
      <x:c r="D27" s="2" t="s">
        <x:v>119</x:v>
      </x:c>
      <x:c r="E27" s="2">
        <x:v>0</x:v>
      </x:c>
      <x:c r="F27" s="2">
        <x:v>225</x:v>
      </x:c>
      <x:c r="G27" s="3">
        <x:f t="shared" si="0"/>
        <x:v>10240.505914413805</x:v>
      </x:c>
      <x:c r="H27" s="3">
        <x:v>2304113.8307431061</x:v>
      </x:c>
      <x:c r="I27" s="6" t="e">
        <x:f>SUMIF([1]Pengiriman!AB:AB,B27,[1]Pengiriman!AJ:AJ)</x:f>
        <x:v>#NAME?</x:v>
      </x:c>
    </x:row>
    <x:row r="28">
      <x:c r="A28" s="2" t="s">
        <x:v>144</x:v>
      </x:c>
      <x:c r="B28" s="2">
        <x:v>2742</x:v>
      </x:c>
      <x:c r="C28" s="2">
        <x:v>11498</x:v>
      </x:c>
      <x:c r="D28" s="2" t="s">
        <x:v>112</x:v>
      </x:c>
      <x:c r="E28" s="2">
        <x:v>43</x:v>
      </x:c>
      <x:c r="F28" s="2">
        <x:v>225</x:v>
      </x:c>
      <x:c r="G28" s="3">
        <x:f t="shared" si="0"/>
        <x:v>12835.329070756916</x:v>
      </x:c>
      <x:c r="H28" s="3">
        <x:v>2887949.040920306</x:v>
      </x:c>
      <x:c r="I28" s="6" t="e">
        <x:f>SUMIF([1]Pengiriman!AB:AB,B28,[1]Pengiriman!AJ:AJ)</x:f>
        <x:v>#NAME?</x:v>
      </x:c>
    </x:row>
    <x:row r="29">
      <x:c r="A29" s="2" t="s">
        <x:v>144</x:v>
      </x:c>
      <x:c r="B29" s="2">
        <x:v>2743</x:v>
      </x:c>
      <x:c r="C29" s="2">
        <x:v>11499</x:v>
      </x:c>
      <x:c r="D29" s="2" t="s">
        <x:v>112</x:v>
      </x:c>
      <x:c r="E29" s="2">
        <x:v>45</x:v>
      </x:c>
      <x:c r="F29" s="2">
        <x:v>225</x:v>
      </x:c>
      <x:c r="G29" s="3">
        <x:f t="shared" si="0"/>
        <x:v>12835.329070756916</x:v>
      </x:c>
      <x:c r="H29" s="3">
        <x:v>2887949.040920306</x:v>
      </x:c>
      <x:c r="I29" s="6" t="e">
        <x:f>SUMIF([1]Pengiriman!AB:AB,B29,[1]Pengiriman!AJ:AJ)</x:f>
        <x:v>#NAME?</x:v>
      </x:c>
    </x:row>
    <x:row r="30">
      <x:c r="A30" s="2" t="s">
        <x:v>144</x:v>
      </x:c>
      <x:c r="B30" s="2">
        <x:v>2753</x:v>
      </x:c>
      <x:c r="C30" s="2">
        <x:v>11500</x:v>
      </x:c>
      <x:c r="D30" s="2" t="s">
        <x:v>112</x:v>
      </x:c>
      <x:c r="E30" s="2">
        <x:v>43</x:v>
      </x:c>
      <x:c r="F30" s="2">
        <x:v>225</x:v>
      </x:c>
      <x:c r="G30" s="3">
        <x:f t="shared" si="0"/>
        <x:v>12835.329070756916</x:v>
      </x:c>
      <x:c r="H30" s="3">
        <x:v>2887949.040920306</x:v>
      </x:c>
      <x:c r="I30" s="6" t="e">
        <x:f>SUMIF([1]Pengiriman!AB:AB,B30,[1]Pengiriman!AJ:AJ)</x:f>
        <x:v>#NAME?</x:v>
      </x:c>
    </x:row>
    <x:row r="31">
      <x:c r="A31" s="2" t="s">
        <x:v>144</x:v>
      </x:c>
      <x:c r="B31" s="2">
        <x:v>2758</x:v>
      </x:c>
      <x:c r="C31" s="2">
        <x:v>11501</x:v>
      </x:c>
      <x:c r="D31" s="2" t="s">
        <x:v>112</x:v>
      </x:c>
      <x:c r="E31" s="2">
        <x:v>46</x:v>
      </x:c>
      <x:c r="F31" s="2">
        <x:v>225</x:v>
      </x:c>
      <x:c r="G31" s="3">
        <x:f t="shared" si="0"/>
        <x:v>12835.329070756916</x:v>
      </x:c>
      <x:c r="H31" s="3">
        <x:v>2887949.040920306</x:v>
      </x:c>
      <x:c r="I31" s="6" t="e">
        <x:f>SUMIF([1]Pengiriman!AB:AB,B31,[1]Pengiriman!AJ:AJ)</x:f>
        <x:v>#NAME?</x:v>
      </x:c>
    </x:row>
    <x:row r="32">
      <x:c r="A32" s="2" t="s">
        <x:v>144</x:v>
      </x:c>
      <x:c r="B32" s="2">
        <x:v>2780</x:v>
      </x:c>
      <x:c r="C32" s="2">
        <x:v>11502</x:v>
      </x:c>
      <x:c r="D32" s="2" t="s">
        <x:v>119</x:v>
      </x:c>
      <x:c r="E32" s="2">
        <x:v>0</x:v>
      </x:c>
      <x:c r="F32" s="2">
        <x:v>225</x:v>
      </x:c>
      <x:c r="G32" s="3">
        <x:f t="shared" si="0"/>
        <x:v>12835.329070756916</x:v>
      </x:c>
      <x:c r="H32" s="3">
        <x:v>2887949.040920306</x:v>
      </x:c>
      <x:c r="I32" s="6" t="e">
        <x:f>SUMIF([1]Pengiriman!AB:AB,B32,[1]Pengiriman!AJ:AJ)</x:f>
        <x:v>#NAME?</x:v>
      </x:c>
    </x:row>
    <x:row r="33">
      <x:c r="A33" s="2" t="s">
        <x:v>144</x:v>
      </x:c>
      <x:c r="B33" s="2">
        <x:v>2781</x:v>
      </x:c>
      <x:c r="C33" s="2">
        <x:v>11503</x:v>
      </x:c>
      <x:c r="D33" s="2" t="s">
        <x:v>104</x:v>
      </x:c>
      <x:c r="E33" s="2">
        <x:v>0</x:v>
      </x:c>
      <x:c r="F33" s="2">
        <x:v>225</x:v>
      </x:c>
      <x:c r="G33" s="3">
        <x:f t="shared" si="0"/>
        <x:v>12835.329070756916</x:v>
      </x:c>
      <x:c r="H33" s="3">
        <x:v>2887949.040920306</x:v>
      </x:c>
      <x:c r="I33" s="6" t="e">
        <x:f>SUMIF([1]Pengiriman!AB:AB,B33,[1]Pengiriman!AJ:AJ)</x:f>
        <x:v>#NAME?</x:v>
      </x:c>
    </x:row>
    <x:row r="34">
      <x:c r="A34" s="2" t="s">
        <x:v>144</x:v>
      </x:c>
      <x:c r="B34" s="2">
        <x:v>2783</x:v>
      </x:c>
      <x:c r="C34" s="2">
        <x:v>11504</x:v>
      </x:c>
      <x:c r="D34" s="2" t="s">
        <x:v>104</x:v>
      </x:c>
      <x:c r="E34" s="2">
        <x:v>0</x:v>
      </x:c>
      <x:c r="F34" s="2">
        <x:v>225</x:v>
      </x:c>
      <x:c r="G34" s="3">
        <x:f t="shared" si="0"/>
        <x:v>10346.80363386936</x:v>
      </x:c>
      <x:c r="H34" s="3">
        <x:v>2328030.8176206062</x:v>
      </x:c>
      <x:c r="I34" s="6" t="e">
        <x:f>SUMIF([1]Pengiriman!AB:AB,B34,[1]Pengiriman!AJ:AJ)</x:f>
        <x:v>#NAME?</x:v>
      </x:c>
    </x:row>
    <x:row r="35">
      <x:c r="A35" s="2" t="s">
        <x:v>144</x:v>
      </x:c>
      <x:c r="B35" s="2">
        <x:v>2807</x:v>
      </x:c>
      <x:c r="C35" s="2">
        <x:v>11505</x:v>
      </x:c>
      <x:c r="D35" s="2" t="s">
        <x:v>119</x:v>
      </x:c>
      <x:c r="E35" s="2">
        <x:v>0</x:v>
      </x:c>
      <x:c r="F35" s="2">
        <x:v>225</x:v>
      </x:c>
      <x:c r="G35" s="3">
        <x:f t="shared" si="0"/>
        <x:v>8593.5243487893604</x:v>
      </x:c>
      <x:c r="H35" s="3">
        <x:v>1933542.9784776061</x:v>
      </x:c>
      <x:c r="I35" s="6" t="e">
        <x:f>SUMIF([1]Pengiriman!AB:AB,B35,[1]Pengiriman!AJ:AJ)</x:f>
        <x:v>#NAME?</x:v>
      </x:c>
    </x:row>
    <x:row r="36">
      <x:c r="A36" s="2" t="s">
        <x:v>144</x:v>
      </x:c>
      <x:c r="B36" s="2">
        <x:v>2808</x:v>
      </x:c>
      <x:c r="C36" s="2">
        <x:v>11506</x:v>
      </x:c>
      <x:c r="D36" s="2" t="s">
        <x:v>119</x:v>
      </x:c>
      <x:c r="E36" s="2">
        <x:v>0</x:v>
      </x:c>
      <x:c r="F36" s="2">
        <x:v>225</x:v>
      </x:c>
      <x:c r="G36" s="3">
        <x:f t="shared" si="0"/>
        <x:v>8593.5243487893604</x:v>
      </x:c>
      <x:c r="H36" s="3">
        <x:v>1933542.9784776061</x:v>
      </x:c>
      <x:c r="I36" s="6" t="e">
        <x:f>SUMIF([1]Pengiriman!AB:AB,B36,[1]Pengiriman!AJ:AJ)</x:f>
        <x:v>#NAME?</x:v>
      </x:c>
    </x:row>
    <x:row r="37">
      <x:c r="A37" s="2" t="s">
        <x:v>144</x:v>
      </x:c>
      <x:c r="B37" s="2">
        <x:v>2809</x:v>
      </x:c>
      <x:c r="C37" s="2">
        <x:v>11507</x:v>
      </x:c>
      <x:c r="D37" s="2" t="s">
        <x:v>119</x:v>
      </x:c>
      <x:c r="E37" s="2">
        <x:v>0</x:v>
      </x:c>
      <x:c r="F37" s="2">
        <x:v>225</x:v>
      </x:c>
      <x:c r="G37" s="3">
        <x:f t="shared" si="0"/>
        <x:v>8593.5243487893604</x:v>
      </x:c>
      <x:c r="H37" s="3">
        <x:v>1933542.9784776061</x:v>
      </x:c>
      <x:c r="I37" s="6" t="e">
        <x:f>SUMIF([1]Pengiriman!AB:AB,B37,[1]Pengiriman!AJ:AJ)</x:f>
        <x:v>#NAME?</x:v>
      </x:c>
    </x:row>
    <x:row r="38">
      <x:c r="A38" s="2" t="s">
        <x:v>144</x:v>
      </x:c>
      <x:c r="B38" s="2">
        <x:v>2810</x:v>
      </x:c>
      <x:c r="C38" s="2">
        <x:v>11508</x:v>
      </x:c>
      <x:c r="D38" s="2" t="s">
        <x:v>119</x:v>
      </x:c>
      <x:c r="E38" s="2">
        <x:v>0</x:v>
      </x:c>
      <x:c r="F38" s="2">
        <x:v>225</x:v>
      </x:c>
      <x:c r="G38" s="3">
        <x:f t="shared" si="0"/>
        <x:v>8593.5243487893604</x:v>
      </x:c>
      <x:c r="H38" s="3">
        <x:v>1933542.9784776061</x:v>
      </x:c>
      <x:c r="I38" s="6" t="e">
        <x:f>SUMIF([1]Pengiriman!AB:AB,B38,[1]Pengiriman!AJ:AJ)</x:f>
        <x:v>#NAME?</x:v>
      </x:c>
    </x:row>
    <x:row r="39">
      <x:c r="A39" s="2" t="s">
        <x:v>144</x:v>
      </x:c>
      <x:c r="B39" s="2">
        <x:v>2813</x:v>
      </x:c>
      <x:c r="C39" s="2">
        <x:v>11509</x:v>
      </x:c>
      <x:c r="D39" s="2" t="s">
        <x:v>104</x:v>
      </x:c>
      <x:c r="E39" s="2">
        <x:v>0</x:v>
      </x:c>
      <x:c r="F39" s="2">
        <x:v>225</x:v>
      </x:c>
      <x:c r="G39" s="3">
        <x:f t="shared" si="0"/>
        <x:v>8593.5243487893604</x:v>
      </x:c>
      <x:c r="H39" s="3">
        <x:v>1933542.9784776061</x:v>
      </x:c>
      <x:c r="I39" s="6" t="e">
        <x:f>SUMIF([1]Pengiriman!AB:AB,B39,[1]Pengiriman!AJ:AJ)</x:f>
        <x:v>#NAME?</x:v>
      </x:c>
    </x:row>
    <x:row r="40">
      <x:c r="A40" s="2" t="s">
        <x:v>144</x:v>
      </x:c>
      <x:c r="B40" s="2">
        <x:v>2816</x:v>
      </x:c>
      <x:c r="C40" s="2">
        <x:v>11510</x:v>
      </x:c>
      <x:c r="D40" s="2" t="s">
        <x:v>104</x:v>
      </x:c>
      <x:c r="E40" s="2">
        <x:v>0</x:v>
      </x:c>
      <x:c r="F40" s="2">
        <x:v>225</x:v>
      </x:c>
      <x:c r="G40" s="3">
        <x:f t="shared" si="0"/>
        <x:v>8593.5243487893604</x:v>
      </x:c>
      <x:c r="H40" s="3">
        <x:v>1933542.9784776061</x:v>
      </x:c>
      <x:c r="I40" s="6" t="e">
        <x:f>SUMIF([1]Pengiriman!AB:AB,B40,[1]Pengiriman!AJ:AJ)</x:f>
        <x:v>#NAME?</x:v>
      </x:c>
    </x:row>
    <x:row r="41">
      <x:c r="A41" s="2" t="s">
        <x:v>144</x:v>
      </x:c>
      <x:c r="B41" s="2">
        <x:v>2821</x:v>
      </x:c>
      <x:c r="C41" s="2">
        <x:v>11511</x:v>
      </x:c>
      <x:c r="D41" s="2" t="s">
        <x:v>146</x:v>
      </x:c>
      <x:c r="E41" s="2">
        <x:v>0</x:v>
      </x:c>
      <x:c r="F41" s="2">
        <x:v>450</x:v>
      </x:c>
      <x:c r="G41" s="3">
        <x:f t="shared" si="0"/>
        <x:v>4534.3990441849173</x:v>
      </x:c>
      <x:c r="H41" s="3">
        <x:v>2040479.5698832129</x:v>
      </x:c>
      <x:c r="I41" s="6" t="e">
        <x:f>SUMIF([1]Pengiriman!AB:AB,B41,[1]Pengiriman!AJ:AJ)</x:f>
        <x:v>#NAME?</x:v>
      </x:c>
    </x:row>
    <x:row r="42">
      <x:c r="A42" s="2" t="s">
        <x:v>144</x:v>
      </x:c>
      <x:c r="B42" s="2">
        <x:v>2827</x:v>
      </x:c>
      <x:c r="C42" s="2">
        <x:v>11512</x:v>
      </x:c>
      <x:c r="D42" s="2" t="s">
        <x:v>146</x:v>
      </x:c>
      <x:c r="E42" s="2">
        <x:v>0</x:v>
      </x:c>
      <x:c r="F42" s="2">
        <x:v>450</x:v>
      </x:c>
      <x:c r="G42" s="3">
        <x:f t="shared" si="0"/>
        <x:v>8593.5243487891403</x:v>
      </x:c>
      <x:c r="H42" s="3">
        <x:v>3867085.956955113</x:v>
      </x:c>
      <x:c r="I42" s="6" t="e">
        <x:f>SUMIF([1]Pengiriman!AB:AB,B42,[1]Pengiriman!AJ:AJ)</x:f>
        <x:v>#NAME?</x:v>
      </x:c>
    </x:row>
    <x:row r="43">
      <x:c r="A43" s="2" t="s">
        <x:v>144</x:v>
      </x:c>
      <x:c r="B43" s="2">
        <x:v>2828</x:v>
      </x:c>
      <x:c r="C43" s="2">
        <x:v>11513</x:v>
      </x:c>
      <x:c r="D43" s="2" t="s">
        <x:v>119</x:v>
      </x:c>
      <x:c r="E43" s="2">
        <x:v>0</x:v>
      </x:c>
      <x:c r="F43" s="2">
        <x:v>225</x:v>
      </x:c>
      <x:c r="G43" s="3">
        <x:f t="shared" si="0"/>
        <x:v>10390.5642463195</x:v>
      </x:c>
      <x:c r="H43" s="3">
        <x:v>2337876.9554218873</x:v>
      </x:c>
      <x:c r="I43" s="6" t="e">
        <x:f>SUMIF([1]Pengiriman!AB:AB,B43,[1]Pengiriman!AJ:AJ)</x:f>
        <x:v>#NAME?</x:v>
      </x:c>
    </x:row>
    <x:row r="44">
      <x:c r="A44" s="2" t="s">
        <x:v>144</x:v>
      </x:c>
      <x:c r="B44" s="2">
        <x:v>2829</x:v>
      </x:c>
      <x:c r="C44" s="2">
        <x:v>11514</x:v>
      </x:c>
      <x:c r="D44" s="2" t="s">
        <x:v>146</x:v>
      </x:c>
      <x:c r="E44" s="2">
        <x:v>0</x:v>
      </x:c>
      <x:c r="F44" s="2">
        <x:v>225</x:v>
      </x:c>
      <x:c r="G44" s="3">
        <x:f t="shared" si="0"/>
        <x:v>9633.3649978831327</x:v>
      </x:c>
      <x:c r="H44" s="3">
        <x:v>2167507.1245237049</x:v>
      </x:c>
      <x:c r="I44" s="6" t="e">
        <x:f>SUMIF([1]Pengiriman!AB:AB,B44,[1]Pengiriman!AJ:AJ)</x:f>
        <x:v>#NAME?</x:v>
      </x:c>
    </x:row>
    <x:row r="45">
      <x:c r="A45" s="2" t="s">
        <x:v>144</x:v>
      </x:c>
      <x:c r="B45" s="2">
        <x:v>2830</x:v>
      </x:c>
      <x:c r="C45" s="2">
        <x:v>11515</x:v>
      </x:c>
      <x:c r="D45" s="2" t="s">
        <x:v>80</x:v>
      </x:c>
      <x:c r="E45" s="2">
        <x:v>0</x:v>
      </x:c>
      <x:c r="F45" s="2">
        <x:v>450</x:v>
      </x:c>
      <x:c r="G45" s="3">
        <x:f t="shared" si="0"/>
        <x:v>8970.3116722034738</x:v>
      </x:c>
      <x:c r="H45" s="3">
        <x:v>4036640.2524915631</x:v>
      </x:c>
      <x:c r="I45" s="6" t="e">
        <x:f>SUMIF([1]Pengiriman!AB:AB,B45,[1]Pengiriman!AJ:AJ)</x:f>
        <x:v>#NAME?</x:v>
      </x:c>
    </x:row>
    <x:row r="46">
      <x:c r="A46" s="2" t="s">
        <x:v>144</x:v>
      </x:c>
      <x:c r="B46" s="2">
        <x:v>2832</x:v>
      </x:c>
      <x:c r="C46" s="2">
        <x:v>11516</x:v>
      </x:c>
      <x:c r="D46" s="2" t="s">
        <x:v>146</x:v>
      </x:c>
      <x:c r="E46" s="2">
        <x:v>0</x:v>
      </x:c>
      <x:c r="F46" s="2">
        <x:v>450</x:v>
      </x:c>
      <x:c r="G46" s="3">
        <x:f t="shared" si="0"/>
        <x:v>4534.3990441849173</x:v>
      </x:c>
      <x:c r="H46" s="3">
        <x:v>2040479.5698832129</x:v>
      </x:c>
      <x:c r="I46" s="6" t="e">
        <x:f>SUMIF([1]Pengiriman!AB:AB,B46,[1]Pengiriman!AJ:AJ)</x:f>
        <x:v>#NAME?</x:v>
      </x:c>
    </x:row>
    <x:row r="47">
      <x:c r="A47" s="2" t="s">
        <x:v>144</x:v>
      </x:c>
      <x:c r="B47" s="2">
        <x:v>2837</x:v>
      </x:c>
      <x:c r="C47" s="2">
        <x:v>11517</x:v>
      </x:c>
      <x:c r="D47" s="2" t="s">
        <x:v>80</x:v>
      </x:c>
      <x:c r="E47" s="2">
        <x:v>0</x:v>
      </x:c>
      <x:c r="F47" s="2">
        <x:v>450</x:v>
      </x:c>
      <x:c r="G47" s="3">
        <x:f t="shared" si="0"/>
        <x:v>4534.3990441849173</x:v>
      </x:c>
      <x:c r="H47" s="3">
        <x:v>2040479.5698832129</x:v>
      </x:c>
      <x:c r="I47" s="6" t="e">
        <x:f>SUMIF([1]Pengiriman!AB:AB,B47,[1]Pengiriman!AJ:AJ)</x:f>
        <x:v>#NAME?</x:v>
      </x:c>
    </x:row>
    <x:row r="48">
      <x:c r="A48" s="2" t="s">
        <x:v>144</x:v>
      </x:c>
      <x:c r="B48" s="2">
        <x:v>2838</x:v>
      </x:c>
      <x:c r="C48" s="2">
        <x:v>11518</x:v>
      </x:c>
      <x:c r="D48" s="2" t="s">
        <x:v>80</x:v>
      </x:c>
      <x:c r="E48" s="2">
        <x:v>0</x:v>
      </x:c>
      <x:c r="F48" s="2">
        <x:v>450</x:v>
      </x:c>
      <x:c r="G48" s="3">
        <x:f t="shared" si="0"/>
        <x:v>4534.3990441849173</x:v>
      </x:c>
      <x:c r="H48" s="3">
        <x:v>2040479.5698832129</x:v>
      </x:c>
      <x:c r="I48" s="6" t="e">
        <x:f>SUMIF([1]Pengiriman!AB:AB,B48,[1]Pengiriman!AJ:AJ)</x:f>
        <x:v>#NAME?</x:v>
      </x:c>
    </x:row>
    <x:row r="49">
      <x:c r="A49" s="2" t="s">
        <x:v>144</x:v>
      </x:c>
      <x:c r="B49" s="2">
        <x:v>2839</x:v>
      </x:c>
      <x:c r="C49" s="2">
        <x:v>11519</x:v>
      </x:c>
      <x:c r="D49" s="2" t="s">
        <x:v>80</x:v>
      </x:c>
      <x:c r="E49" s="2">
        <x:v>0</x:v>
      </x:c>
      <x:c r="F49" s="2">
        <x:v>450</x:v>
      </x:c>
      <x:c r="G49" s="3">
        <x:f t="shared" si="0"/>
        <x:v>4534.3990441849173</x:v>
      </x:c>
      <x:c r="H49" s="3">
        <x:v>2040479.5698832129</x:v>
      </x:c>
      <x:c r="I49" s="6" t="e">
        <x:f>SUMIF([1]Pengiriman!AB:AB,B49,[1]Pengiriman!AJ:AJ)</x:f>
        <x:v>#NAME?</x:v>
      </x:c>
    </x:row>
    <x:row r="50">
      <x:c r="A50" s="2" t="s">
        <x:v>144</x:v>
      </x:c>
      <x:c r="B50" s="2">
        <x:v>2840</x:v>
      </x:c>
      <x:c r="C50" s="2">
        <x:v>11520</x:v>
      </x:c>
      <x:c r="D50" s="2" t="s">
        <x:v>80</x:v>
      </x:c>
      <x:c r="E50" s="2">
        <x:v>0</x:v>
      </x:c>
      <x:c r="F50" s="2">
        <x:v>450</x:v>
      </x:c>
      <x:c r="G50" s="3">
        <x:f t="shared" si="0"/>
        <x:v>4534.3990441849173</x:v>
      </x:c>
      <x:c r="H50" s="3">
        <x:v>2040479.5698832129</x:v>
      </x:c>
      <x:c r="I50" s="6" t="e">
        <x:f>SUMIF([1]Pengiriman!AB:AB,B50,[1]Pengiriman!AJ:AJ)</x:f>
        <x:v>#NAME?</x:v>
      </x:c>
    </x:row>
    <x:row r="51">
      <x:c r="A51" s="2" t="s">
        <x:v>144</x:v>
      </x:c>
      <x:c r="B51" s="2">
        <x:v>2841</x:v>
      </x:c>
      <x:c r="C51" s="2">
        <x:v>11521</x:v>
      </x:c>
      <x:c r="D51" s="2" t="s">
        <x:v>80</x:v>
      </x:c>
      <x:c r="E51" s="2">
        <x:v>0</x:v>
      </x:c>
      <x:c r="F51" s="2">
        <x:v>450</x:v>
      </x:c>
      <x:c r="G51" s="3">
        <x:f t="shared" si="0"/>
        <x:v>4534.3990441849173</x:v>
      </x:c>
      <x:c r="H51" s="3">
        <x:v>2040479.5698832129</x:v>
      </x:c>
      <x:c r="I51" s="6" t="e">
        <x:f>SUMIF([1]Pengiriman!AB:AB,B51,[1]Pengiriman!AJ:AJ)</x:f>
        <x:v>#NAME?</x:v>
      </x:c>
    </x:row>
    <x:row r="52">
      <x:c r="A52" s="2" t="s">
        <x:v>144</x:v>
      </x:c>
      <x:c r="B52" s="2">
        <x:v>2842</x:v>
      </x:c>
      <x:c r="C52" s="2">
        <x:v>11522</x:v>
      </x:c>
      <x:c r="D52" s="2" t="s">
        <x:v>80</x:v>
      </x:c>
      <x:c r="E52" s="2">
        <x:v>0</x:v>
      </x:c>
      <x:c r="F52" s="2">
        <x:v>450</x:v>
      </x:c>
      <x:c r="G52" s="3">
        <x:f t="shared" si="0"/>
        <x:v>4534.3990441849173</x:v>
      </x:c>
      <x:c r="H52" s="3">
        <x:v>2040479.5698832129</x:v>
      </x:c>
      <x:c r="I52" s="6" t="e">
        <x:f>SUMIF([1]Pengiriman!AB:AB,B52,[1]Pengiriman!AJ:AJ)</x:f>
        <x:v>#NAME?</x:v>
      </x:c>
    </x:row>
    <x:row r="53">
      <x:c r="A53" s="2" t="s">
        <x:v>144</x:v>
      </x:c>
      <x:c r="B53" s="2">
        <x:v>2843</x:v>
      </x:c>
      <x:c r="C53" s="2">
        <x:v>11523</x:v>
      </x:c>
      <x:c r="D53" s="2" t="s">
        <x:v>80</x:v>
      </x:c>
      <x:c r="E53" s="2">
        <x:v>0</x:v>
      </x:c>
      <x:c r="F53" s="2">
        <x:v>450</x:v>
      </x:c>
      <x:c r="G53" s="3">
        <x:f t="shared" si="0"/>
        <x:v>4534.3990441849173</x:v>
      </x:c>
      <x:c r="H53" s="3">
        <x:v>2040479.5698832129</x:v>
      </x:c>
      <x:c r="I53" s="6" t="e">
        <x:f>SUMIF([1]Pengiriman!AB:AB,B53,[1]Pengiriman!AJ:AJ)</x:f>
        <x:v>#NAME?</x:v>
      </x:c>
    </x:row>
    <x:row r="54">
      <x:c r="A54" s="2" t="s">
        <x:v>144</x:v>
      </x:c>
      <x:c r="B54" s="2">
        <x:v>2844</x:v>
      </x:c>
      <x:c r="C54" s="2">
        <x:v>11524</x:v>
      </x:c>
      <x:c r="D54" s="2" t="s">
        <x:v>80</x:v>
      </x:c>
      <x:c r="E54" s="2">
        <x:v>0</x:v>
      </x:c>
      <x:c r="F54" s="2">
        <x:v>450</x:v>
      </x:c>
      <x:c r="G54" s="3">
        <x:f t="shared" si="0"/>
        <x:v>4534.3990441849173</x:v>
      </x:c>
      <x:c r="H54" s="3">
        <x:v>2040479.5698832129</x:v>
      </x:c>
      <x:c r="I54" s="6" t="e">
        <x:f>SUMIF([1]Pengiriman!AB:AB,B54,[1]Pengiriman!AJ:AJ)</x:f>
        <x:v>#NAME?</x:v>
      </x:c>
    </x:row>
    <x:row r="55">
      <x:c r="A55" s="2" t="s">
        <x:v>144</x:v>
      </x:c>
      <x:c r="B55" s="2">
        <x:v>2845</x:v>
      </x:c>
      <x:c r="C55" s="2">
        <x:v>11525</x:v>
      </x:c>
      <x:c r="D55" s="2" t="s">
        <x:v>80</x:v>
      </x:c>
      <x:c r="E55" s="2">
        <x:v>0</x:v>
      </x:c>
      <x:c r="F55" s="2">
        <x:v>450</x:v>
      </x:c>
      <x:c r="G55" s="3">
        <x:f t="shared" si="0"/>
        <x:v>4534.3990441849173</x:v>
      </x:c>
      <x:c r="H55" s="3">
        <x:v>2040479.5698832129</x:v>
      </x:c>
      <x:c r="I55" s="6" t="e">
        <x:f>SUMIF([1]Pengiriman!AB:AB,B55,[1]Pengiriman!AJ:AJ)</x:f>
        <x:v>#NAME?</x:v>
      </x:c>
    </x:row>
    <x:row r="56">
      <x:c r="A56" s="2" t="s">
        <x:v>144</x:v>
      </x:c>
      <x:c r="B56" s="2">
        <x:v>2846</x:v>
      </x:c>
      <x:c r="C56" s="2">
        <x:v>11526</x:v>
      </x:c>
      <x:c r="D56" s="2" t="s">
        <x:v>80</x:v>
      </x:c>
      <x:c r="E56" s="2">
        <x:v>0</x:v>
      </x:c>
      <x:c r="F56" s="2">
        <x:v>450</x:v>
      </x:c>
      <x:c r="G56" s="3">
        <x:f t="shared" si="0"/>
        <x:v>4534.3990441849173</x:v>
      </x:c>
      <x:c r="H56" s="3">
        <x:v>2040479.5698832129</x:v>
      </x:c>
      <x:c r="I56" s="6" t="e">
        <x:f>SUMIF([1]Pengiriman!AB:AB,B56,[1]Pengiriman!AJ:AJ)</x:f>
        <x:v>#NAME?</x:v>
      </x:c>
    </x:row>
    <x:row r="57">
      <x:c r="A57" s="2" t="s">
        <x:v>144</x:v>
      </x:c>
      <x:c r="B57" s="2">
        <x:v>2847</x:v>
      </x:c>
      <x:c r="C57" s="2">
        <x:v>11527</x:v>
      </x:c>
      <x:c r="D57" s="2" t="s">
        <x:v>80</x:v>
      </x:c>
      <x:c r="E57" s="2">
        <x:v>0</x:v>
      </x:c>
      <x:c r="F57" s="2">
        <x:v>450</x:v>
      </x:c>
      <x:c r="G57" s="3">
        <x:f t="shared" si="0"/>
        <x:v>4534.3990441849173</x:v>
      </x:c>
      <x:c r="H57" s="3">
        <x:v>2040479.5698832129</x:v>
      </x:c>
      <x:c r="I57" s="6" t="e">
        <x:f>SUMIF([1]Pengiriman!AB:AB,B57,[1]Pengiriman!AJ:AJ)</x:f>
        <x:v>#NAME?</x:v>
      </x:c>
    </x:row>
    <x:row r="58">
      <x:c r="A58" s="2" t="s">
        <x:v>144</x:v>
      </x:c>
      <x:c r="B58" s="2">
        <x:v>2848</x:v>
      </x:c>
      <x:c r="C58" s="2">
        <x:v>11528</x:v>
      </x:c>
      <x:c r="D58" s="2" t="s">
        <x:v>80</x:v>
      </x:c>
      <x:c r="E58" s="2">
        <x:v>0</x:v>
      </x:c>
      <x:c r="F58" s="2">
        <x:v>450</x:v>
      </x:c>
      <x:c r="G58" s="3">
        <x:f t="shared" si="0"/>
        <x:v>4534.3990441849173</x:v>
      </x:c>
      <x:c r="H58" s="3">
        <x:v>2040479.5698832129</x:v>
      </x:c>
      <x:c r="I58" s="6" t="e">
        <x:f>SUMIF([1]Pengiriman!AB:AB,B58,[1]Pengiriman!AJ:AJ)</x:f>
        <x:v>#NAME?</x:v>
      </x:c>
    </x:row>
    <x:row r="59">
      <x:c r="A59" s="2" t="s">
        <x:v>144</x:v>
      </x:c>
      <x:c r="B59" s="2">
        <x:v>2849</x:v>
      </x:c>
      <x:c r="C59" s="2">
        <x:v>11529</x:v>
      </x:c>
      <x:c r="D59" s="2" t="s">
        <x:v>80</x:v>
      </x:c>
      <x:c r="E59" s="2">
        <x:v>0</x:v>
      </x:c>
      <x:c r="F59" s="2">
        <x:v>450</x:v>
      </x:c>
      <x:c r="G59" s="3">
        <x:f t="shared" si="0"/>
        <x:v>4534.3990441849173</x:v>
      </x:c>
      <x:c r="H59" s="3">
        <x:v>2040479.5698832129</x:v>
      </x:c>
      <x:c r="I59" s="6" t="e">
        <x:f>SUMIF([1]Pengiriman!AB:AB,B59,[1]Pengiriman!AJ:AJ)</x:f>
        <x:v>#NAME?</x:v>
      </x:c>
    </x:row>
    <x:row r="60">
      <x:c r="A60" s="2" t="s">
        <x:v>144</x:v>
      </x:c>
      <x:c r="B60" s="2">
        <x:v>2850</x:v>
      </x:c>
      <x:c r="C60" s="2">
        <x:v>11530</x:v>
      </x:c>
      <x:c r="D60" s="2" t="s">
        <x:v>80</x:v>
      </x:c>
      <x:c r="E60" s="2">
        <x:v>0</x:v>
      </x:c>
      <x:c r="F60" s="2">
        <x:v>450</x:v>
      </x:c>
      <x:c r="G60" s="3">
        <x:f t="shared" si="0"/>
        <x:v>4534.3990441849173</x:v>
      </x:c>
      <x:c r="H60" s="3">
        <x:v>2040479.5698832129</x:v>
      </x:c>
      <x:c r="I60" s="6" t="e">
        <x:f>SUMIF([1]Pengiriman!AB:AB,B60,[1]Pengiriman!AJ:AJ)</x:f>
        <x:v>#NAME?</x:v>
      </x:c>
    </x:row>
    <x:row r="61">
      <x:c r="A61" s="2" t="s">
        <x:v>144</x:v>
      </x:c>
      <x:c r="B61" s="2">
        <x:v>2852</x:v>
      </x:c>
      <x:c r="C61" s="2">
        <x:v>11531</x:v>
      </x:c>
      <x:c r="D61" s="2" t="s">
        <x:v>80</x:v>
      </x:c>
      <x:c r="E61" s="2">
        <x:v>0</x:v>
      </x:c>
      <x:c r="F61" s="2">
        <x:v>450</x:v>
      </x:c>
      <x:c r="G61" s="3">
        <x:f t="shared" si="0"/>
        <x:v>5600.6027478886972</x:v>
      </x:c>
      <x:c r="H61" s="3">
        <x:v>2520271.2365499139</x:v>
      </x:c>
      <x:c r="I61" s="6" t="e">
        <x:f>SUMIF([1]Pengiriman!AB:AB,B61,[1]Pengiriman!AJ:AJ)</x:f>
        <x:v>#NAME?</x:v>
      </x:c>
    </x:row>
    <x:row r="62">
      <x:c r="A62" s="2" t="s">
        <x:v>144</x:v>
      </x:c>
      <x:c r="B62" s="2">
        <x:v>2853</x:v>
      </x:c>
      <x:c r="C62" s="2">
        <x:v>11532</x:v>
      </x:c>
      <x:c r="D62" s="2" t="s">
        <x:v>146</x:v>
      </x:c>
      <x:c r="E62" s="2">
        <x:v>0</x:v>
      </x:c>
      <x:c r="F62" s="2">
        <x:v>450</x:v>
      </x:c>
      <x:c r="G62" s="3">
        <x:f t="shared" si="0"/>
        <x:v>6215.6140447738699</x:v>
      </x:c>
      <x:c r="H62" s="3">
        <x:v>2797026.3201482412</x:v>
      </x:c>
      <x:c r="I62" s="6" t="e">
        <x:f>SUMIF([1]Pengiriman!AB:AB,B62,[1]Pengiriman!AJ:AJ)</x:f>
        <x:v>#NAME?</x:v>
      </x:c>
    </x:row>
    <x:row r="63">
      <x:c r="A63" s="2" t="s">
        <x:v>144</x:v>
      </x:c>
      <x:c r="B63" s="2">
        <x:v>2881</x:v>
      </x:c>
      <x:c r="C63" s="2">
        <x:v>11533</x:v>
      </x:c>
      <x:c r="D63" s="2" t="s">
        <x:v>119</x:v>
      </x:c>
      <x:c r="E63" s="2">
        <x:v>0</x:v>
      </x:c>
      <x:c r="F63" s="2">
        <x:v>225</x:v>
      </x:c>
      <x:c r="G63" s="3">
        <x:f t="shared" si="0"/>
        <x:v>10907.487237637906</x:v>
      </x:c>
      <x:c r="H63" s="3">
        <x:v>2454184.6284685289</x:v>
      </x:c>
      <x:c r="I63" s="6" t="e">
        <x:f>SUMIF([1]Pengiriman!AB:AB,B63,[1]Pengiriman!AJ:AJ)</x:f>
        <x:v>#NAME?</x:v>
      </x:c>
    </x:row>
    <x:row r="64">
      <x:c r="A64" s="2" t="s">
        <x:v>144</x:v>
      </x:c>
      <x:c r="B64" s="2">
        <x:v>2883</x:v>
      </x:c>
      <x:c r="C64" s="2">
        <x:v>11534</x:v>
      </x:c>
      <x:c r="D64" s="2" t="s">
        <x:v>104</x:v>
      </x:c>
      <x:c r="E64" s="2">
        <x:v>0</x:v>
      </x:c>
      <x:c r="F64" s="2">
        <x:v>225</x:v>
      </x:c>
      <x:c r="G64" s="3">
        <x:f t="shared" si="0"/>
        <x:v>9725.4319723879344</x:v>
      </x:c>
      <x:c r="H64" s="3">
        <x:v>2188222.1937872851</x:v>
      </x:c>
      <x:c r="I64" s="6" t="e">
        <x:f>SUMIF([1]Pengiriman!AB:AB,B64,[1]Pengiriman!AJ:AJ)</x:f>
        <x:v>#NAME?</x:v>
      </x:c>
    </x:row>
    <x:row r="65">
      <x:c r="A65" s="2" t="s">
        <x:v>144</x:v>
      </x:c>
      <x:c r="B65" s="2">
        <x:v>2885</x:v>
      </x:c>
      <x:c r="C65" s="2">
        <x:v>11535</x:v>
      </x:c>
      <x:c r="D65" s="2" t="s">
        <x:v>146</x:v>
      </x:c>
      <x:c r="E65" s="2">
        <x:v>0</x:v>
      </x:c>
      <x:c r="F65" s="2">
        <x:v>450</x:v>
      </x:c>
      <x:c r="G65" s="3">
        <x:f t="shared" si="0"/>
        <x:v>10255.921106740976</x:v>
      </x:c>
      <x:c r="H65" s="3">
        <x:v>4615164.4980334388</x:v>
      </x:c>
      <x:c r="I65" s="6" t="e">
        <x:f>SUMIF([1]Pengiriman!AB:AB,B65,[1]Pengiriman!AJ:AJ)</x:f>
        <x:v>#NAME?</x:v>
      </x:c>
    </x:row>
    <x:row r="66">
      <x:c r="A66" s="2" t="s">
        <x:v>144</x:v>
      </x:c>
      <x:c r="B66" s="2">
        <x:v>2899</x:v>
      </x:c>
      <x:c r="C66" s="2">
        <x:v>11536</x:v>
      </x:c>
      <x:c r="D66" s="2" t="s">
        <x:v>113</x:v>
      </x:c>
      <x:c r="E66" s="2">
        <x:v>35</x:v>
      </x:c>
      <x:c r="F66" s="2">
        <x:v>225</x:v>
      </x:c>
      <x:c r="G66" s="3">
        <x:f t="shared" si="0"/>
        <x:v>12013.323501010216</x:v>
      </x:c>
      <x:c r="H66" s="3">
        <x:v>2702997.7877272987</x:v>
      </x:c>
      <x:c r="I66" s="6" t="e">
        <x:f>SUMIF([1]Pengiriman!AB:AB,B66,[1]Pengiriman!AJ:AJ)</x:f>
        <x:v>#NAME?</x:v>
      </x:c>
    </x:row>
    <x:row r="67">
      <x:c r="A67" s="2" t="s">
        <x:v>144</x:v>
      </x:c>
      <x:c r="B67" s="2">
        <x:v>2906</x:v>
      </x:c>
      <x:c r="C67" s="2">
        <x:v>11537</x:v>
      </x:c>
      <x:c r="D67" s="2" t="s">
        <x:v>104</x:v>
      </x:c>
      <x:c r="E67" s="2">
        <x:v>0</x:v>
      </x:c>
      <x:c r="F67" s="2">
        <x:v>225</x:v>
      </x:c>
      <x:c r="G67" s="3" t="n">
        <x:f t="shared" ref="G67:G130" si="1">H67/F67</x:f>
        <x:v>11090.890978593921</x:v>
      </x:c>
      <x:c r="H67" s="3">
        <x:v>2495450.4701836323</x:v>
      </x:c>
      <x:c r="I67" s="6" t="e">
        <x:f>SUMIF([1]Pengiriman!AB:AB,B67,[1]Pengiriman!AJ:AJ)</x:f>
        <x:v>#NAME?</x:v>
      </x:c>
    </x:row>
    <x:row r="68">
      <x:c r="A68" s="2" t="s">
        <x:v>144</x:v>
      </x:c>
      <x:c r="B68" s="2">
        <x:v>2914</x:v>
      </x:c>
      <x:c r="C68" s="2">
        <x:v>11538</x:v>
      </x:c>
      <x:c r="D68" s="2" t="s">
        <x:v>104</x:v>
      </x:c>
      <x:c r="E68" s="2">
        <x:v>0</x:v>
      </x:c>
      <x:c r="F68" s="2">
        <x:v>225</x:v>
      </x:c>
      <x:c r="G68" s="3">
        <x:f t="shared" si="1"/>
        <x:v>10468.176257816636</x:v>
      </x:c>
      <x:c r="H68" s="3">
        <x:v>2355339.6580087431</x:v>
      </x:c>
      <x:c r="I68" s="6" t="e">
        <x:f>SUMIF([1]Pengiriman!AB:AB,B68,[1]Pengiriman!AJ:AJ)</x:f>
        <x:v>#NAME?</x:v>
      </x:c>
    </x:row>
    <x:row r="69">
      <x:c r="A69" s="2" t="s">
        <x:v>144</x:v>
      </x:c>
      <x:c r="B69" s="2">
        <x:v>2915</x:v>
      </x:c>
      <x:c r="C69" s="2">
        <x:v>11539</x:v>
      </x:c>
      <x:c r="D69" s="2" t="s">
        <x:v>104</x:v>
      </x:c>
      <x:c r="E69" s="2">
        <x:v>0</x:v>
      </x:c>
      <x:c r="F69" s="2">
        <x:v>225</x:v>
      </x:c>
      <x:c r="G69" s="3">
        <x:f t="shared" si="1"/>
        <x:v>5992.7323775182485</x:v>
      </x:c>
      <x:c r="H69" s="3">
        <x:v>1348364.784941606</x:v>
      </x:c>
      <x:c r="I69" s="6" t="e">
        <x:f>SUMIF([1]Pengiriman!AB:AB,B69,[1]Pengiriman!AJ:AJ)</x:f>
        <x:v>#NAME?</x:v>
      </x:c>
    </x:row>
    <x:row r="70">
      <x:c r="A70" s="2" t="s">
        <x:v>144</x:v>
      </x:c>
      <x:c r="B70" s="2">
        <x:v>2916</x:v>
      </x:c>
      <x:c r="C70" s="2">
        <x:v>11540</x:v>
      </x:c>
      <x:c r="D70" s="2" t="s">
        <x:v>104</x:v>
      </x:c>
      <x:c r="E70" s="2">
        <x:v>0</x:v>
      </x:c>
      <x:c r="F70" s="2">
        <x:v>225</x:v>
      </x:c>
      <x:c r="G70" s="3">
        <x:f t="shared" si="1"/>
        <x:v>5992.7323775182485</x:v>
      </x:c>
      <x:c r="H70" s="3">
        <x:v>1348364.784941606</x:v>
      </x:c>
      <x:c r="I70" s="6" t="e">
        <x:f>SUMIF([1]Pengiriman!AB:AB,B70,[1]Pengiriman!AJ:AJ)</x:f>
        <x:v>#NAME?</x:v>
      </x:c>
    </x:row>
    <x:row r="71">
      <x:c r="A71" s="2" t="s">
        <x:v>144</x:v>
      </x:c>
      <x:c r="B71" s="2">
        <x:v>2917</x:v>
      </x:c>
      <x:c r="C71" s="2">
        <x:v>11541</x:v>
      </x:c>
      <x:c r="D71" s="2" t="s">
        <x:v>104</x:v>
      </x:c>
      <x:c r="E71" s="2">
        <x:v>0</x:v>
      </x:c>
      <x:c r="F71" s="2">
        <x:v>225</x:v>
      </x:c>
      <x:c r="G71" s="3">
        <x:f t="shared" si="1"/>
        <x:v>5992.7323775182485</x:v>
      </x:c>
      <x:c r="H71" s="3">
        <x:v>1348364.784941606</x:v>
      </x:c>
      <x:c r="I71" s="6" t="e">
        <x:f>SUMIF([1]Pengiriman!AB:AB,B71,[1]Pengiriman!AJ:AJ)</x:f>
        <x:v>#NAME?</x:v>
      </x:c>
    </x:row>
    <x:row r="72">
      <x:c r="A72" s="2" t="s">
        <x:v>144</x:v>
      </x:c>
      <x:c r="B72" s="2">
        <x:v>2919</x:v>
      </x:c>
      <x:c r="C72" s="2">
        <x:v>11542</x:v>
      </x:c>
      <x:c r="D72" s="2" t="s">
        <x:v>146</x:v>
      </x:c>
      <x:c r="E72" s="2">
        <x:v>0</x:v>
      </x:c>
      <x:c r="F72" s="2">
        <x:v>450</x:v>
      </x:c>
      <x:c r="G72" s="3">
        <x:f t="shared" si="1"/>
        <x:v>5992.7323775182513</x:v>
      </x:c>
      <x:c r="H72" s="3">
        <x:v>2696729.5698832129</x:v>
      </x:c>
      <x:c r="I72" s="6" t="e">
        <x:f>SUMIF([1]Pengiriman!AB:AB,B72,[1]Pengiriman!AJ:AJ)</x:f>
        <x:v>#NAME?</x:v>
      </x:c>
    </x:row>
    <x:row r="73">
      <x:c r="A73" s="2" t="s">
        <x:v>144</x:v>
      </x:c>
      <x:c r="B73" s="2">
        <x:v>2920</x:v>
      </x:c>
      <x:c r="C73" s="2">
        <x:v>11543</x:v>
      </x:c>
      <x:c r="D73" s="2" t="s">
        <x:v>146</x:v>
      </x:c>
      <x:c r="E73" s="2">
        <x:v>0</x:v>
      </x:c>
      <x:c r="F73" s="2">
        <x:v>450</x:v>
      </x:c>
      <x:c r="G73" s="3">
        <x:f t="shared" si="1"/>
        <x:v>5785.3249701109198</x:v>
      </x:c>
      <x:c r="H73" s="3">
        <x:v>2603396.2365499139</x:v>
      </x:c>
      <x:c r="I73" s="6" t="e">
        <x:f>SUMIF([1]Pengiriman!AB:AB,B73,[1]Pengiriman!AJ:AJ)</x:f>
        <x:v>#NAME?</x:v>
      </x:c>
    </x:row>
    <x:row r="74">
      <x:c r="A74" s="2" t="s">
        <x:v>144</x:v>
      </x:c>
      <x:c r="B74" s="2">
        <x:v>2921</x:v>
      </x:c>
      <x:c r="C74" s="2">
        <x:v>11544</x:v>
      </x:c>
      <x:c r="D74" s="2" t="s">
        <x:v>80</x:v>
      </x:c>
      <x:c r="E74" s="2">
        <x:v>0</x:v>
      </x:c>
      <x:c r="F74" s="2">
        <x:v>450</x:v>
      </x:c>
      <x:c r="G74" s="3">
        <x:f t="shared" si="1"/>
        <x:v>5003.3449593458263</x:v>
      </x:c>
      <x:c r="H74" s="3">
        <x:v>2251505.2317056218</x:v>
      </x:c>
      <x:c r="I74" s="6" t="e">
        <x:f>SUMIF([1]Pengiriman!AB:AB,B74,[1]Pengiriman!AJ:AJ)</x:f>
        <x:v>#NAME?</x:v>
      </x:c>
    </x:row>
    <x:row r="75">
      <x:c r="A75" s="2" t="s">
        <x:v>144</x:v>
      </x:c>
      <x:c r="B75" s="2">
        <x:v>2922</x:v>
      </x:c>
      <x:c r="C75" s="2">
        <x:v>11545</x:v>
      </x:c>
      <x:c r="D75" s="2" t="s">
        <x:v>119</x:v>
      </x:c>
      <x:c r="E75" s="2">
        <x:v>0</x:v>
      </x:c>
      <x:c r="F75" s="2">
        <x:v>225</x:v>
      </x:c>
      <x:c r="G75" s="3">
        <x:f t="shared" si="1"/>
        <x:v>7018.5877418261871</x:v>
      </x:c>
      <x:c r="H75" s="3">
        <x:v>1579182.2419108921</x:v>
      </x:c>
      <x:c r="I75" s="6" t="e">
        <x:f>SUMIF([1]Pengiriman!AB:AB,B75,[1]Pengiriman!AJ:AJ)</x:f>
        <x:v>#NAME?</x:v>
      </x:c>
    </x:row>
    <x:row r="76">
      <x:c r="A76" s="2" t="s">
        <x:v>144</x:v>
      </x:c>
      <x:c r="B76" s="2">
        <x:v>3649</x:v>
      </x:c>
      <x:c r="C76" s="2">
        <x:v>11546</x:v>
      </x:c>
      <x:c r="D76" s="2" t="s">
        <x:v>149</x:v>
      </x:c>
      <x:c r="E76" s="2">
        <x:v>47</x:v>
      </x:c>
      <x:c r="F76" s="2">
        <x:v>225</x:v>
      </x:c>
      <x:c r="G76" s="3">
        <x:f t="shared" si="1"/>
        <x:v>9617.7323775182504</x:v>
      </x:c>
      <x:c r="H76" s="3">
        <x:v>2163989.7849416062</x:v>
      </x:c>
      <x:c r="I76" s="6" t="e">
        <x:f>SUMIF([1]Pengiriman!AB:AB,B76,[1]Pengiriman!AJ:AJ)</x:f>
        <x:v>#NAME?</x:v>
      </x:c>
    </x:row>
    <x:row r="77">
      <x:c r="A77" s="2" t="s">
        <x:v>144</x:v>
      </x:c>
      <x:c r="B77" s="2">
        <x:v>3650</x:v>
      </x:c>
      <x:c r="C77" s="2">
        <x:v>11547</x:v>
      </x:c>
      <x:c r="D77" s="2" t="s">
        <x:v>147</x:v>
      </x:c>
      <x:c r="E77" s="2">
        <x:v>54</x:v>
      </x:c>
      <x:c r="F77" s="2">
        <x:v>225</x:v>
      </x:c>
      <x:c r="G77" s="3">
        <x:f t="shared" si="1"/>
        <x:v>9617.7323775182504</x:v>
      </x:c>
      <x:c r="H77" s="3">
        <x:v>2163989.7849416062</x:v>
      </x:c>
      <x:c r="I77" s="6" t="e">
        <x:f>SUMIF([1]Pengiriman!AB:AB,B77,[1]Pengiriman!AJ:AJ)</x:f>
        <x:v>#NAME?</x:v>
      </x:c>
    </x:row>
    <x:row r="78">
      <x:c r="A78" s="2" t="s">
        <x:v>144</x:v>
      </x:c>
      <x:c r="B78" s="2">
        <x:v>3652</x:v>
      </x:c>
      <x:c r="C78" s="2">
        <x:v>11548</x:v>
      </x:c>
      <x:c r="D78" s="2" t="s">
        <x:v>150</x:v>
      </x:c>
      <x:c r="E78" s="2">
        <x:v>52</x:v>
      </x:c>
      <x:c r="F78" s="2">
        <x:v>225</x:v>
      </x:c>
      <x:c r="G78" s="3">
        <x:f t="shared" si="1"/>
        <x:v>9617.7323775182504</x:v>
      </x:c>
      <x:c r="H78" s="3">
        <x:v>2163989.7849416062</x:v>
      </x:c>
      <x:c r="I78" s="6" t="e">
        <x:f>SUMIF([1]Pengiriman!AB:AB,B78,[1]Pengiriman!AJ:AJ)</x:f>
        <x:v>#NAME?</x:v>
      </x:c>
    </x:row>
    <x:row r="79">
      <x:c r="A79" s="2" t="s">
        <x:v>144</x:v>
      </x:c>
      <x:c r="B79" s="2">
        <x:v>3657</x:v>
      </x:c>
      <x:c r="C79" s="2">
        <x:v>11549</x:v>
      </x:c>
      <x:c r="D79" s="2" t="s">
        <x:v>151</x:v>
      </x:c>
      <x:c r="E79" s="2">
        <x:v>48</x:v>
      </x:c>
      <x:c r="F79" s="2">
        <x:v>225</x:v>
      </x:c>
      <x:c r="G79" s="3">
        <x:f t="shared" si="1"/>
        <x:v>9617.7323775182504</x:v>
      </x:c>
      <x:c r="H79" s="3">
        <x:v>2163989.7849416062</x:v>
      </x:c>
      <x:c r="I79" s="6" t="e">
        <x:f>SUMIF([1]Pengiriman!AB:AB,B79,[1]Pengiriman!AJ:AJ)</x:f>
        <x:v>#NAME?</x:v>
      </x:c>
    </x:row>
    <x:row r="80">
      <x:c r="A80" s="2" t="s">
        <x:v>144</x:v>
      </x:c>
      <x:c r="B80" s="2">
        <x:v>3658</x:v>
      </x:c>
      <x:c r="C80" s="2">
        <x:v>11550</x:v>
      </x:c>
      <x:c r="D80" s="2" t="s">
        <x:v>152</x:v>
      </x:c>
      <x:c r="E80" s="2">
        <x:v>52</x:v>
      </x:c>
      <x:c r="F80" s="2">
        <x:v>225</x:v>
      </x:c>
      <x:c r="G80" s="3">
        <x:f t="shared" si="1"/>
        <x:v>9617.7323775182504</x:v>
      </x:c>
      <x:c r="H80" s="3">
        <x:v>2163989.7849416062</x:v>
      </x:c>
      <x:c r="I80" s="6" t="e">
        <x:f>SUMIF([1]Pengiriman!AB:AB,B80,[1]Pengiriman!AJ:AJ)</x:f>
        <x:v>#NAME?</x:v>
      </x:c>
    </x:row>
    <x:row r="81">
      <x:c r="A81" s="2" t="s">
        <x:v>144</x:v>
      </x:c>
      <x:c r="B81" s="2">
        <x:v>3659</x:v>
      </x:c>
      <x:c r="C81" s="2">
        <x:v>11551</x:v>
      </x:c>
      <x:c r="D81" s="2" t="s">
        <x:v>153</x:v>
      </x:c>
      <x:c r="E81" s="2">
        <x:v>55</x:v>
      </x:c>
      <x:c r="F81" s="2">
        <x:v>225</x:v>
      </x:c>
      <x:c r="G81" s="3">
        <x:f t="shared" si="1"/>
        <x:v>9617.7323775182504</x:v>
      </x:c>
      <x:c r="H81" s="3">
        <x:v>2163989.7849416062</x:v>
      </x:c>
      <x:c r="I81" s="6" t="e">
        <x:f>SUMIF([1]Pengiriman!AB:AB,B81,[1]Pengiriman!AJ:AJ)</x:f>
        <x:v>#NAME?</x:v>
      </x:c>
    </x:row>
    <x:row r="82">
      <x:c r="A82" s="2" t="s">
        <x:v>144</x:v>
      </x:c>
      <x:c r="B82" s="2">
        <x:v>3660</x:v>
      </x:c>
      <x:c r="C82" s="2">
        <x:v>11552</x:v>
      </x:c>
      <x:c r="D82" s="2" t="s">
        <x:v>154</x:v>
      </x:c>
      <x:c r="E82" s="2">
        <x:v>70</x:v>
      </x:c>
      <x:c r="F82" s="2">
        <x:v>225</x:v>
      </x:c>
      <x:c r="G82" s="3">
        <x:f t="shared" si="1"/>
        <x:v>9617.7323775182504</x:v>
      </x:c>
      <x:c r="H82" s="3">
        <x:v>2163989.7849416062</x:v>
      </x:c>
      <x:c r="I82" s="6" t="e">
        <x:f>SUMIF([1]Pengiriman!AB:AB,B82,[1]Pengiriman!AJ:AJ)</x:f>
        <x:v>#NAME?</x:v>
      </x:c>
    </x:row>
    <x:row r="83">
      <x:c r="A83" s="2" t="s">
        <x:v>144</x:v>
      </x:c>
      <x:c r="B83" s="2">
        <x:v>3745</x:v>
      </x:c>
      <x:c r="C83" s="2">
        <x:v>11553</x:v>
      </x:c>
      <x:c r="D83" s="2" t="s">
        <x:v>146</x:v>
      </x:c>
      <x:c r="E83" s="2">
        <x:v>0</x:v>
      </x:c>
      <x:c r="F83" s="2">
        <x:v>450</x:v>
      </x:c>
      <x:c r="G83" s="3">
        <x:f t="shared" si="1"/>
        <x:v>9617.7323775182522</x:v>
      </x:c>
      <x:c r="H83" s="3">
        <x:v>4327979.5698832134</x:v>
      </x:c>
      <x:c r="I83" s="6" t="e">
        <x:f>SUMIF([1]Pengiriman!AB:AB,B83,[1]Pengiriman!AJ:AJ)</x:f>
        <x:v>#NAME?</x:v>
      </x:c>
    </x:row>
    <x:row r="84">
      <x:c r="A84" s="2" t="s">
        <x:v>144</x:v>
      </x:c>
      <x:c r="B84" s="2">
        <x:v>5009</x:v>
      </x:c>
      <x:c r="C84" s="2">
        <x:v>11554</x:v>
      </x:c>
      <x:c r="D84" s="2" t="s">
        <x:v>97</x:v>
      </x:c>
      <x:c r="E84" s="2">
        <x:v>53</x:v>
      </x:c>
      <x:c r="F84" s="2">
        <x:v>225</x:v>
      </x:c>
      <x:c r="G84" s="3">
        <x:f t="shared" si="1"/>
        <x:v>12048.906452872019</x:v>
      </x:c>
      <x:c r="H84" s="3">
        <x:v>2711003.9518962041</x:v>
      </x:c>
      <x:c r="I84" s="6" t="e">
        <x:f>SUMIF([1]Pengiriman!AB:AB,B84,[1]Pengiriman!AJ:AJ)</x:f>
        <x:v>#NAME?</x:v>
      </x:c>
    </x:row>
    <x:row r="85">
      <x:c r="A85" s="2" t="s">
        <x:v>144</x:v>
      </x:c>
      <x:c r="B85" s="2">
        <x:v>5012</x:v>
      </x:c>
      <x:c r="C85" s="2">
        <x:v>11555</x:v>
      </x:c>
      <x:c r="D85" s="2" t="s">
        <x:v>119</x:v>
      </x:c>
      <x:c r="E85" s="2">
        <x:v>0</x:v>
      </x:c>
      <x:c r="F85" s="2">
        <x:v>225</x:v>
      </x:c>
      <x:c r="G85" s="3">
        <x:f t="shared" si="1"/>
        <x:v>11913.955437300108</x:v>
      </x:c>
      <x:c r="H85" s="3">
        <x:v>2680639.9733925243</x:v>
      </x:c>
      <x:c r="I85" s="6" t="e">
        <x:f>SUMIF([1]Pengiriman!AB:AB,B85,[1]Pengiriman!AJ:AJ)</x:f>
        <x:v>#NAME?</x:v>
      </x:c>
    </x:row>
    <x:row r="86">
      <x:c r="A86" s="2" t="s">
        <x:v>144</x:v>
      </x:c>
      <x:c r="B86" s="2">
        <x:v>5014</x:v>
      </x:c>
      <x:c r="C86" s="2">
        <x:v>11556</x:v>
      </x:c>
      <x:c r="D86" s="2" t="s">
        <x:v>80</x:v>
      </x:c>
      <x:c r="E86" s="2">
        <x:v>0</x:v>
      </x:c>
      <x:c r="F86" s="2">
        <x:v>450</x:v>
      </x:c>
      <x:c r="G86" s="3">
        <x:f t="shared" si="1"/>
        <x:v>12031.840306233904</x:v>
      </x:c>
      <x:c r="H86" s="3">
        <x:v>5414328.137805257</x:v>
      </x:c>
      <x:c r="I86" s="6" t="e">
        <x:f>SUMIF([1]Pengiriman!AB:AB,B86,[1]Pengiriman!AJ:AJ)</x:f>
        <x:v>#NAME?</x:v>
      </x:c>
    </x:row>
    <x:row r="87">
      <x:c r="A87" s="2" t="s">
        <x:v>144</x:v>
      </x:c>
      <x:c r="B87" s="2">
        <x:v>5015</x:v>
      </x:c>
      <x:c r="C87" s="2">
        <x:v>11557</x:v>
      </x:c>
      <x:c r="D87" s="2" t="s">
        <x:v>97</x:v>
      </x:c>
      <x:c r="E87" s="2">
        <x:v>53</x:v>
      </x:c>
      <x:c r="F87" s="2">
        <x:v>225</x:v>
      </x:c>
      <x:c r="G87" s="3">
        <x:f t="shared" si="1"/>
        <x:v>12268.587137124709</x:v>
      </x:c>
      <x:c r="H87" s="3">
        <x:v>2760432.1058530593</x:v>
      </x:c>
      <x:c r="I87" s="6" t="e">
        <x:f>SUMIF([1]Pengiriman!AB:AB,B87,[1]Pengiriman!AJ:AJ)</x:f>
        <x:v>#NAME?</x:v>
      </x:c>
    </x:row>
    <x:row r="88">
      <x:c r="A88" s="2" t="s">
        <x:v>144</x:v>
      </x:c>
      <x:c r="B88" s="2">
        <x:v>5019</x:v>
      </x:c>
      <x:c r="C88" s="2">
        <x:v>11558</x:v>
      </x:c>
      <x:c r="D88" s="2" t="s">
        <x:v>110</x:v>
      </x:c>
      <x:c r="E88" s="2">
        <x:v>48</x:v>
      </x:c>
      <x:c r="F88" s="2">
        <x:v>225</x:v>
      </x:c>
      <x:c r="G88" s="3">
        <x:f t="shared" si="1"/>
        <x:v>12087.544372789827</x:v>
      </x:c>
      <x:c r="H88" s="3">
        <x:v>2719697.483877711</x:v>
      </x:c>
      <x:c r="I88" s="6" t="e">
        <x:f>SUMIF([1]Pengiriman!AB:AB,B88,[1]Pengiriman!AJ:AJ)</x:f>
        <x:v>#NAME?</x:v>
      </x:c>
    </x:row>
    <x:row r="89">
      <x:c r="A89" s="2" t="s">
        <x:v>144</x:v>
      </x:c>
      <x:c r="B89" s="2">
        <x:v>5022</x:v>
      </x:c>
      <x:c r="C89" s="2">
        <x:v>11559</x:v>
      </x:c>
      <x:c r="D89" s="2" t="s">
        <x:v>146</x:v>
      </x:c>
      <x:c r="E89" s="2">
        <x:v>0</x:v>
      </x:c>
      <x:c r="F89" s="2">
        <x:v>450</x:v>
      </x:c>
      <x:c r="G89" s="3">
        <x:f t="shared" si="1"/>
        <x:v>4534.3990441849173</x:v>
      </x:c>
      <x:c r="H89" s="3">
        <x:v>2040479.5698832129</x:v>
      </x:c>
      <x:c r="I89" s="6" t="e">
        <x:f>SUMIF([1]Pengiriman!AB:AB,B89,[1]Pengiriman!AJ:AJ)</x:f>
        <x:v>#NAME?</x:v>
      </x:c>
    </x:row>
    <x:row r="90">
      <x:c r="A90" s="2" t="s">
        <x:v>144</x:v>
      </x:c>
      <x:c r="B90" s="2">
        <x:v>5023</x:v>
      </x:c>
      <x:c r="C90" s="2">
        <x:v>11560</x:v>
      </x:c>
      <x:c r="D90" s="2" t="s">
        <x:v>146</x:v>
      </x:c>
      <x:c r="E90" s="2">
        <x:v>0</x:v>
      </x:c>
      <x:c r="F90" s="2">
        <x:v>450</x:v>
      </x:c>
      <x:c r="G90" s="3">
        <x:f t="shared" si="1"/>
        <x:v>4534.3990441849173</x:v>
      </x:c>
      <x:c r="H90" s="3">
        <x:v>2040479.5698832129</x:v>
      </x:c>
      <x:c r="I90" s="6" t="e">
        <x:f>SUMIF([1]Pengiriman!AB:AB,B90,[1]Pengiriman!AJ:AJ)</x:f>
        <x:v>#NAME?</x:v>
      </x:c>
    </x:row>
    <x:row r="91">
      <x:c r="A91" s="2" t="s">
        <x:v>144</x:v>
      </x:c>
      <x:c r="B91" s="2">
        <x:v>5024</x:v>
      </x:c>
      <x:c r="C91" s="2">
        <x:v>11561</x:v>
      </x:c>
      <x:c r="D91" s="2" t="s">
        <x:v>146</x:v>
      </x:c>
      <x:c r="E91" s="2">
        <x:v>0</x:v>
      </x:c>
      <x:c r="F91" s="2">
        <x:v>225</x:v>
      </x:c>
      <x:c r="G91" s="3">
        <x:f t="shared" si="1"/>
        <x:v>4903.1235682800198</x:v>
      </x:c>
      <x:c r="H91" s="3">
        <x:v>1103202.8028630044</x:v>
      </x:c>
      <x:c r="I91" s="6" t="e">
        <x:f>SUMIF([1]Pengiriman!AB:AB,B91,[1]Pengiriman!AJ:AJ)</x:f>
        <x:v>#NAME?</x:v>
      </x:c>
    </x:row>
    <x:row r="92">
      <x:c r="A92" s="2" t="s">
        <x:v>144</x:v>
      </x:c>
      <x:c r="B92" s="2">
        <x:v>5025</x:v>
      </x:c>
      <x:c r="C92" s="2">
        <x:v>11562</x:v>
      </x:c>
      <x:c r="D92" s="2" t="s">
        <x:v>80</x:v>
      </x:c>
      <x:c r="E92" s="2">
        <x:v>0</x:v>
      </x:c>
      <x:c r="F92" s="2">
        <x:v>450</x:v>
      </x:c>
      <x:c r="G92" s="3">
        <x:f t="shared" si="1"/>
        <x:v>4507.5501132349618</x:v>
      </x:c>
      <x:c r="H92" s="3">
        <x:v>2028397.5509557328</x:v>
      </x:c>
      <x:c r="I92" s="6" t="e">
        <x:f>SUMIF([1]Pengiriman!AB:AB,B92,[1]Pengiriman!AJ:AJ)</x:f>
        <x:v>#NAME?</x:v>
      </x:c>
    </x:row>
    <x:row r="93">
      <x:c r="A93" s="2" t="s">
        <x:v>144</x:v>
      </x:c>
      <x:c r="B93" s="2">
        <x:v>5026</x:v>
      </x:c>
      <x:c r="C93" s="2">
        <x:v>11563</x:v>
      </x:c>
      <x:c r="D93" s="2" t="s">
        <x:v>80</x:v>
      </x:c>
      <x:c r="E93" s="2">
        <x:v>0</x:v>
      </x:c>
      <x:c r="F93" s="2">
        <x:v>450</x:v>
      </x:c>
      <x:c r="G93" s="3">
        <x:f t="shared" si="1"/>
        <x:v>4507.5501132349618</x:v>
      </x:c>
      <x:c r="H93" s="3">
        <x:v>2028397.5509557328</x:v>
      </x:c>
      <x:c r="I93" s="6" t="e">
        <x:f>SUMIF([1]Pengiriman!AB:AB,B93,[1]Pengiriman!AJ:AJ)</x:f>
        <x:v>#NAME?</x:v>
      </x:c>
    </x:row>
    <x:row r="94">
      <x:c r="A94" s="2" t="s">
        <x:v>144</x:v>
      </x:c>
      <x:c r="B94" s="2">
        <x:v>5027</x:v>
      </x:c>
      <x:c r="C94" s="2">
        <x:v>11564</x:v>
      </x:c>
      <x:c r="D94" s="2" t="s">
        <x:v>80</x:v>
      </x:c>
      <x:c r="E94" s="2">
        <x:v>0</x:v>
      </x:c>
      <x:c r="F94" s="2">
        <x:v>450</x:v>
      </x:c>
      <x:c r="G94" s="3">
        <x:f t="shared" si="1"/>
        <x:v>4507.5501132349618</x:v>
      </x:c>
      <x:c r="H94" s="3">
        <x:v>2028397.5509557328</x:v>
      </x:c>
      <x:c r="I94" s="6" t="e">
        <x:f>SUMIF([1]Pengiriman!AB:AB,B94,[1]Pengiriman!AJ:AJ)</x:f>
        <x:v>#NAME?</x:v>
      </x:c>
    </x:row>
    <x:row r="95">
      <x:c r="A95" s="2" t="s">
        <x:v>144</x:v>
      </x:c>
      <x:c r="B95" s="2">
        <x:v>5028</x:v>
      </x:c>
      <x:c r="C95" s="2">
        <x:v>11565</x:v>
      </x:c>
      <x:c r="D95" s="2" t="s">
        <x:v>80</x:v>
      </x:c>
      <x:c r="E95" s="2">
        <x:v>0</x:v>
      </x:c>
      <x:c r="F95" s="2">
        <x:v>450</x:v>
      </x:c>
      <x:c r="G95" s="3">
        <x:f t="shared" si="1"/>
        <x:v>4507.5501132349618</x:v>
      </x:c>
      <x:c r="H95" s="3">
        <x:v>2028397.5509557328</x:v>
      </x:c>
      <x:c r="I95" s="6" t="e">
        <x:f>SUMIF([1]Pengiriman!AB:AB,B95,[1]Pengiriman!AJ:AJ)</x:f>
        <x:v>#NAME?</x:v>
      </x:c>
    </x:row>
    <x:row r="96">
      <x:c r="A96" s="2" t="s">
        <x:v>144</x:v>
      </x:c>
      <x:c r="B96" s="2">
        <x:v>5029</x:v>
      </x:c>
      <x:c r="C96" s="2">
        <x:v>11566</x:v>
      </x:c>
      <x:c r="D96" s="2" t="s">
        <x:v>80</x:v>
      </x:c>
      <x:c r="E96" s="2">
        <x:v>0</x:v>
      </x:c>
      <x:c r="F96" s="2">
        <x:v>450</x:v>
      </x:c>
      <x:c r="G96" s="3">
        <x:f t="shared" si="1"/>
        <x:v>4507.5501132349618</x:v>
      </x:c>
      <x:c r="H96" s="3">
        <x:v>2028397.5509557328</x:v>
      </x:c>
      <x:c r="I96" s="6" t="e">
        <x:f>SUMIF([1]Pengiriman!AB:AB,B96,[1]Pengiriman!AJ:AJ)</x:f>
        <x:v>#NAME?</x:v>
      </x:c>
    </x:row>
    <x:row r="97">
      <x:c r="A97" s="2" t="s">
        <x:v>144</x:v>
      </x:c>
      <x:c r="B97" s="2">
        <x:v>5030</x:v>
      </x:c>
      <x:c r="C97" s="2">
        <x:v>11567</x:v>
      </x:c>
      <x:c r="D97" s="2" t="s">
        <x:v>104</x:v>
      </x:c>
      <x:c r="E97" s="2">
        <x:v>0</x:v>
      </x:c>
      <x:c r="F97" s="2">
        <x:v>225</x:v>
      </x:c>
      <x:c r="G97" s="3">
        <x:f t="shared" si="1"/>
        <x:v>12372.752295197024</x:v>
      </x:c>
      <x:c r="H97" s="3">
        <x:v>2783869.2664193306</x:v>
      </x:c>
      <x:c r="I97" s="6" t="e">
        <x:f>SUMIF([1]Pengiriman!AB:AB,B97,[1]Pengiriman!AJ:AJ)</x:f>
        <x:v>#NAME?</x:v>
      </x:c>
    </x:row>
    <x:row r="98">
      <x:c r="A98" s="2" t="s">
        <x:v>144</x:v>
      </x:c>
      <x:c r="B98" s="2">
        <x:v>5078</x:v>
      </x:c>
      <x:c r="C98" s="2">
        <x:v>11568</x:v>
      </x:c>
      <x:c r="D98" s="2" t="s">
        <x:v>146</x:v>
      </x:c>
      <x:c r="E98" s="2">
        <x:v>0</x:v>
      </x:c>
      <x:c r="F98" s="2">
        <x:v>450</x:v>
      </x:c>
      <x:c r="G98" s="3">
        <x:f t="shared" si="1"/>
        <x:v>7165.0247302442513</x:v>
      </x:c>
      <x:c r="H98" s="3">
        <x:v>3224261.1286099129</x:v>
      </x:c>
      <x:c r="I98" s="6" t="e">
        <x:f>SUMIF([1]Pengiriman!AB:AB,B98,[1]Pengiriman!AJ:AJ)</x:f>
        <x:v>#NAME?</x:v>
      </x:c>
    </x:row>
    <x:row r="99">
      <x:c r="A99" s="2" t="s">
        <x:v>144</x:v>
      </x:c>
      <x:c r="B99" s="2">
        <x:v>5109</x:v>
      </x:c>
      <x:c r="C99" s="2">
        <x:v>11569</x:v>
      </x:c>
      <x:c r="D99" s="2" t="s">
        <x:v>146</x:v>
      </x:c>
      <x:c r="E99" s="2">
        <x:v>0</x:v>
      </x:c>
      <x:c r="F99" s="2">
        <x:v>450</x:v>
      </x:c>
      <x:c r="G99" s="3">
        <x:f t="shared" si="1"/>
        <x:v>11719.269813194896</x:v>
      </x:c>
      <x:c r="H99" s="3">
        <x:v>5273671.4159377031</x:v>
      </x:c>
      <x:c r="I99" s="6" t="e">
        <x:f>SUMIF([1]Pengiriman!AB:AB,B99,[1]Pengiriman!AJ:AJ)</x:f>
        <x:v>#NAME?</x:v>
      </x:c>
    </x:row>
    <x:row r="100">
      <x:c r="A100" s="2" t="s">
        <x:v>144</x:v>
      </x:c>
      <x:c r="B100" s="2">
        <x:v>5138</x:v>
      </x:c>
      <x:c r="C100" s="2">
        <x:v>11570</x:v>
      </x:c>
      <x:c r="D100" s="2" t="s">
        <x:v>119</x:v>
      </x:c>
      <x:c r="E100" s="2">
        <x:v>0</x:v>
      </x:c>
      <x:c r="F100" s="2">
        <x:v>225</x:v>
      </x:c>
      <x:c r="G100" s="3">
        <x:f t="shared" si="1"/>
        <x:v>10933.665019651811</x:v>
      </x:c>
      <x:c r="H100" s="3">
        <x:v>2460074.6294216574</x:v>
      </x:c>
      <x:c r="I100" s="6" t="e">
        <x:f>SUMIF([1]Pengiriman!AB:AB,B100,[1]Pengiriman!AJ:AJ)</x:f>
        <x:v>#NAME?</x:v>
      </x:c>
    </x:row>
    <x:row r="101">
      <x:c r="A101" s="2" t="s">
        <x:v>144</x:v>
      </x:c>
      <x:c r="B101" s="2">
        <x:v>5145</x:v>
      </x:c>
      <x:c r="C101" s="2">
        <x:v>11571</x:v>
      </x:c>
      <x:c r="D101" s="2" t="s">
        <x:v>104</x:v>
      </x:c>
      <x:c r="E101" s="2">
        <x:v>0</x:v>
      </x:c>
      <x:c r="F101" s="2">
        <x:v>225</x:v>
      </x:c>
      <x:c r="G101" s="3">
        <x:f t="shared" si="1"/>
        <x:v>11447.983870967941</x:v>
      </x:c>
      <x:c r="H101" s="3">
        <x:v>2575796.3709677868</x:v>
      </x:c>
      <x:c r="I101" s="6" t="e">
        <x:f>SUMIF([1]Pengiriman!AB:AB,B101,[1]Pengiriman!AJ:AJ)</x:f>
        <x:v>#NAME?</x:v>
      </x:c>
    </x:row>
    <x:row r="102">
      <x:c r="A102" s="2" t="s">
        <x:v>144</x:v>
      </x:c>
      <x:c r="B102" s="2">
        <x:v>5147</x:v>
      </x:c>
      <x:c r="C102" s="2">
        <x:v>11572</x:v>
      </x:c>
      <x:c r="D102" s="2" t="s">
        <x:v>119</x:v>
      </x:c>
      <x:c r="E102" s="2">
        <x:v>0</x:v>
      </x:c>
      <x:c r="F102" s="2">
        <x:v>225</x:v>
      </x:c>
      <x:c r="G102" s="3">
        <x:f t="shared" si="1"/>
        <x:v>10930.823208325428</x:v>
      </x:c>
      <x:c r="H102" s="3">
        <x:v>2459435.2218732215</x:v>
      </x:c>
      <x:c r="I102" s="6" t="e">
        <x:f>SUMIF([1]Pengiriman!AB:AB,B102,[1]Pengiriman!AJ:AJ)</x:f>
        <x:v>#NAME?</x:v>
      </x:c>
    </x:row>
    <x:row r="103">
      <x:c r="A103" s="2" t="s">
        <x:v>144</x:v>
      </x:c>
      <x:c r="B103" s="2">
        <x:v>5148</x:v>
      </x:c>
      <x:c r="C103" s="2">
        <x:v>11573</x:v>
      </x:c>
      <x:c r="D103" s="2" t="s">
        <x:v>146</x:v>
      </x:c>
      <x:c r="E103" s="2">
        <x:v>0</x:v>
      </x:c>
      <x:c r="F103" s="2">
        <x:v>450</x:v>
      </x:c>
      <x:c r="G103" s="3">
        <x:f t="shared" si="1"/>
        <x:v>10985.343157700623</x:v>
      </x:c>
      <x:c r="H103" s="3">
        <x:v>4943404.4209652804</x:v>
      </x:c>
      <x:c r="I103" s="6" t="e">
        <x:f>SUMIF([1]Pengiriman!AB:AB,B103,[1]Pengiriman!AJ:AJ)</x:f>
        <x:v>#NAME?</x:v>
      </x:c>
    </x:row>
    <x:row r="104">
      <x:c r="A104" s="2" t="s">
        <x:v>144</x:v>
      </x:c>
      <x:c r="B104" s="2">
        <x:v>5149</x:v>
      </x:c>
      <x:c r="C104" s="2">
        <x:v>11574</x:v>
      </x:c>
      <x:c r="D104" s="2" t="s">
        <x:v>146</x:v>
      </x:c>
      <x:c r="E104" s="2">
        <x:v>0</x:v>
      </x:c>
      <x:c r="F104" s="2">
        <x:v>450</x:v>
      </x:c>
      <x:c r="G104" s="3">
        <x:f t="shared" si="1"/>
        <x:v>4000</x:v>
      </x:c>
      <x:c r="H104" s="3">
        <x:v>1800000</x:v>
      </x:c>
      <x:c r="I104" s="6" t="e">
        <x:f>SUMIF([1]Pengiriman!AB:AB,B104,[1]Pengiriman!AJ:AJ)</x:f>
        <x:v>#NAME?</x:v>
      </x:c>
    </x:row>
    <x:row r="105">
      <x:c r="A105" s="2" t="s">
        <x:v>144</x:v>
      </x:c>
      <x:c r="B105" s="2">
        <x:v>5150</x:v>
      </x:c>
      <x:c r="C105" s="2">
        <x:v>11575</x:v>
      </x:c>
      <x:c r="D105" s="2" t="s">
        <x:v>146</x:v>
      </x:c>
      <x:c r="E105" s="2">
        <x:v>0</x:v>
      </x:c>
      <x:c r="F105" s="2">
        <x:v>450</x:v>
      </x:c>
      <x:c r="G105" s="3">
        <x:f t="shared" si="1"/>
        <x:v>4000</x:v>
      </x:c>
      <x:c r="H105" s="3">
        <x:v>1800000</x:v>
      </x:c>
      <x:c r="I105" s="6" t="e">
        <x:f>SUMIF([1]Pengiriman!AB:AB,B105,[1]Pengiriman!AJ:AJ)</x:f>
        <x:v>#NAME?</x:v>
      </x:c>
    </x:row>
    <x:row r="106">
      <x:c r="A106" s="2" t="s">
        <x:v>144</x:v>
      </x:c>
      <x:c r="B106" s="2">
        <x:v>5151</x:v>
      </x:c>
      <x:c r="C106" s="2">
        <x:v>11576</x:v>
      </x:c>
      <x:c r="D106" s="2" t="s">
        <x:v>146</x:v>
      </x:c>
      <x:c r="E106" s="2">
        <x:v>0</x:v>
      </x:c>
      <x:c r="F106" s="2">
        <x:v>450</x:v>
      </x:c>
      <x:c r="G106" s="3">
        <x:f t="shared" si="1"/>
        <x:v>4000</x:v>
      </x:c>
      <x:c r="H106" s="3">
        <x:v>1800000</x:v>
      </x:c>
      <x:c r="I106" s="6" t="e">
        <x:f>SUMIF([1]Pengiriman!AB:AB,B106,[1]Pengiriman!AJ:AJ)</x:f>
        <x:v>#NAME?</x:v>
      </x:c>
    </x:row>
    <x:row r="107">
      <x:c r="A107" s="2" t="s">
        <x:v>144</x:v>
      </x:c>
      <x:c r="B107" s="2">
        <x:v>5152</x:v>
      </x:c>
      <x:c r="C107" s="2">
        <x:v>11577</x:v>
      </x:c>
      <x:c r="D107" s="2" t="s">
        <x:v>80</x:v>
      </x:c>
      <x:c r="E107" s="2">
        <x:v>0</x:v>
      </x:c>
      <x:c r="F107" s="2">
        <x:v>450</x:v>
      </x:c>
      <x:c r="G107" s="3">
        <x:f t="shared" si="1"/>
        <x:v>2870.2965611813997</x:v>
      </x:c>
      <x:c r="H107" s="3">
        <x:v>1291633.4525316299</x:v>
      </x:c>
      <x:c r="I107" s="6" t="e">
        <x:f>SUMIF([1]Pengiriman!AB:AB,B107,[1]Pengiriman!AJ:AJ)</x:f>
        <x:v>#NAME?</x:v>
      </x:c>
    </x:row>
    <x:row r="108">
      <x:c r="A108" s="2" t="s">
        <x:v>144</x:v>
      </x:c>
      <x:c r="B108" s="2">
        <x:v>5153</x:v>
      </x:c>
      <x:c r="C108" s="2">
        <x:v>11578</x:v>
      </x:c>
      <x:c r="D108" s="2" t="s">
        <x:v>146</x:v>
      </x:c>
      <x:c r="E108" s="2">
        <x:v>0</x:v>
      </x:c>
      <x:c r="F108" s="2">
        <x:v>450</x:v>
      </x:c>
      <x:c r="G108" s="3">
        <x:f t="shared" si="1"/>
        <x:v>5044.741722794598</x:v>
      </x:c>
      <x:c r="H108" s="3">
        <x:v>2270133.7752575693</x:v>
      </x:c>
      <x:c r="I108" s="6" t="e">
        <x:f>SUMIF([1]Pengiriman!AB:AB,B108,[1]Pengiriman!AJ:AJ)</x:f>
        <x:v>#NAME?</x:v>
      </x:c>
    </x:row>
    <x:row r="109">
      <x:c r="A109" s="2" t="s">
        <x:v>144</x:v>
      </x:c>
      <x:c r="B109" s="2">
        <x:v>5155</x:v>
      </x:c>
      <x:c r="C109" s="2">
        <x:v>11579</x:v>
      </x:c>
      <x:c r="D109" s="2" t="s">
        <x:v>101</x:v>
      </x:c>
      <x:c r="E109" s="2">
        <x:v>38</x:v>
      </x:c>
      <x:c r="F109" s="2">
        <x:v>225</x:v>
      </x:c>
      <x:c r="G109" s="3">
        <x:f t="shared" si="1"/>
        <x:v>12534.321421193481</x:v>
      </x:c>
      <x:c r="H109" s="3">
        <x:v>2820222.3197685331</x:v>
      </x:c>
      <x:c r="I109" s="6" t="e">
        <x:f>SUMIF([1]Pengiriman!AB:AB,B109,[1]Pengiriman!AJ:AJ)</x:f>
        <x:v>#NAME?</x:v>
      </x:c>
    </x:row>
    <x:row r="110">
      <x:c r="A110" s="2" t="s">
        <x:v>144</x:v>
      </x:c>
      <x:c r="B110" s="2">
        <x:v>5156</x:v>
      </x:c>
      <x:c r="C110" s="2">
        <x:v>11580</x:v>
      </x:c>
      <x:c r="D110" s="2" t="s">
        <x:v>80</x:v>
      </x:c>
      <x:c r="E110" s="2">
        <x:v>0</x:v>
      </x:c>
      <x:c r="F110" s="2">
        <x:v>450</x:v>
      </x:c>
      <x:c r="G110" s="3">
        <x:f t="shared" si="1"/>
        <x:v>4114.1914191418882</x:v>
      </x:c>
      <x:c r="H110" s="3">
        <x:v>1851386.1386138499</x:v>
      </x:c>
      <x:c r="I110" s="6" t="e">
        <x:f>SUMIF([1]Pengiriman!AB:AB,B110,[1]Pengiriman!AJ:AJ)</x:f>
        <x:v>#NAME?</x:v>
      </x:c>
    </x:row>
    <x:row r="111">
      <x:c r="A111" s="2" t="s">
        <x:v>144</x:v>
      </x:c>
      <x:c r="B111" s="2">
        <x:v>5157</x:v>
      </x:c>
      <x:c r="C111" s="2">
        <x:v>11581</x:v>
      </x:c>
      <x:c r="D111" s="2" t="s">
        <x:v>80</x:v>
      </x:c>
      <x:c r="E111" s="2">
        <x:v>0</x:v>
      </x:c>
      <x:c r="F111" s="2">
        <x:v>450</x:v>
      </x:c>
      <x:c r="G111" s="3">
        <x:f t="shared" si="1"/>
        <x:v>4114.1914191418882</x:v>
      </x:c>
      <x:c r="H111" s="3">
        <x:v>1851386.1386138499</x:v>
      </x:c>
      <x:c r="I111" s="6" t="e">
        <x:f>SUMIF([1]Pengiriman!AB:AB,B111,[1]Pengiriman!AJ:AJ)</x:f>
        <x:v>#NAME?</x:v>
      </x:c>
    </x:row>
    <x:row r="112">
      <x:c r="A112" s="2" t="s">
        <x:v>144</x:v>
      </x:c>
      <x:c r="B112" s="2">
        <x:v>5158</x:v>
      </x:c>
      <x:c r="C112" s="2">
        <x:v>11582</x:v>
      </x:c>
      <x:c r="D112" s="2" t="s">
        <x:v>80</x:v>
      </x:c>
      <x:c r="E112" s="2">
        <x:v>0</x:v>
      </x:c>
      <x:c r="F112" s="2">
        <x:v>450</x:v>
      </x:c>
      <x:c r="G112" s="3">
        <x:f t="shared" si="1"/>
        <x:v>4114.1914191418882</x:v>
      </x:c>
      <x:c r="H112" s="3">
        <x:v>1851386.1386138499</x:v>
      </x:c>
      <x:c r="I112" s="6" t="e">
        <x:f>SUMIF([1]Pengiriman!AB:AB,B112,[1]Pengiriman!AJ:AJ)</x:f>
        <x:v>#NAME?</x:v>
      </x:c>
    </x:row>
    <x:row r="113">
      <x:c r="A113" s="2" t="s">
        <x:v>144</x:v>
      </x:c>
      <x:c r="B113" s="2">
        <x:v>5159</x:v>
      </x:c>
      <x:c r="C113" s="2">
        <x:v>11583</x:v>
      </x:c>
      <x:c r="D113" s="2" t="s">
        <x:v>80</x:v>
      </x:c>
      <x:c r="E113" s="2">
        <x:v>0</x:v>
      </x:c>
      <x:c r="F113" s="2">
        <x:v>450</x:v>
      </x:c>
      <x:c r="G113" s="3">
        <x:f t="shared" si="1"/>
        <x:v>4114.1914191418882</x:v>
      </x:c>
      <x:c r="H113" s="3">
        <x:v>1851386.1386138499</x:v>
      </x:c>
      <x:c r="I113" s="6" t="e">
        <x:f>SUMIF([1]Pengiriman!AB:AB,B113,[1]Pengiriman!AJ:AJ)</x:f>
        <x:v>#NAME?</x:v>
      </x:c>
    </x:row>
    <x:row r="114">
      <x:c r="A114" s="2" t="s">
        <x:v>144</x:v>
      </x:c>
      <x:c r="B114" s="2">
        <x:v>5160</x:v>
      </x:c>
      <x:c r="C114" s="2">
        <x:v>11584</x:v>
      </x:c>
      <x:c r="D114" s="2" t="s">
        <x:v>80</x:v>
      </x:c>
      <x:c r="E114" s="2">
        <x:v>0</x:v>
      </x:c>
      <x:c r="F114" s="2">
        <x:v>450</x:v>
      </x:c>
      <x:c r="G114" s="3">
        <x:f t="shared" si="1"/>
        <x:v>4114.1914191418882</x:v>
      </x:c>
      <x:c r="H114" s="3">
        <x:v>1851386.1386138499</x:v>
      </x:c>
      <x:c r="I114" s="6" t="e">
        <x:f>SUMIF([1]Pengiriman!AB:AB,B114,[1]Pengiriman!AJ:AJ)</x:f>
        <x:v>#NAME?</x:v>
      </x:c>
    </x:row>
    <x:row r="115">
      <x:c r="A115" s="2" t="s">
        <x:v>144</x:v>
      </x:c>
      <x:c r="B115" s="2">
        <x:v>5161</x:v>
      </x:c>
      <x:c r="C115" s="2">
        <x:v>11585</x:v>
      </x:c>
      <x:c r="D115" s="2" t="s">
        <x:v>80</x:v>
      </x:c>
      <x:c r="E115" s="2">
        <x:v>0</x:v>
      </x:c>
      <x:c r="F115" s="2">
        <x:v>450</x:v>
      </x:c>
      <x:c r="G115" s="3">
        <x:f t="shared" si="1"/>
        <x:v>4114.1914191418882</x:v>
      </x:c>
      <x:c r="H115" s="3">
        <x:v>1851386.1386138499</x:v>
      </x:c>
      <x:c r="I115" s="6" t="e">
        <x:f>SUMIF([1]Pengiriman!AB:AB,B115,[1]Pengiriman!AJ:AJ)</x:f>
        <x:v>#NAME?</x:v>
      </x:c>
    </x:row>
    <x:row r="116">
      <x:c r="A116" s="2" t="s">
        <x:v>144</x:v>
      </x:c>
      <x:c r="B116" s="2">
        <x:v>5162</x:v>
      </x:c>
      <x:c r="C116" s="2">
        <x:v>11586</x:v>
      </x:c>
      <x:c r="D116" s="2" t="s">
        <x:v>80</x:v>
      </x:c>
      <x:c r="E116" s="2">
        <x:v>0</x:v>
      </x:c>
      <x:c r="F116" s="2">
        <x:v>450</x:v>
      </x:c>
      <x:c r="G116" s="3">
        <x:f t="shared" si="1"/>
        <x:v>5576.6939508344112</x:v>
      </x:c>
      <x:c r="H116" s="3">
        <x:v>2509512.2778754849</x:v>
      </x:c>
      <x:c r="I116" s="6" t="e">
        <x:f>SUMIF([1]Pengiriman!AB:AB,B116,[1]Pengiriman!AJ:AJ)</x:f>
        <x:v>#NAME?</x:v>
      </x:c>
    </x:row>
    <x:row r="117">
      <x:c r="A117" s="2" t="s">
        <x:v>144</x:v>
      </x:c>
      <x:c r="B117" s="2">
        <x:v>5163</x:v>
      </x:c>
      <x:c r="C117" s="2">
        <x:v>11587</x:v>
      </x:c>
      <x:c r="D117" s="2" t="s">
        <x:v>112</x:v>
      </x:c>
      <x:c r="E117" s="2">
        <x:v>47</x:v>
      </x:c>
      <x:c r="F117" s="2">
        <x:v>225</x:v>
      </x:c>
      <x:c r="G117" s="3">
        <x:f t="shared" si="1"/>
        <x:v>12534.321421193481</x:v>
      </x:c>
      <x:c r="H117" s="3">
        <x:v>2820222.3197685331</x:v>
      </x:c>
      <x:c r="I117" s="6" t="e">
        <x:f>SUMIF([1]Pengiriman!AB:AB,B117,[1]Pengiriman!AJ:AJ)</x:f>
        <x:v>#NAME?</x:v>
      </x:c>
    </x:row>
    <x:row r="118">
      <x:c r="A118" s="2" t="s">
        <x:v>144</x:v>
      </x:c>
      <x:c r="B118" s="2">
        <x:v>5164</x:v>
      </x:c>
      <x:c r="C118" s="2">
        <x:v>11588</x:v>
      </x:c>
      <x:c r="D118" s="2" t="s">
        <x:v>80</x:v>
      </x:c>
      <x:c r="E118" s="2">
        <x:v>0</x:v>
      </x:c>
      <x:c r="F118" s="2">
        <x:v>450</x:v>
      </x:c>
      <x:c r="G118" s="3">
        <x:f t="shared" si="1"/>
        <x:v>2866.747230614289</x:v>
      </x:c>
      <x:c r="H118" s="3">
        <x:v>1290036.2537764302</x:v>
      </x:c>
      <x:c r="I118" s="6" t="e">
        <x:f>SUMIF([1]Pengiriman!AB:AB,B118,[1]Pengiriman!AJ:AJ)</x:f>
        <x:v>#NAME?</x:v>
      </x:c>
    </x:row>
    <x:row r="119">
      <x:c r="A119" s="2" t="s">
        <x:v>144</x:v>
      </x:c>
      <x:c r="B119" s="2">
        <x:v>5165</x:v>
      </x:c>
      <x:c r="C119" s="2">
        <x:v>11589</x:v>
      </x:c>
      <x:c r="D119" s="2" t="s">
        <x:v>80</x:v>
      </x:c>
      <x:c r="E119" s="2">
        <x:v>0</x:v>
      </x:c>
      <x:c r="F119" s="2">
        <x:v>450</x:v>
      </x:c>
      <x:c r="G119" s="3">
        <x:f t="shared" si="1"/>
        <x:v>2866.747230614289</x:v>
      </x:c>
      <x:c r="H119" s="3">
        <x:v>1290036.2537764302</x:v>
      </x:c>
      <x:c r="I119" s="6" t="e">
        <x:f>SUMIF([1]Pengiriman!AB:AB,B119,[1]Pengiriman!AJ:AJ)</x:f>
        <x:v>#NAME?</x:v>
      </x:c>
    </x:row>
    <x:row r="120">
      <x:c r="A120" s="2" t="s">
        <x:v>144</x:v>
      </x:c>
      <x:c r="B120" s="2">
        <x:v>5199</x:v>
      </x:c>
      <x:c r="C120" s="2">
        <x:v>11590</x:v>
      </x:c>
      <x:c r="D120" s="2" t="s">
        <x:v>113</x:v>
      </x:c>
      <x:c r="E120" s="2">
        <x:v>36</x:v>
      </x:c>
      <x:c r="F120" s="2">
        <x:v>225</x:v>
      </x:c>
      <x:c r="G120" s="3">
        <x:f t="shared" si="1"/>
        <x:v>11015.684476882914</x:v>
      </x:c>
      <x:c r="H120" s="3">
        <x:v>2478529.0072986558</x:v>
      </x:c>
      <x:c r="I120" s="6" t="e">
        <x:f>SUMIF([1]Pengiriman!AB:AB,B120,[1]Pengiriman!AJ:AJ)</x:f>
        <x:v>#NAME?</x:v>
      </x:c>
    </x:row>
    <x:row r="121">
      <x:c r="A121" s="2" t="s">
        <x:v>144</x:v>
      </x:c>
      <x:c r="B121" s="2">
        <x:v>5200</x:v>
      </x:c>
      <x:c r="C121" s="2">
        <x:v>11591</x:v>
      </x:c>
      <x:c r="D121" s="2" t="s">
        <x:v>110</x:v>
      </x:c>
      <x:c r="E121" s="2">
        <x:v>45</x:v>
      </x:c>
      <x:c r="F121" s="2">
        <x:v>225</x:v>
      </x:c>
      <x:c r="G121" s="3">
        <x:f t="shared" si="1"/>
        <x:v>11110.27957535265</x:v>
      </x:c>
      <x:c r="H121" s="3">
        <x:v>2499812.9044543463</x:v>
      </x:c>
      <x:c r="I121" s="6" t="e">
        <x:f>SUMIF([1]Pengiriman!AB:AB,B121,[1]Pengiriman!AJ:AJ)</x:f>
        <x:v>#NAME?</x:v>
      </x:c>
    </x:row>
    <x:row r="122">
      <x:c r="A122" s="2" t="s">
        <x:v>144</x:v>
      </x:c>
      <x:c r="B122" s="2">
        <x:v>5207</x:v>
      </x:c>
      <x:c r="C122" s="2">
        <x:v>11592</x:v>
      </x:c>
      <x:c r="D122" s="2" t="s">
        <x:v>80</x:v>
      </x:c>
      <x:c r="E122" s="2">
        <x:v>0</x:v>
      </x:c>
      <x:c r="F122" s="2">
        <x:v>450</x:v>
      </x:c>
      <x:c r="G122" s="3">
        <x:f t="shared" si="1"/>
        <x:v>2920.2684417494665</x:v>
      </x:c>
      <x:c r="H122" s="3">
        <x:v>1314120.79878726</x:v>
      </x:c>
      <x:c r="I122" s="6" t="e">
        <x:f>SUMIF([1]Pengiriman!AB:AB,B122,[1]Pengiriman!AJ:AJ)</x:f>
        <x:v>#NAME?</x:v>
      </x:c>
    </x:row>
    <x:row r="123">
      <x:c r="A123" s="2" t="s">
        <x:v>144</x:v>
      </x:c>
      <x:c r="B123" s="2">
        <x:v>5208</x:v>
      </x:c>
      <x:c r="C123" s="2">
        <x:v>11593</x:v>
      </x:c>
      <x:c r="D123" s="2" t="s">
        <x:v>101</x:v>
      </x:c>
      <x:c r="E123" s="2">
        <x:v>36</x:v>
      </x:c>
      <x:c r="F123" s="2">
        <x:v>225</x:v>
      </x:c>
      <x:c r="G123" s="3">
        <x:f t="shared" si="1"/>
        <x:v>10747.013093290252</x:v>
      </x:c>
      <x:c r="H123" s="3">
        <x:v>2418077.9459903068</x:v>
      </x:c>
      <x:c r="I123" s="6" t="e">
        <x:f>SUMIF([1]Pengiriman!AB:AB,B123,[1]Pengiriman!AJ:AJ)</x:f>
        <x:v>#NAME?</x:v>
      </x:c>
    </x:row>
    <x:row r="124">
      <x:c r="A124" s="2" t="s">
        <x:v>144</x:v>
      </x:c>
      <x:c r="B124" s="2">
        <x:v>5209</x:v>
      </x:c>
      <x:c r="C124" s="2">
        <x:v>11594</x:v>
      </x:c>
      <x:c r="D124" s="2" t="s">
        <x:v>101</x:v>
      </x:c>
      <x:c r="E124" s="2">
        <x:v>34</x:v>
      </x:c>
      <x:c r="F124" s="2">
        <x:v>225</x:v>
      </x:c>
      <x:c r="G124" s="3">
        <x:f t="shared" si="1"/>
        <x:v>11563.921521943617</x:v>
      </x:c>
      <x:c r="H124" s="3">
        <x:v>2601882.3424373139</x:v>
      </x:c>
      <x:c r="I124" s="6" t="e">
        <x:f>SUMIF([1]Pengiriman!AB:AB,B124,[1]Pengiriman!AJ:AJ)</x:f>
        <x:v>#NAME?</x:v>
      </x:c>
    </x:row>
    <x:row r="125">
      <x:c r="A125" s="2" t="s">
        <x:v>144</x:v>
      </x:c>
      <x:c r="B125" s="2">
        <x:v>5228</x:v>
      </x:c>
      <x:c r="C125" s="2">
        <x:v>11595</x:v>
      </x:c>
      <x:c r="D125" s="2" t="s">
        <x:v>146</x:v>
      </x:c>
      <x:c r="E125" s="2">
        <x:v>0</x:v>
      </x:c>
      <x:c r="F125" s="2">
        <x:v>450</x:v>
      </x:c>
      <x:c r="G125" s="3">
        <x:f t="shared" si="1"/>
        <x:v>11218.134988405551</x:v>
      </x:c>
      <x:c r="H125" s="3">
        <x:v>5048160.7447824981</x:v>
      </x:c>
      <x:c r="I125" s="6" t="e">
        <x:f>SUMIF([1]Pengiriman!AB:AB,B125,[1]Pengiriman!AJ:AJ)</x:f>
        <x:v>#NAME?</x:v>
      </x:c>
    </x:row>
    <x:row r="126">
      <x:c r="A126" s="2" t="s">
        <x:v>144</x:v>
      </x:c>
      <x:c r="B126" s="2">
        <x:v>5230</x:v>
      </x:c>
      <x:c r="C126" s="2">
        <x:v>11596</x:v>
      </x:c>
      <x:c r="D126" s="2" t="s">
        <x:v>119</x:v>
      </x:c>
      <x:c r="E126" s="2">
        <x:v>0</x:v>
      </x:c>
      <x:c r="F126" s="2">
        <x:v>225</x:v>
      </x:c>
      <x:c r="G126" s="3">
        <x:f t="shared" si="1"/>
        <x:v>11953.850907863773</x:v>
      </x:c>
      <x:c r="H126" s="3">
        <x:v>2689616.4542693486</x:v>
      </x:c>
      <x:c r="I126" s="6" t="e">
        <x:f>SUMIF([1]Pengiriman!AB:AB,B126,[1]Pengiriman!AJ:AJ)</x:f>
        <x:v>#NAME?</x:v>
      </x:c>
    </x:row>
    <x:row r="127">
      <x:c r="A127" s="2" t="s">
        <x:v>144</x:v>
      </x:c>
      <x:c r="B127" s="2">
        <x:v>5238</x:v>
      </x:c>
      <x:c r="C127" s="2">
        <x:v>11597</x:v>
      </x:c>
      <x:c r="D127" s="2" t="s">
        <x:v>110</x:v>
      </x:c>
      <x:c r="E127" s="2">
        <x:v>44</x:v>
      </x:c>
      <x:c r="F127" s="2">
        <x:v>225</x:v>
      </x:c>
      <x:c r="G127" s="3">
        <x:f t="shared" si="1"/>
        <x:v>12042.475783380929</x:v>
      </x:c>
      <x:c r="H127" s="3">
        <x:v>2709557.0512607088</x:v>
      </x:c>
      <x:c r="I127" s="6" t="e">
        <x:f>SUMIF([1]Pengiriman!AB:AB,B127,[1]Pengiriman!AJ:AJ)</x:f>
        <x:v>#NAME?</x:v>
      </x:c>
    </x:row>
    <x:row r="128">
      <x:c r="A128" s="2" t="s">
        <x:v>144</x:v>
      </x:c>
      <x:c r="B128" s="2">
        <x:v>5245</x:v>
      </x:c>
      <x:c r="C128" s="2">
        <x:v>11598</x:v>
      </x:c>
      <x:c r="D128" s="2" t="s">
        <x:v>112</x:v>
      </x:c>
      <x:c r="E128" s="2">
        <x:v>45</x:v>
      </x:c>
      <x:c r="F128" s="2">
        <x:v>225</x:v>
      </x:c>
      <x:c r="G128" s="3">
        <x:f t="shared" si="1"/>
        <x:v>11881.608133086369</x:v>
      </x:c>
      <x:c r="H128" s="3">
        <x:v>2673361.8299444332</x:v>
      </x:c>
      <x:c r="I128" s="6" t="e">
        <x:f>SUMIF([1]Pengiriman!AB:AB,B128,[1]Pengiriman!AJ:AJ)</x:f>
        <x:v>#NAME?</x:v>
      </x:c>
    </x:row>
    <x:row r="129">
      <x:c r="A129" s="2" t="s">
        <x:v>144</x:v>
      </x:c>
      <x:c r="B129" s="2">
        <x:v>5247</x:v>
      </x:c>
      <x:c r="C129" s="2">
        <x:v>11599</x:v>
      </x:c>
      <x:c r="D129" s="2" t="s">
        <x:v>95</x:v>
      </x:c>
      <x:c r="E129" s="2">
        <x:v>56</x:v>
      </x:c>
      <x:c r="F129" s="2">
        <x:v>225</x:v>
      </x:c>
      <x:c r="G129" s="3">
        <x:f t="shared" si="1"/>
        <x:v>11881.446803785235</x:v>
      </x:c>
      <x:c r="H129" s="3">
        <x:v>2673325.530851678</x:v>
      </x:c>
      <x:c r="I129" s="6" t="e">
        <x:f>SUMIF([1]Pengiriman!AB:AB,B129,[1]Pengiriman!AJ:AJ)</x:f>
        <x:v>#NAME?</x:v>
      </x:c>
    </x:row>
    <x:row r="130">
      <x:c r="A130" s="2" t="s">
        <x:v>144</x:v>
      </x:c>
      <x:c r="B130" s="2">
        <x:v>5255</x:v>
      </x:c>
      <x:c r="C130" s="2">
        <x:v>11600</x:v>
      </x:c>
      <x:c r="D130" s="2" t="s">
        <x:v>119</x:v>
      </x:c>
      <x:c r="E130" s="2">
        <x:v>0</x:v>
      </x:c>
      <x:c r="F130" s="2">
        <x:v>225</x:v>
      </x:c>
      <x:c r="G130" s="3">
        <x:f t="shared" si="1"/>
        <x:v>10183.841393244349</x:v>
      </x:c>
      <x:c r="H130" s="3">
        <x:v>2291364.3134799786</x:v>
      </x:c>
      <x:c r="I130" s="6" t="e">
        <x:f>SUMIF([1]Pengiriman!AB:AB,B130,[1]Pengiriman!AJ:AJ)</x:f>
        <x:v>#NAME?</x:v>
      </x:c>
    </x:row>
    <x:row r="131">
      <x:c r="A131" s="2" t="s">
        <x:v>144</x:v>
      </x:c>
      <x:c r="B131" s="2">
        <x:v>5256</x:v>
      </x:c>
      <x:c r="C131" s="2">
        <x:v>11601</x:v>
      </x:c>
      <x:c r="D131" s="2" t="s">
        <x:v>104</x:v>
      </x:c>
      <x:c r="E131" s="2">
        <x:v>0</x:v>
      </x:c>
      <x:c r="F131" s="2">
        <x:v>225</x:v>
      </x:c>
      <x:c r="G131" s="3" t="n">
        <x:f t="shared" ref="G131:G194" si="2">H131/F131</x:f>
        <x:v>11447.940695653126</x:v>
      </x:c>
      <x:c r="H131" s="3">
        <x:v>2575786.6565219532</x:v>
      </x:c>
      <x:c r="I131" s="6" t="e">
        <x:f>SUMIF([1]Pengiriman!AB:AB,B131,[1]Pengiriman!AJ:AJ)</x:f>
        <x:v>#NAME?</x:v>
      </x:c>
    </x:row>
    <x:row r="132">
      <x:c r="A132" s="2" t="s">
        <x:v>144</x:v>
      </x:c>
      <x:c r="B132" s="2">
        <x:v>5259</x:v>
      </x:c>
      <x:c r="C132" s="2">
        <x:v>11602</x:v>
      </x:c>
      <x:c r="D132" s="2" t="s">
        <x:v>146</x:v>
      </x:c>
      <x:c r="E132" s="2">
        <x:v>0</x:v>
      </x:c>
      <x:c r="F132" s="2">
        <x:v>450</x:v>
      </x:c>
      <x:c r="G132" s="3">
        <x:f t="shared" si="2"/>
        <x:v>10519.226374884014</x:v>
      </x:c>
      <x:c r="H132" s="3">
        <x:v>4733651.8686978063</x:v>
      </x:c>
      <x:c r="I132" s="6" t="e">
        <x:f>SUMIF([1]Pengiriman!AB:AB,B132,[1]Pengiriman!AJ:AJ)</x:f>
        <x:v>#NAME?</x:v>
      </x:c>
    </x:row>
    <x:row r="133">
      <x:c r="A133" s="2" t="s">
        <x:v>144</x:v>
      </x:c>
      <x:c r="B133" s="2">
        <x:v>5260</x:v>
      </x:c>
      <x:c r="C133" s="2">
        <x:v>11603</x:v>
      </x:c>
      <x:c r="D133" s="2" t="s">
        <x:v>80</x:v>
      </x:c>
      <x:c r="E133" s="2">
        <x:v>0</x:v>
      </x:c>
      <x:c r="F133" s="2">
        <x:v>450</x:v>
      </x:c>
      <x:c r="G133" s="3">
        <x:f t="shared" si="2"/>
        <x:v>16563.564279448401</x:v>
      </x:c>
      <x:c r="H133" s="3">
        <x:v>7453603.9257517802</x:v>
      </x:c>
      <x:c r="I133" s="6" t="e">
        <x:f>SUMIF([1]Pengiriman!AB:AB,B133,[1]Pengiriman!AJ:AJ)</x:f>
        <x:v>#NAME?</x:v>
      </x:c>
    </x:row>
    <x:row r="134">
      <x:c r="A134" s="2" t="s">
        <x:v>144</x:v>
      </x:c>
      <x:c r="B134" s="2">
        <x:v>5261</x:v>
      </x:c>
      <x:c r="C134" s="2">
        <x:v>11604</x:v>
      </x:c>
      <x:c r="D134" s="2" t="s">
        <x:v>80</x:v>
      </x:c>
      <x:c r="E134" s="2">
        <x:v>0</x:v>
      </x:c>
      <x:c r="F134" s="2">
        <x:v>450</x:v>
      </x:c>
      <x:c r="G134" s="3">
        <x:f t="shared" si="2"/>
        <x:v>16563.564279448401</x:v>
      </x:c>
      <x:c r="H134" s="3">
        <x:v>7453603.9257517802</x:v>
      </x:c>
      <x:c r="I134" s="6" t="e">
        <x:f>SUMIF([1]Pengiriman!AB:AB,B134,[1]Pengiriman!AJ:AJ)</x:f>
        <x:v>#NAME?</x:v>
      </x:c>
    </x:row>
    <x:row r="135">
      <x:c r="A135" s="2" t="s">
        <x:v>144</x:v>
      </x:c>
      <x:c r="B135" s="2">
        <x:v>5262</x:v>
      </x:c>
      <x:c r="C135" s="2">
        <x:v>11605</x:v>
      </x:c>
      <x:c r="D135" s="2" t="s">
        <x:v>80</x:v>
      </x:c>
      <x:c r="E135" s="2">
        <x:v>0</x:v>
      </x:c>
      <x:c r="F135" s="2">
        <x:v>450</x:v>
      </x:c>
      <x:c r="G135" s="3">
        <x:f t="shared" si="2"/>
        <x:v>17252.854397172585</x:v>
      </x:c>
      <x:c r="H135" s="3">
        <x:v>7763784.4787276629</x:v>
      </x:c>
      <x:c r="I135" s="6" t="e">
        <x:f>SUMIF([1]Pengiriman!AB:AB,B135,[1]Pengiriman!AJ:AJ)</x:f>
        <x:v>#NAME?</x:v>
      </x:c>
    </x:row>
    <x:row r="136">
      <x:c r="A136" s="2" t="s">
        <x:v>144</x:v>
      </x:c>
      <x:c r="B136" s="2">
        <x:v>5264</x:v>
      </x:c>
      <x:c r="C136" s="2">
        <x:v>11606</x:v>
      </x:c>
      <x:c r="D136" s="2" t="s">
        <x:v>80</x:v>
      </x:c>
      <x:c r="E136" s="2">
        <x:v>0</x:v>
      </x:c>
      <x:c r="F136" s="2">
        <x:v>450</x:v>
      </x:c>
      <x:c r="G136" s="3">
        <x:f t="shared" si="2"/>
        <x:v>5370.3892215568221</x:v>
      </x:c>
      <x:c r="H136" s="3">
        <x:v>2416675.1497005699</x:v>
      </x:c>
      <x:c r="I136" s="6" t="e">
        <x:f>SUMIF([1]Pengiriman!AB:AB,B136,[1]Pengiriman!AJ:AJ)</x:f>
        <x:v>#NAME?</x:v>
      </x:c>
    </x:row>
    <x:row r="137">
      <x:c r="A137" s="2" t="s">
        <x:v>144</x:v>
      </x:c>
      <x:c r="B137" s="2">
        <x:v>5265</x:v>
      </x:c>
      <x:c r="C137" s="2">
        <x:v>11607</x:v>
      </x:c>
      <x:c r="D137" s="2" t="s">
        <x:v>80</x:v>
      </x:c>
      <x:c r="E137" s="2">
        <x:v>0</x:v>
      </x:c>
      <x:c r="F137" s="2">
        <x:v>450</x:v>
      </x:c>
      <x:c r="G137" s="3">
        <x:f t="shared" si="2"/>
        <x:v>3151.5195338732224</x:v>
      </x:c>
      <x:c r="H137" s="3">
        <x:v>1418183.79024295</x:v>
      </x:c>
      <x:c r="I137" s="6" t="e">
        <x:f>SUMIF([1]Pengiriman!AB:AB,B137,[1]Pengiriman!AJ:AJ)</x:f>
        <x:v>#NAME?</x:v>
      </x:c>
    </x:row>
    <x:row r="138">
      <x:c r="A138" s="2" t="s">
        <x:v>144</x:v>
      </x:c>
      <x:c r="B138" s="2">
        <x:v>5268</x:v>
      </x:c>
      <x:c r="C138" s="2">
        <x:v>11608</x:v>
      </x:c>
      <x:c r="D138" s="2" t="s">
        <x:v>80</x:v>
      </x:c>
      <x:c r="E138" s="2">
        <x:v>0</x:v>
      </x:c>
      <x:c r="F138" s="2">
        <x:v>450</x:v>
      </x:c>
      <x:c r="G138" s="3">
        <x:f t="shared" si="2"/>
        <x:v>2934.2109421291998</x:v>
      </x:c>
      <x:c r="H138" s="3">
        <x:v>1320394.92395814</x:v>
      </x:c>
      <x:c r="I138" s="6" t="e">
        <x:f>SUMIF([1]Pengiriman!AB:AB,B138,[1]Pengiriman!AJ:AJ)</x:f>
        <x:v>#NAME?</x:v>
      </x:c>
    </x:row>
    <x:row r="139">
      <x:c r="A139" s="2" t="s">
        <x:v>144</x:v>
      </x:c>
      <x:c r="B139" s="2">
        <x:v>5269</x:v>
      </x:c>
      <x:c r="C139" s="2">
        <x:v>11609</x:v>
      </x:c>
      <x:c r="D139" s="2" t="s">
        <x:v>80</x:v>
      </x:c>
      <x:c r="E139" s="2">
        <x:v>0</x:v>
      </x:c>
      <x:c r="F139" s="2">
        <x:v>450</x:v>
      </x:c>
      <x:c r="G139" s="3">
        <x:f t="shared" si="2"/>
        <x:v>2934.2109421291998</x:v>
      </x:c>
      <x:c r="H139" s="3">
        <x:v>1320394.92395814</x:v>
      </x:c>
      <x:c r="I139" s="6" t="e">
        <x:f>SUMIF([1]Pengiriman!AB:AB,B139,[1]Pengiriman!AJ:AJ)</x:f>
        <x:v>#NAME?</x:v>
      </x:c>
    </x:row>
    <x:row r="140">
      <x:c r="A140" s="2" t="s">
        <x:v>144</x:v>
      </x:c>
      <x:c r="B140" s="2">
        <x:v>5270</x:v>
      </x:c>
      <x:c r="C140" s="2">
        <x:v>11610</x:v>
      </x:c>
      <x:c r="D140" s="2" t="s">
        <x:v>80</x:v>
      </x:c>
      <x:c r="E140" s="2">
        <x:v>0</x:v>
      </x:c>
      <x:c r="F140" s="2">
        <x:v>450</x:v>
      </x:c>
      <x:c r="G140" s="3">
        <x:f t="shared" si="2"/>
        <x:v>2934.2109421291998</x:v>
      </x:c>
      <x:c r="H140" s="3">
        <x:v>1320394.92395814</x:v>
      </x:c>
      <x:c r="I140" s="6" t="e">
        <x:f>SUMIF([1]Pengiriman!AB:AB,B140,[1]Pengiriman!AJ:AJ)</x:f>
        <x:v>#NAME?</x:v>
      </x:c>
    </x:row>
    <x:row r="141">
      <x:c r="A141" s="2" t="s">
        <x:v>144</x:v>
      </x:c>
      <x:c r="B141" s="2">
        <x:v>5271</x:v>
      </x:c>
      <x:c r="C141" s="2">
        <x:v>11611</x:v>
      </x:c>
      <x:c r="D141" s="2" t="s">
        <x:v>80</x:v>
      </x:c>
      <x:c r="E141" s="2">
        <x:v>0</x:v>
      </x:c>
      <x:c r="F141" s="2">
        <x:v>450</x:v>
      </x:c>
      <x:c r="G141" s="3">
        <x:f t="shared" si="2"/>
        <x:v>2934.2109421291998</x:v>
      </x:c>
      <x:c r="H141" s="3">
        <x:v>1320394.92395814</x:v>
      </x:c>
      <x:c r="I141" s="6" t="e">
        <x:f>SUMIF([1]Pengiriman!AB:AB,B141,[1]Pengiriman!AJ:AJ)</x:f>
        <x:v>#NAME?</x:v>
      </x:c>
    </x:row>
    <x:row r="142">
      <x:c r="A142" s="2" t="s">
        <x:v>144</x:v>
      </x:c>
      <x:c r="B142" s="2">
        <x:v>5272</x:v>
      </x:c>
      <x:c r="C142" s="2">
        <x:v>11612</x:v>
      </x:c>
      <x:c r="D142" s="2" t="s">
        <x:v>80</x:v>
      </x:c>
      <x:c r="E142" s="2">
        <x:v>0</x:v>
      </x:c>
      <x:c r="F142" s="2">
        <x:v>450</x:v>
      </x:c>
      <x:c r="G142" s="3">
        <x:f t="shared" si="2"/>
        <x:v>2934.2109421291998</x:v>
      </x:c>
      <x:c r="H142" s="3">
        <x:v>1320394.92395814</x:v>
      </x:c>
      <x:c r="I142" s="6" t="e">
        <x:f>SUMIF([1]Pengiriman!AB:AB,B142,[1]Pengiriman!AJ:AJ)</x:f>
        <x:v>#NAME?</x:v>
      </x:c>
    </x:row>
    <x:row r="143">
      <x:c r="A143" s="2" t="s">
        <x:v>144</x:v>
      </x:c>
      <x:c r="B143" s="2">
        <x:v>5273</x:v>
      </x:c>
      <x:c r="C143" s="2">
        <x:v>11613</x:v>
      </x:c>
      <x:c r="D143" s="2" t="s">
        <x:v>80</x:v>
      </x:c>
      <x:c r="E143" s="2">
        <x:v>0</x:v>
      </x:c>
      <x:c r="F143" s="2">
        <x:v>450</x:v>
      </x:c>
      <x:c r="G143" s="3">
        <x:f t="shared" si="2"/>
        <x:v>2934.2109421291998</x:v>
      </x:c>
      <x:c r="H143" s="3">
        <x:v>1320394.92395814</x:v>
      </x:c>
      <x:c r="I143" s="6" t="e">
        <x:f>SUMIF([1]Pengiriman!AB:AB,B143,[1]Pengiriman!AJ:AJ)</x:f>
        <x:v>#NAME?</x:v>
      </x:c>
    </x:row>
    <x:row r="144">
      <x:c r="A144" s="2" t="s">
        <x:v>144</x:v>
      </x:c>
      <x:c r="B144" s="2">
        <x:v>5274</x:v>
      </x:c>
      <x:c r="C144" s="2">
        <x:v>11614</x:v>
      </x:c>
      <x:c r="D144" s="2" t="s">
        <x:v>80</x:v>
      </x:c>
      <x:c r="E144" s="2">
        <x:v>0</x:v>
      </x:c>
      <x:c r="F144" s="2">
        <x:v>450</x:v>
      </x:c>
      <x:c r="G144" s="3">
        <x:f t="shared" si="2"/>
        <x:v>2934.2109421291998</x:v>
      </x:c>
      <x:c r="H144" s="3">
        <x:v>1320394.92395814</x:v>
      </x:c>
      <x:c r="I144" s="6" t="e">
        <x:f>SUMIF([1]Pengiriman!AB:AB,B144,[1]Pengiriman!AJ:AJ)</x:f>
        <x:v>#NAME?</x:v>
      </x:c>
    </x:row>
    <x:row r="145">
      <x:c r="A145" s="2" t="s">
        <x:v>144</x:v>
      </x:c>
      <x:c r="B145" s="2">
        <x:v>5275</x:v>
      </x:c>
      <x:c r="C145" s="2">
        <x:v>11615</x:v>
      </x:c>
      <x:c r="D145" s="2" t="s">
        <x:v>80</x:v>
      </x:c>
      <x:c r="E145" s="2">
        <x:v>0</x:v>
      </x:c>
      <x:c r="F145" s="2">
        <x:v>450</x:v>
      </x:c>
      <x:c r="G145" s="3">
        <x:f t="shared" si="2"/>
        <x:v>2934.2109421291998</x:v>
      </x:c>
      <x:c r="H145" s="3">
        <x:v>1320394.92395814</x:v>
      </x:c>
      <x:c r="I145" s="6" t="e">
        <x:f>SUMIF([1]Pengiriman!AB:AB,B145,[1]Pengiriman!AJ:AJ)</x:f>
        <x:v>#NAME?</x:v>
      </x:c>
    </x:row>
    <x:row r="146">
      <x:c r="A146" s="2" t="s">
        <x:v>144</x:v>
      </x:c>
      <x:c r="B146" s="2">
        <x:v>5276</x:v>
      </x:c>
      <x:c r="C146" s="2">
        <x:v>11616</x:v>
      </x:c>
      <x:c r="D146" s="2" t="s">
        <x:v>80</x:v>
      </x:c>
      <x:c r="E146" s="2">
        <x:v>0</x:v>
      </x:c>
      <x:c r="F146" s="2">
        <x:v>450</x:v>
      </x:c>
      <x:c r="G146" s="3">
        <x:f t="shared" si="2"/>
        <x:v>2934.2109421291998</x:v>
      </x:c>
      <x:c r="H146" s="3">
        <x:v>1320394.92395814</x:v>
      </x:c>
      <x:c r="I146" s="6" t="e">
        <x:f>SUMIF([1]Pengiriman!AB:AB,B146,[1]Pengiriman!AJ:AJ)</x:f>
        <x:v>#NAME?</x:v>
      </x:c>
    </x:row>
    <x:row r="147">
      <x:c r="A147" s="2" t="s">
        <x:v>144</x:v>
      </x:c>
      <x:c r="B147" s="2">
        <x:v>5277</x:v>
      </x:c>
      <x:c r="C147" s="2">
        <x:v>11617</x:v>
      </x:c>
      <x:c r="D147" s="2" t="s">
        <x:v>80</x:v>
      </x:c>
      <x:c r="E147" s="2">
        <x:v>0</x:v>
      </x:c>
      <x:c r="F147" s="2">
        <x:v>450</x:v>
      </x:c>
      <x:c r="G147" s="3">
        <x:f t="shared" si="2"/>
        <x:v>2934.2109421291998</x:v>
      </x:c>
      <x:c r="H147" s="3">
        <x:v>1320394.92395814</x:v>
      </x:c>
      <x:c r="I147" s="6" t="e">
        <x:f>SUMIF([1]Pengiriman!AB:AB,B147,[1]Pengiriman!AJ:AJ)</x:f>
        <x:v>#NAME?</x:v>
      </x:c>
    </x:row>
    <x:row r="148">
      <x:c r="A148" s="2" t="s">
        <x:v>144</x:v>
      </x:c>
      <x:c r="B148" s="2">
        <x:v>5278</x:v>
      </x:c>
      <x:c r="C148" s="2">
        <x:v>11618</x:v>
      </x:c>
      <x:c r="D148" s="2" t="s">
        <x:v>80</x:v>
      </x:c>
      <x:c r="E148" s="2">
        <x:v>0</x:v>
      </x:c>
      <x:c r="F148" s="2">
        <x:v>450</x:v>
      </x:c>
      <x:c r="G148" s="3">
        <x:f t="shared" si="2"/>
        <x:v>2934.2109421291998</x:v>
      </x:c>
      <x:c r="H148" s="3">
        <x:v>1320394.92395814</x:v>
      </x:c>
      <x:c r="I148" s="6" t="e">
        <x:f>SUMIF([1]Pengiriman!AB:AB,B148,[1]Pengiriman!AJ:AJ)</x:f>
        <x:v>#NAME?</x:v>
      </x:c>
    </x:row>
    <x:row r="149">
      <x:c r="A149" s="2" t="s">
        <x:v>144</x:v>
      </x:c>
      <x:c r="B149" s="2">
        <x:v>5279</x:v>
      </x:c>
      <x:c r="C149" s="2">
        <x:v>11619</x:v>
      </x:c>
      <x:c r="D149" s="2" t="s">
        <x:v>80</x:v>
      </x:c>
      <x:c r="E149" s="2">
        <x:v>0</x:v>
      </x:c>
      <x:c r="F149" s="2">
        <x:v>450</x:v>
      </x:c>
      <x:c r="G149" s="3">
        <x:f t="shared" si="2"/>
        <x:v>2934.2109421291998</x:v>
      </x:c>
      <x:c r="H149" s="3">
        <x:v>1320394.92395814</x:v>
      </x:c>
      <x:c r="I149" s="6" t="e">
        <x:f>SUMIF([1]Pengiriman!AB:AB,B149,[1]Pengiriman!AJ:AJ)</x:f>
        <x:v>#NAME?</x:v>
      </x:c>
    </x:row>
    <x:row r="150">
      <x:c r="A150" s="2" t="s">
        <x:v>144</x:v>
      </x:c>
      <x:c r="B150" s="2">
        <x:v>5280</x:v>
      </x:c>
      <x:c r="C150" s="2">
        <x:v>11620</x:v>
      </x:c>
      <x:c r="D150" s="2" t="s">
        <x:v>80</x:v>
      </x:c>
      <x:c r="E150" s="2">
        <x:v>0</x:v>
      </x:c>
      <x:c r="F150" s="2">
        <x:v>450</x:v>
      </x:c>
      <x:c r="G150" s="3">
        <x:f t="shared" si="2"/>
        <x:v>2934.2109421291998</x:v>
      </x:c>
      <x:c r="H150" s="3">
        <x:v>1320394.92395814</x:v>
      </x:c>
      <x:c r="I150" s="6" t="e">
        <x:f>SUMIF([1]Pengiriman!AB:AB,B150,[1]Pengiriman!AJ:AJ)</x:f>
        <x:v>#NAME?</x:v>
      </x:c>
    </x:row>
    <x:row r="151">
      <x:c r="A151" s="2" t="s">
        <x:v>144</x:v>
      </x:c>
      <x:c r="B151" s="2">
        <x:v>5281</x:v>
      </x:c>
      <x:c r="C151" s="2">
        <x:v>11621</x:v>
      </x:c>
      <x:c r="D151" s="2" t="s">
        <x:v>80</x:v>
      </x:c>
      <x:c r="E151" s="2">
        <x:v>0</x:v>
      </x:c>
      <x:c r="F151" s="2">
        <x:v>450</x:v>
      </x:c>
      <x:c r="G151" s="3">
        <x:f t="shared" si="2"/>
        <x:v>2934.2109421291998</x:v>
      </x:c>
      <x:c r="H151" s="3">
        <x:v>1320394.92395814</x:v>
      </x:c>
      <x:c r="I151" s="6" t="e">
        <x:f>SUMIF([1]Pengiriman!AB:AB,B151,[1]Pengiriman!AJ:AJ)</x:f>
        <x:v>#NAME?</x:v>
      </x:c>
    </x:row>
    <x:row r="152">
      <x:c r="A152" s="2" t="s">
        <x:v>144</x:v>
      </x:c>
      <x:c r="B152" s="2">
        <x:v>5282</x:v>
      </x:c>
      <x:c r="C152" s="2">
        <x:v>11622</x:v>
      </x:c>
      <x:c r="D152" s="2" t="s">
        <x:v>80</x:v>
      </x:c>
      <x:c r="E152" s="2">
        <x:v>0</x:v>
      </x:c>
      <x:c r="F152" s="2">
        <x:v>450</x:v>
      </x:c>
      <x:c r="G152" s="3">
        <x:f t="shared" si="2"/>
        <x:v>2934.2109421291998</x:v>
      </x:c>
      <x:c r="H152" s="3">
        <x:v>1320394.92395814</x:v>
      </x:c>
      <x:c r="I152" s="6" t="e">
        <x:f>SUMIF([1]Pengiriman!AB:AB,B152,[1]Pengiriman!AJ:AJ)</x:f>
        <x:v>#NAME?</x:v>
      </x:c>
    </x:row>
    <x:row r="153">
      <x:c r="A153" s="2" t="s">
        <x:v>144</x:v>
      </x:c>
      <x:c r="B153" s="2">
        <x:v>5283</x:v>
      </x:c>
      <x:c r="C153" s="2">
        <x:v>11623</x:v>
      </x:c>
      <x:c r="D153" s="2" t="s">
        <x:v>80</x:v>
      </x:c>
      <x:c r="E153" s="2">
        <x:v>0</x:v>
      </x:c>
      <x:c r="F153" s="2">
        <x:v>450</x:v>
      </x:c>
      <x:c r="G153" s="3">
        <x:f t="shared" si="2"/>
        <x:v>2934.2109421291998</x:v>
      </x:c>
      <x:c r="H153" s="3">
        <x:v>1320394.92395814</x:v>
      </x:c>
      <x:c r="I153" s="6" t="e">
        <x:f>SUMIF([1]Pengiriman!AB:AB,B153,[1]Pengiriman!AJ:AJ)</x:f>
        <x:v>#NAME?</x:v>
      </x:c>
    </x:row>
    <x:row r="154">
      <x:c r="A154" s="2" t="s">
        <x:v>144</x:v>
      </x:c>
      <x:c r="B154" s="2">
        <x:v>5284</x:v>
      </x:c>
      <x:c r="C154" s="2">
        <x:v>11624</x:v>
      </x:c>
      <x:c r="D154" s="2" t="s">
        <x:v>80</x:v>
      </x:c>
      <x:c r="E154" s="2">
        <x:v>0</x:v>
      </x:c>
      <x:c r="F154" s="2">
        <x:v>450</x:v>
      </x:c>
      <x:c r="G154" s="3">
        <x:f t="shared" si="2"/>
        <x:v>2934.2109421291998</x:v>
      </x:c>
      <x:c r="H154" s="3">
        <x:v>1320394.92395814</x:v>
      </x:c>
      <x:c r="I154" s="6" t="e">
        <x:f>SUMIF([1]Pengiriman!AB:AB,B154,[1]Pengiriman!AJ:AJ)</x:f>
        <x:v>#NAME?</x:v>
      </x:c>
    </x:row>
    <x:row r="155">
      <x:c r="A155" s="2" t="s">
        <x:v>144</x:v>
      </x:c>
      <x:c r="B155" s="2">
        <x:v>5285</x:v>
      </x:c>
      <x:c r="C155" s="2">
        <x:v>11625</x:v>
      </x:c>
      <x:c r="D155" s="2" t="s">
        <x:v>80</x:v>
      </x:c>
      <x:c r="E155" s="2">
        <x:v>0</x:v>
      </x:c>
      <x:c r="F155" s="2">
        <x:v>450</x:v>
      </x:c>
      <x:c r="G155" s="3">
        <x:f t="shared" si="2"/>
        <x:v>2934.2109421291998</x:v>
      </x:c>
      <x:c r="H155" s="3">
        <x:v>1320394.92395814</x:v>
      </x:c>
      <x:c r="I155" s="6" t="e">
        <x:f>SUMIF([1]Pengiriman!AB:AB,B155,[1]Pengiriman!AJ:AJ)</x:f>
        <x:v>#NAME?</x:v>
      </x:c>
    </x:row>
    <x:row r="156">
      <x:c r="A156" s="2" t="s">
        <x:v>144</x:v>
      </x:c>
      <x:c r="B156" s="2">
        <x:v>5286</x:v>
      </x:c>
      <x:c r="C156" s="2">
        <x:v>11626</x:v>
      </x:c>
      <x:c r="D156" s="2" t="s">
        <x:v>80</x:v>
      </x:c>
      <x:c r="E156" s="2">
        <x:v>0</x:v>
      </x:c>
      <x:c r="F156" s="2">
        <x:v>450</x:v>
      </x:c>
      <x:c r="G156" s="3">
        <x:f t="shared" si="2"/>
        <x:v>2934.2109421291998</x:v>
      </x:c>
      <x:c r="H156" s="3">
        <x:v>1320394.92395814</x:v>
      </x:c>
      <x:c r="I156" s="6" t="e">
        <x:f>SUMIF([1]Pengiriman!AB:AB,B156,[1]Pengiriman!AJ:AJ)</x:f>
        <x:v>#NAME?</x:v>
      </x:c>
    </x:row>
    <x:row r="157">
      <x:c r="A157" s="2" t="s">
        <x:v>144</x:v>
      </x:c>
      <x:c r="B157" s="2">
        <x:v>5287</x:v>
      </x:c>
      <x:c r="C157" s="2">
        <x:v>11627</x:v>
      </x:c>
      <x:c r="D157" s="2" t="s">
        <x:v>80</x:v>
      </x:c>
      <x:c r="E157" s="2">
        <x:v>0</x:v>
      </x:c>
      <x:c r="F157" s="2">
        <x:v>450</x:v>
      </x:c>
      <x:c r="G157" s="3">
        <x:f t="shared" si="2"/>
        <x:v>2934.2109421291998</x:v>
      </x:c>
      <x:c r="H157" s="3">
        <x:v>1320394.92395814</x:v>
      </x:c>
      <x:c r="I157" s="6" t="e">
        <x:f>SUMIF([1]Pengiriman!AB:AB,B157,[1]Pengiriman!AJ:AJ)</x:f>
        <x:v>#NAME?</x:v>
      </x:c>
    </x:row>
    <x:row r="158">
      <x:c r="A158" s="2" t="s">
        <x:v>144</x:v>
      </x:c>
      <x:c r="B158" s="2">
        <x:v>5288</x:v>
      </x:c>
      <x:c r="C158" s="2">
        <x:v>11628</x:v>
      </x:c>
      <x:c r="D158" s="2" t="s">
        <x:v>80</x:v>
      </x:c>
      <x:c r="E158" s="2">
        <x:v>0</x:v>
      </x:c>
      <x:c r="F158" s="2">
        <x:v>450</x:v>
      </x:c>
      <x:c r="G158" s="3">
        <x:f t="shared" si="2"/>
        <x:v>3091.8851406774643</x:v>
      </x:c>
      <x:c r="H158" s="3">
        <x:v>1391348.313304859</x:v>
      </x:c>
      <x:c r="I158" s="6" t="e">
        <x:f>SUMIF([1]Pengiriman!AB:AB,B158,[1]Pengiriman!AJ:AJ)</x:f>
        <x:v>#NAME?</x:v>
      </x:c>
    </x:row>
    <x:row r="159">
      <x:c r="A159" s="2" t="s">
        <x:v>144</x:v>
      </x:c>
      <x:c r="B159" s="2">
        <x:v>5331</x:v>
      </x:c>
      <x:c r="C159" s="2">
        <x:v>11629</x:v>
      </x:c>
      <x:c r="D159" s="2" t="s">
        <x:v>112</x:v>
      </x:c>
      <x:c r="E159" s="2">
        <x:v>46</x:v>
      </x:c>
      <x:c r="F159" s="2">
        <x:v>225</x:v>
      </x:c>
      <x:c r="G159" s="3">
        <x:f t="shared" si="2"/>
        <x:v>11880.212014134173</x:v>
      </x:c>
      <x:c r="H159" s="3">
        <x:v>2673047.7031801888</x:v>
      </x:c>
      <x:c r="I159" s="6" t="e">
        <x:f>SUMIF([1]Pengiriman!AB:AB,B159,[1]Pengiriman!AJ:AJ)</x:f>
        <x:v>#NAME?</x:v>
      </x:c>
    </x:row>
    <x:row r="160">
      <x:c r="A160" s="2" t="s">
        <x:v>144</x:v>
      </x:c>
      <x:c r="B160" s="2">
        <x:v>5332</x:v>
      </x:c>
      <x:c r="C160" s="2">
        <x:v>11630</x:v>
      </x:c>
      <x:c r="D160" s="2" t="s">
        <x:v>101</x:v>
      </x:c>
      <x:c r="E160" s="2">
        <x:v>37</x:v>
      </x:c>
      <x:c r="F160" s="2">
        <x:v>225</x:v>
      </x:c>
      <x:c r="G160" s="3">
        <x:f t="shared" si="2"/>
        <x:v>11885.765251549845</x:v>
      </x:c>
      <x:c r="H160" s="3">
        <x:v>2674297.181598715</x:v>
      </x:c>
      <x:c r="I160" s="6" t="e">
        <x:f>SUMIF([1]Pengiriman!AB:AB,B160,[1]Pengiriman!AJ:AJ)</x:f>
        <x:v>#NAME?</x:v>
      </x:c>
    </x:row>
    <x:row r="161">
      <x:c r="A161" s="2" t="s">
        <x:v>144</x:v>
      </x:c>
      <x:c r="B161" s="2">
        <x:v>5333</x:v>
      </x:c>
      <x:c r="C161" s="2">
        <x:v>11631</x:v>
      </x:c>
      <x:c r="D161" s="2" t="s">
        <x:v>119</x:v>
      </x:c>
      <x:c r="E161" s="2">
        <x:v>0</x:v>
      </x:c>
      <x:c r="F161" s="2">
        <x:v>225</x:v>
      </x:c>
      <x:c r="G161" s="3">
        <x:f t="shared" si="2"/>
        <x:v>9514.5355802251779</x:v>
      </x:c>
      <x:c r="H161" s="3">
        <x:v>2140770.5055506648</x:v>
      </x:c>
      <x:c r="I161" s="6" t="e">
        <x:f>SUMIF([1]Pengiriman!AB:AB,B161,[1]Pengiriman!AJ:AJ)</x:f>
        <x:v>#NAME?</x:v>
      </x:c>
    </x:row>
    <x:row r="162">
      <x:c r="A162" s="2" t="s">
        <x:v>144</x:v>
      </x:c>
      <x:c r="B162" s="2">
        <x:v>5334</x:v>
      </x:c>
      <x:c r="C162" s="2">
        <x:v>11632</x:v>
      </x:c>
      <x:c r="D162" s="2" t="s">
        <x:v>119</x:v>
      </x:c>
      <x:c r="E162" s="2">
        <x:v>0</x:v>
      </x:c>
      <x:c r="F162" s="2">
        <x:v>225</x:v>
      </x:c>
      <x:c r="G162" s="3">
        <x:f t="shared" si="2"/>
        <x:v>10040.241454427327</x:v>
      </x:c>
      <x:c r="H162" s="3">
        <x:v>2259054.3272461486</x:v>
      </x:c>
      <x:c r="I162" s="6" t="e">
        <x:f>SUMIF([1]Pengiriman!AB:AB,B162,[1]Pengiriman!AJ:AJ)</x:f>
        <x:v>#NAME?</x:v>
      </x:c>
    </x:row>
    <x:row r="163">
      <x:c r="A163" s="2" t="s">
        <x:v>144</x:v>
      </x:c>
      <x:c r="B163" s="2">
        <x:v>5335</x:v>
      </x:c>
      <x:c r="C163" s="2">
        <x:v>11633</x:v>
      </x:c>
      <x:c r="D163" s="2" t="s">
        <x:v>146</x:v>
      </x:c>
      <x:c r="E163" s="2">
        <x:v>0</x:v>
      </x:c>
      <x:c r="F163" s="2">
        <x:v>450</x:v>
      </x:c>
      <x:c r="G163" s="3">
        <x:f t="shared" si="2"/>
        <x:v>9514.5355802251797</x:v>
      </x:c>
      <x:c r="H163" s="3">
        <x:v>4281541.0111013306</x:v>
      </x:c>
      <x:c r="I163" s="6" t="e">
        <x:f>SUMIF([1]Pengiriman!AB:AB,B163,[1]Pengiriman!AJ:AJ)</x:f>
        <x:v>#NAME?</x:v>
      </x:c>
    </x:row>
    <x:row r="164">
      <x:c r="A164" s="2" t="s">
        <x:v>144</x:v>
      </x:c>
      <x:c r="B164" s="2">
        <x:v>5336</x:v>
      </x:c>
      <x:c r="C164" s="2">
        <x:v>11634</x:v>
      </x:c>
      <x:c r="D164" s="2" t="s">
        <x:v>146</x:v>
      </x:c>
      <x:c r="E164" s="2">
        <x:v>0</x:v>
      </x:c>
      <x:c r="F164" s="2">
        <x:v>450</x:v>
      </x:c>
      <x:c r="G164" s="3">
        <x:f t="shared" si="2"/>
        <x:v>11371.682806515466</x:v>
      </x:c>
      <x:c r="H164" s="3">
        <x:v>5117257.2629319597</x:v>
      </x:c>
      <x:c r="I164" s="6" t="e">
        <x:f>SUMIF([1]Pengiriman!AB:AB,B164,[1]Pengiriman!AJ:AJ)</x:f>
        <x:v>#NAME?</x:v>
      </x:c>
    </x:row>
    <x:row r="165">
      <x:c r="A165" s="2" t="s">
        <x:v>144</x:v>
      </x:c>
      <x:c r="B165" s="2">
        <x:v>5342</x:v>
      </x:c>
      <x:c r="C165" s="2">
        <x:v>11635</x:v>
      </x:c>
      <x:c r="D165" s="2" t="s">
        <x:v>80</x:v>
      </x:c>
      <x:c r="E165" s="2">
        <x:v>0</x:v>
      </x:c>
      <x:c r="F165" s="2">
        <x:v>450</x:v>
      </x:c>
      <x:c r="G165" s="3">
        <x:f t="shared" si="2"/>
        <x:v>3359.0815370197115</x:v>
      </x:c>
      <x:c r="H165" s="3">
        <x:v>1511586.6916588701</x:v>
      </x:c>
      <x:c r="I165" s="6" t="e">
        <x:f>SUMIF([1]Pengiriman!AB:AB,B165,[1]Pengiriman!AJ:AJ)</x:f>
        <x:v>#NAME?</x:v>
      </x:c>
    </x:row>
    <x:row r="166">
      <x:c r="A166" s="2" t="s">
        <x:v>144</x:v>
      </x:c>
      <x:c r="B166" s="2">
        <x:v>5343</x:v>
      </x:c>
      <x:c r="C166" s="2">
        <x:v>11636</x:v>
      </x:c>
      <x:c r="D166" s="2" t="s">
        <x:v>80</x:v>
      </x:c>
      <x:c r="E166" s="2">
        <x:v>0</x:v>
      </x:c>
      <x:c r="F166" s="2">
        <x:v>450</x:v>
      </x:c>
      <x:c r="G166" s="3">
        <x:f t="shared" si="2"/>
        <x:v>3359.0815370197115</x:v>
      </x:c>
      <x:c r="H166" s="3">
        <x:v>1511586.6916588701</x:v>
      </x:c>
      <x:c r="I166" s="6" t="e">
        <x:f>SUMIF([1]Pengiriman!AB:AB,B166,[1]Pengiriman!AJ:AJ)</x:f>
        <x:v>#NAME?</x:v>
      </x:c>
    </x:row>
    <x:row r="167">
      <x:c r="A167" s="2" t="s">
        <x:v>144</x:v>
      </x:c>
      <x:c r="B167" s="2">
        <x:v>5344</x:v>
      </x:c>
      <x:c r="C167" s="2">
        <x:v>11637</x:v>
      </x:c>
      <x:c r="D167" s="2" t="s">
        <x:v>80</x:v>
      </x:c>
      <x:c r="E167" s="2">
        <x:v>0</x:v>
      </x:c>
      <x:c r="F167" s="2">
        <x:v>450</x:v>
      </x:c>
      <x:c r="G167" s="3">
        <x:f t="shared" si="2"/>
        <x:v>3359.0815370197115</x:v>
      </x:c>
      <x:c r="H167" s="3">
        <x:v>1511586.6916588701</x:v>
      </x:c>
      <x:c r="I167" s="6" t="e">
        <x:f>SUMIF([1]Pengiriman!AB:AB,B167,[1]Pengiriman!AJ:AJ)</x:f>
        <x:v>#NAME?</x:v>
      </x:c>
    </x:row>
    <x:row r="168">
      <x:c r="A168" s="2" t="s">
        <x:v>144</x:v>
      </x:c>
      <x:c r="B168" s="2">
        <x:v>5345</x:v>
      </x:c>
      <x:c r="C168" s="2">
        <x:v>11638</x:v>
      </x:c>
      <x:c r="D168" s="2" t="s">
        <x:v>80</x:v>
      </x:c>
      <x:c r="E168" s="2">
        <x:v>0</x:v>
      </x:c>
      <x:c r="F168" s="2">
        <x:v>450</x:v>
      </x:c>
      <x:c r="G168" s="3">
        <x:f t="shared" si="2"/>
        <x:v>3359.0815370197115</x:v>
      </x:c>
      <x:c r="H168" s="3">
        <x:v>1511586.6916588701</x:v>
      </x:c>
      <x:c r="I168" s="6" t="e">
        <x:f>SUMIF([1]Pengiriman!AB:AB,B168,[1]Pengiriman!AJ:AJ)</x:f>
        <x:v>#NAME?</x:v>
      </x:c>
    </x:row>
    <x:row r="169">
      <x:c r="A169" s="2" t="s">
        <x:v>144</x:v>
      </x:c>
      <x:c r="B169" s="2">
        <x:v>5346</x:v>
      </x:c>
      <x:c r="C169" s="2">
        <x:v>11639</x:v>
      </x:c>
      <x:c r="D169" s="2" t="s">
        <x:v>80</x:v>
      </x:c>
      <x:c r="E169" s="2">
        <x:v>0</x:v>
      </x:c>
      <x:c r="F169" s="2">
        <x:v>450</x:v>
      </x:c>
      <x:c r="G169" s="3">
        <x:f t="shared" si="2"/>
        <x:v>3359.0815370197115</x:v>
      </x:c>
      <x:c r="H169" s="3">
        <x:v>1511586.6916588701</x:v>
      </x:c>
      <x:c r="I169" s="6" t="e">
        <x:f>SUMIF([1]Pengiriman!AB:AB,B169,[1]Pengiriman!AJ:AJ)</x:f>
        <x:v>#NAME?</x:v>
      </x:c>
    </x:row>
    <x:row r="170">
      <x:c r="A170" s="2" t="s">
        <x:v>144</x:v>
      </x:c>
      <x:c r="B170" s="2">
        <x:v>5347</x:v>
      </x:c>
      <x:c r="C170" s="2">
        <x:v>11640</x:v>
      </x:c>
      <x:c r="D170" s="2" t="s">
        <x:v>80</x:v>
      </x:c>
      <x:c r="E170" s="2">
        <x:v>0</x:v>
      </x:c>
      <x:c r="F170" s="2">
        <x:v>450</x:v>
      </x:c>
      <x:c r="G170" s="3">
        <x:f t="shared" si="2"/>
        <x:v>3359.0815370197115</x:v>
      </x:c>
      <x:c r="H170" s="3">
        <x:v>1511586.6916588701</x:v>
      </x:c>
      <x:c r="I170" s="6" t="e">
        <x:f>SUMIF([1]Pengiriman!AB:AB,B170,[1]Pengiriman!AJ:AJ)</x:f>
        <x:v>#NAME?</x:v>
      </x:c>
    </x:row>
    <x:row r="171">
      <x:c r="A171" s="2" t="s">
        <x:v>144</x:v>
      </x:c>
      <x:c r="B171" s="2">
        <x:v>5348</x:v>
      </x:c>
      <x:c r="C171" s="2">
        <x:v>11641</x:v>
      </x:c>
      <x:c r="D171" s="2" t="s">
        <x:v>80</x:v>
      </x:c>
      <x:c r="E171" s="2">
        <x:v>0</x:v>
      </x:c>
      <x:c r="F171" s="2">
        <x:v>450</x:v>
      </x:c>
      <x:c r="G171" s="3">
        <x:f t="shared" si="2"/>
        <x:v>3359.0815370197115</x:v>
      </x:c>
      <x:c r="H171" s="3">
        <x:v>1511586.6916588701</x:v>
      </x:c>
      <x:c r="I171" s="6" t="e">
        <x:f>SUMIF([1]Pengiriman!AB:AB,B171,[1]Pengiriman!AJ:AJ)</x:f>
        <x:v>#NAME?</x:v>
      </x:c>
    </x:row>
    <x:row r="172">
      <x:c r="A172" s="2" t="s">
        <x:v>144</x:v>
      </x:c>
      <x:c r="B172" s="2">
        <x:v>5349</x:v>
      </x:c>
      <x:c r="C172" s="2">
        <x:v>11642</x:v>
      </x:c>
      <x:c r="D172" s="2" t="s">
        <x:v>80</x:v>
      </x:c>
      <x:c r="E172" s="2">
        <x:v>0</x:v>
      </x:c>
      <x:c r="F172" s="2">
        <x:v>450</x:v>
      </x:c>
      <x:c r="G172" s="3">
        <x:f t="shared" si="2"/>
        <x:v>3359.0815370197115</x:v>
      </x:c>
      <x:c r="H172" s="3">
        <x:v>1511586.6916588701</x:v>
      </x:c>
      <x:c r="I172" s="6" t="e">
        <x:f>SUMIF([1]Pengiriman!AB:AB,B172,[1]Pengiriman!AJ:AJ)</x:f>
        <x:v>#NAME?</x:v>
      </x:c>
    </x:row>
    <x:row r="173">
      <x:c r="A173" s="2" t="s">
        <x:v>144</x:v>
      </x:c>
      <x:c r="B173" s="2">
        <x:v>5350</x:v>
      </x:c>
      <x:c r="C173" s="2">
        <x:v>11643</x:v>
      </x:c>
      <x:c r="D173" s="2" t="s">
        <x:v>146</x:v>
      </x:c>
      <x:c r="E173" s="2">
        <x:v>0</x:v>
      </x:c>
      <x:c r="F173" s="2">
        <x:v>450</x:v>
      </x:c>
      <x:c r="G173" s="3">
        <x:f t="shared" si="2"/>
        <x:v>3332.4258945471111</x:v>
      </x:c>
      <x:c r="H173" s="3">
        <x:v>1499591.6525462</x:v>
      </x:c>
      <x:c r="I173" s="6" t="e">
        <x:f>SUMIF([1]Pengiriman!AB:AB,B173,[1]Pengiriman!AJ:AJ)</x:f>
        <x:v>#NAME?</x:v>
      </x:c>
    </x:row>
    <x:row r="174">
      <x:c r="A174" s="2" t="s">
        <x:v>144</x:v>
      </x:c>
      <x:c r="B174" s="2">
        <x:v>5351</x:v>
      </x:c>
      <x:c r="C174" s="2">
        <x:v>11644</x:v>
      </x:c>
      <x:c r="D174" s="2" t="s">
        <x:v>95</x:v>
      </x:c>
      <x:c r="E174" s="2">
        <x:v>57</x:v>
      </x:c>
      <x:c r="F174" s="2">
        <x:v>225</x:v>
      </x:c>
      <x:c r="G174" s="3">
        <x:f t="shared" si="2"/>
        <x:v>11923.584514227745</x:v>
      </x:c>
      <x:c r="H174" s="3">
        <x:v>2682806.5157012427</x:v>
      </x:c>
      <x:c r="I174" s="6" t="e">
        <x:f>SUMIF([1]Pengiriman!AB:AB,B174,[1]Pengiriman!AJ:AJ)</x:f>
        <x:v>#NAME?</x:v>
      </x:c>
    </x:row>
    <x:row r="175">
      <x:c r="A175" s="2" t="s">
        <x:v>144</x:v>
      </x:c>
      <x:c r="B175" s="2">
        <x:v>5352</x:v>
      </x:c>
      <x:c r="C175" s="2">
        <x:v>11645</x:v>
      </x:c>
      <x:c r="D175" s="2" t="s">
        <x:v>112</x:v>
      </x:c>
      <x:c r="E175" s="2">
        <x:v>46</x:v>
      </x:c>
      <x:c r="F175" s="2">
        <x:v>225</x:v>
      </x:c>
      <x:c r="G175" s="3">
        <x:f t="shared" si="2"/>
        <x:v>11880.212014134173</x:v>
      </x:c>
      <x:c r="H175" s="3">
        <x:v>2673047.7031801888</x:v>
      </x:c>
      <x:c r="I175" s="6" t="e">
        <x:f>SUMIF([1]Pengiriman!AB:AB,B175,[1]Pengiriman!AJ:AJ)</x:f>
        <x:v>#NAME?</x:v>
      </x:c>
    </x:row>
    <x:row r="176">
      <x:c r="A176" s="2" t="s">
        <x:v>144</x:v>
      </x:c>
      <x:c r="B176" s="2">
        <x:v>5368</x:v>
      </x:c>
      <x:c r="C176" s="2">
        <x:v>11646</x:v>
      </x:c>
      <x:c r="D176" s="2" t="s">
        <x:v>119</x:v>
      </x:c>
      <x:c r="E176" s="2">
        <x:v>0</x:v>
      </x:c>
      <x:c r="F176" s="2">
        <x:v>225</x:v>
      </x:c>
      <x:c r="G176" s="3">
        <x:f t="shared" si="2"/>
        <x:v>11880.212014134173</x:v>
      </x:c>
      <x:c r="H176" s="3">
        <x:v>2673047.7031801888</x:v>
      </x:c>
      <x:c r="I176" s="6" t="e">
        <x:f>SUMIF([1]Pengiriman!AB:AB,B176,[1]Pengiriman!AJ:AJ)</x:f>
        <x:v>#NAME?</x:v>
      </x:c>
    </x:row>
    <x:row r="177">
      <x:c r="A177" s="2" t="s">
        <x:v>144</x:v>
      </x:c>
      <x:c r="B177" s="2">
        <x:v>5381</x:v>
      </x:c>
      <x:c r="C177" s="2">
        <x:v>11647</x:v>
      </x:c>
      <x:c r="D177" s="2" t="s">
        <x:v>101</x:v>
      </x:c>
      <x:c r="E177" s="2">
        <x:v>36</x:v>
      </x:c>
      <x:c r="F177" s="2">
        <x:v>225</x:v>
      </x:c>
      <x:c r="G177" s="3">
        <x:f t="shared" si="2"/>
        <x:v>11900.771218515059</x:v>
      </x:c>
      <x:c r="H177" s="3">
        <x:v>2677673.5241658883</x:v>
      </x:c>
      <x:c r="I177" s="6" t="e">
        <x:f>SUMIF([1]Pengiriman!AB:AB,B177,[1]Pengiriman!AJ:AJ)</x:f>
        <x:v>#NAME?</x:v>
      </x:c>
    </x:row>
    <x:row r="178">
      <x:c r="A178" s="2" t="s">
        <x:v>144</x:v>
      </x:c>
      <x:c r="B178" s="2">
        <x:v>5383</x:v>
      </x:c>
      <x:c r="C178" s="2">
        <x:v>11648</x:v>
      </x:c>
      <x:c r="D178" s="2" t="s">
        <x:v>112</x:v>
      </x:c>
      <x:c r="E178" s="2">
        <x:v>44</x:v>
      </x:c>
      <x:c r="F178" s="2">
        <x:v>225</x:v>
      </x:c>
      <x:c r="G178" s="3">
        <x:f t="shared" si="2"/>
        <x:v>11895.265970984756</x:v>
      </x:c>
      <x:c r="H178" s="3">
        <x:v>2676434.8434715699</x:v>
      </x:c>
      <x:c r="I178" s="6" t="e">
        <x:f>SUMIF([1]Pengiriman!AB:AB,B178,[1]Pengiriman!AJ:AJ)</x:f>
        <x:v>#NAME?</x:v>
      </x:c>
    </x:row>
    <x:row r="179">
      <x:c r="A179" s="2" t="s">
        <x:v>144</x:v>
      </x:c>
      <x:c r="B179" s="2">
        <x:v>5384</x:v>
      </x:c>
      <x:c r="C179" s="2">
        <x:v>11649</x:v>
      </x:c>
      <x:c r="D179" s="2" t="s">
        <x:v>112</x:v>
      </x:c>
      <x:c r="E179" s="2">
        <x:v>44</x:v>
      </x:c>
      <x:c r="F179" s="2">
        <x:v>225</x:v>
      </x:c>
      <x:c r="G179" s="3">
        <x:f t="shared" si="2"/>
        <x:v>11941.810336469207</x:v>
      </x:c>
      <x:c r="H179" s="3">
        <x:v>2686907.3257055716</x:v>
      </x:c>
      <x:c r="I179" s="6" t="e">
        <x:f>SUMIF([1]Pengiriman!AB:AB,B179,[1]Pengiriman!AJ:AJ)</x:f>
        <x:v>#NAME?</x:v>
      </x:c>
    </x:row>
    <x:row r="180">
      <x:c r="A180" s="2" t="s">
        <x:v>144</x:v>
      </x:c>
      <x:c r="B180" s="2">
        <x:v>5409</x:v>
      </x:c>
      <x:c r="C180" s="2">
        <x:v>11650</x:v>
      </x:c>
      <x:c r="D180" s="2" t="s">
        <x:v>101</x:v>
      </x:c>
      <x:c r="E180" s="2">
        <x:v>35</x:v>
      </x:c>
      <x:c r="F180" s="2">
        <x:v>225</x:v>
      </x:c>
      <x:c r="G180" s="3">
        <x:f t="shared" si="2"/>
        <x:v>11951.569638909639</x:v>
      </x:c>
      <x:c r="H180" s="3">
        <x:v>2689103.1687546689</x:v>
      </x:c>
      <x:c r="I180" s="6" t="e">
        <x:f>SUMIF([1]Pengiriman!AB:AB,B180,[1]Pengiriman!AJ:AJ)</x:f>
        <x:v>#NAME?</x:v>
      </x:c>
    </x:row>
    <x:row r="181">
      <x:c r="A181" s="2" t="s">
        <x:v>144</x:v>
      </x:c>
      <x:c r="B181" s="2">
        <x:v>5410</x:v>
      </x:c>
      <x:c r="C181" s="2">
        <x:v>11651</x:v>
      </x:c>
      <x:c r="D181" s="2" t="s">
        <x:v>112</x:v>
      </x:c>
      <x:c r="E181" s="2">
        <x:v>47</x:v>
      </x:c>
      <x:c r="F181" s="2">
        <x:v>225</x:v>
      </x:c>
      <x:c r="G181" s="3">
        <x:f t="shared" si="2"/>
        <x:v>11951.569638909639</x:v>
      </x:c>
      <x:c r="H181" s="3">
        <x:v>2689103.1687546689</x:v>
      </x:c>
      <x:c r="I181" s="6" t="e">
        <x:f>SUMIF([1]Pengiriman!AB:AB,B181,[1]Pengiriman!AJ:AJ)</x:f>
        <x:v>#NAME?</x:v>
      </x:c>
    </x:row>
    <x:row r="182">
      <x:c r="A182" s="2" t="s">
        <x:v>144</x:v>
      </x:c>
      <x:c r="B182" s="2">
        <x:v>5411</x:v>
      </x:c>
      <x:c r="C182" s="2">
        <x:v>11652</x:v>
      </x:c>
      <x:c r="D182" s="2" t="s">
        <x:v>112</x:v>
      </x:c>
      <x:c r="E182" s="2">
        <x:v>46</x:v>
      </x:c>
      <x:c r="F182" s="2">
        <x:v>225</x:v>
      </x:c>
      <x:c r="G182" s="3">
        <x:f t="shared" si="2"/>
        <x:v>11951.569638909639</x:v>
      </x:c>
      <x:c r="H182" s="3">
        <x:v>2689103.1687546689</x:v>
      </x:c>
      <x:c r="I182" s="6" t="e">
        <x:f>SUMIF([1]Pengiriman!AB:AB,B182,[1]Pengiriman!AJ:AJ)</x:f>
        <x:v>#NAME?</x:v>
      </x:c>
    </x:row>
    <x:row r="183">
      <x:c r="A183" s="2" t="s">
        <x:v>144</x:v>
      </x:c>
      <x:c r="B183" s="2">
        <x:v>5412</x:v>
      </x:c>
      <x:c r="C183" s="2">
        <x:v>11653</x:v>
      </x:c>
      <x:c r="D183" s="2" t="s">
        <x:v>101</x:v>
      </x:c>
      <x:c r="E183" s="2">
        <x:v>36</x:v>
      </x:c>
      <x:c r="F183" s="2">
        <x:v>225</x:v>
      </x:c>
      <x:c r="G183" s="3">
        <x:f t="shared" si="2"/>
        <x:v>11951.569638909639</x:v>
      </x:c>
      <x:c r="H183" s="3">
        <x:v>2689103.1687546689</x:v>
      </x:c>
      <x:c r="I183" s="6" t="e">
        <x:f>SUMIF([1]Pengiriman!AB:AB,B183,[1]Pengiriman!AJ:AJ)</x:f>
        <x:v>#NAME?</x:v>
      </x:c>
    </x:row>
    <x:row r="184">
      <x:c r="A184" s="2" t="s">
        <x:v>144</x:v>
      </x:c>
      <x:c r="B184" s="2">
        <x:v>5413</x:v>
      </x:c>
      <x:c r="C184" s="2">
        <x:v>11654</x:v>
      </x:c>
      <x:c r="D184" s="2" t="s">
        <x:v>112</x:v>
      </x:c>
      <x:c r="E184" s="2">
        <x:v>44</x:v>
      </x:c>
      <x:c r="F184" s="2">
        <x:v>225</x:v>
      </x:c>
      <x:c r="G184" s="3">
        <x:f t="shared" si="2"/>
        <x:v>11951.569638909639</x:v>
      </x:c>
      <x:c r="H184" s="3">
        <x:v>2689103.1687546689</x:v>
      </x:c>
      <x:c r="I184" s="6" t="e">
        <x:f>SUMIF([1]Pengiriman!AB:AB,B184,[1]Pengiriman!AJ:AJ)</x:f>
        <x:v>#NAME?</x:v>
      </x:c>
    </x:row>
    <x:row r="185">
      <x:c r="A185" s="2" t="s">
        <x:v>144</x:v>
      </x:c>
      <x:c r="B185" s="2">
        <x:v>5414</x:v>
      </x:c>
      <x:c r="C185" s="2">
        <x:v>11655</x:v>
      </x:c>
      <x:c r="D185" s="2" t="s">
        <x:v>101</x:v>
      </x:c>
      <x:c r="E185" s="2">
        <x:v>36</x:v>
      </x:c>
      <x:c r="F185" s="2">
        <x:v>225</x:v>
      </x:c>
      <x:c r="G185" s="3">
        <x:f t="shared" si="2"/>
        <x:v>11951.569638909639</x:v>
      </x:c>
      <x:c r="H185" s="3">
        <x:v>2689103.1687546689</x:v>
      </x:c>
      <x:c r="I185" s="6" t="e">
        <x:f>SUMIF([1]Pengiriman!AB:AB,B185,[1]Pengiriman!AJ:AJ)</x:f>
        <x:v>#NAME?</x:v>
      </x:c>
    </x:row>
    <x:row r="186">
      <x:c r="A186" s="2" t="s">
        <x:v>144</x:v>
      </x:c>
      <x:c r="B186" s="2">
        <x:v>5431</x:v>
      </x:c>
      <x:c r="C186" s="2">
        <x:v>11656</x:v>
      </x:c>
      <x:c r="D186" s="2" t="s">
        <x:v>119</x:v>
      </x:c>
      <x:c r="E186" s="2">
        <x:v>0</x:v>
      </x:c>
      <x:c r="F186" s="2">
        <x:v>225</x:v>
      </x:c>
      <x:c r="G186" s="3">
        <x:f t="shared" si="2"/>
        <x:v>10945.251647892808</x:v>
      </x:c>
      <x:c r="H186" s="3">
        <x:v>2462681.6207758817</x:v>
      </x:c>
      <x:c r="I186" s="6" t="e">
        <x:f>SUMIF([1]Pengiriman!AB:AB,B186,[1]Pengiriman!AJ:AJ)</x:f>
        <x:v>#NAME?</x:v>
      </x:c>
    </x:row>
    <x:row r="187">
      <x:c r="A187" s="2" t="s">
        <x:v>144</x:v>
      </x:c>
      <x:c r="B187" s="2">
        <x:v>5436</x:v>
      </x:c>
      <x:c r="C187" s="2">
        <x:v>11657</x:v>
      </x:c>
      <x:c r="D187" s="2" t="s">
        <x:v>101</x:v>
      </x:c>
      <x:c r="E187" s="2">
        <x:v>35</x:v>
      </x:c>
      <x:c r="F187" s="2">
        <x:v>225</x:v>
      </x:c>
      <x:c r="G187" s="3">
        <x:f t="shared" si="2"/>
        <x:v>10918.039327134844</x:v>
      </x:c>
      <x:c r="H187" s="3">
        <x:v>2456558.8486053399</x:v>
      </x:c>
      <x:c r="I187" s="6" t="e">
        <x:f>SUMIF([1]Pengiriman!AB:AB,B187,[1]Pengiriman!AJ:AJ)</x:f>
        <x:v>#NAME?</x:v>
      </x:c>
    </x:row>
    <x:row r="188">
      <x:c r="A188" s="2" t="s">
        <x:v>144</x:v>
      </x:c>
      <x:c r="B188" s="2">
        <x:v>5452</x:v>
      </x:c>
      <x:c r="C188" s="2">
        <x:v>11658</x:v>
      </x:c>
      <x:c r="D188" s="2" t="s">
        <x:v>146</x:v>
      </x:c>
      <x:c r="E188" s="2">
        <x:v>0</x:v>
      </x:c>
      <x:c r="F188" s="2">
        <x:v>450</x:v>
      </x:c>
      <x:c r="G188" s="3">
        <x:f t="shared" si="2"/>
        <x:v>11119.971999905296</x:v>
      </x:c>
      <x:c r="H188" s="3">
        <x:v>5003987.3999573831</x:v>
      </x:c>
      <x:c r="I188" s="6" t="e">
        <x:f>SUMIF([1]Pengiriman!AB:AB,B188,[1]Pengiriman!AJ:AJ)</x:f>
        <x:v>#NAME?</x:v>
      </x:c>
    </x:row>
    <x:row r="189">
      <x:c r="A189" s="2" t="s">
        <x:v>144</x:v>
      </x:c>
      <x:c r="B189" s="2">
        <x:v>5458</x:v>
      </x:c>
      <x:c r="C189" s="2">
        <x:v>11659</x:v>
      </x:c>
      <x:c r="D189" s="2" t="s">
        <x:v>119</x:v>
      </x:c>
      <x:c r="E189" s="2">
        <x:v>0</x:v>
      </x:c>
      <x:c r="F189" s="2">
        <x:v>225</x:v>
      </x:c>
      <x:c r="G189" s="3">
        <x:f t="shared" si="2"/>
        <x:v>11099.438101714706</x:v>
      </x:c>
      <x:c r="H189" s="3">
        <x:v>2497373.572885809</x:v>
      </x:c>
      <x:c r="I189" s="6" t="e">
        <x:f>SUMIF([1]Pengiriman!AB:AB,B189,[1]Pengiriman!AJ:AJ)</x:f>
        <x:v>#NAME?</x:v>
      </x:c>
    </x:row>
    <x:row r="190">
      <x:c r="A190" s="2" t="s">
        <x:v>144</x:v>
      </x:c>
      <x:c r="B190" s="2">
        <x:v>5459</x:v>
      </x:c>
      <x:c r="C190" s="2">
        <x:v>11660</x:v>
      </x:c>
      <x:c r="D190" s="2" t="s">
        <x:v>116</x:v>
      </x:c>
      <x:c r="E190" s="2">
        <x:v>46</x:v>
      </x:c>
      <x:c r="F190" s="2">
        <x:v>225</x:v>
      </x:c>
      <x:c r="G190" s="3">
        <x:f t="shared" si="2"/>
        <x:v>11003.615285777867</x:v>
      </x:c>
      <x:c r="H190" s="3">
        <x:v>2475813.4393000202</x:v>
      </x:c>
      <x:c r="I190" s="6" t="e">
        <x:f>SUMIF([1]Pengiriman!AB:AB,B190,[1]Pengiriman!AJ:AJ)</x:f>
        <x:v>#NAME?</x:v>
      </x:c>
    </x:row>
    <x:row r="191">
      <x:c r="A191" s="2" t="s">
        <x:v>144</x:v>
      </x:c>
      <x:c r="B191" s="2">
        <x:v>5465</x:v>
      </x:c>
      <x:c r="C191" s="2">
        <x:v>11661</x:v>
      </x:c>
      <x:c r="D191" s="2" t="s">
        <x:v>80</x:v>
      </x:c>
      <x:c r="E191" s="2">
        <x:v>0</x:v>
      </x:c>
      <x:c r="F191" s="2">
        <x:v>450</x:v>
      </x:c>
      <x:c r="G191" s="3">
        <x:f t="shared" si="2"/>
        <x:v>3309.9215406562889</x:v>
      </x:c>
      <x:c r="H191" s="3">
        <x:v>1489464.69329533</x:v>
      </x:c>
      <x:c r="I191" s="6" t="e">
        <x:f>SUMIF([1]Pengiriman!AB:AB,B191,[1]Pengiriman!AJ:AJ)</x:f>
        <x:v>#NAME?</x:v>
      </x:c>
    </x:row>
    <x:row r="192">
      <x:c r="A192" s="2" t="s">
        <x:v>144</x:v>
      </x:c>
      <x:c r="B192" s="2">
        <x:v>5466</x:v>
      </x:c>
      <x:c r="C192" s="2">
        <x:v>11662</x:v>
      </x:c>
      <x:c r="D192" s="2" t="s">
        <x:v>146</x:v>
      </x:c>
      <x:c r="E192" s="2">
        <x:v>0</x:v>
      </x:c>
      <x:c r="F192" s="2">
        <x:v>450</x:v>
      </x:c>
      <x:c r="G192" s="3">
        <x:f t="shared" si="2"/>
        <x:v>3309.9215406562889</x:v>
      </x:c>
      <x:c r="H192" s="3">
        <x:v>1489464.69329533</x:v>
      </x:c>
      <x:c r="I192" s="6" t="e">
        <x:f>SUMIF([1]Pengiriman!AB:AB,B192,[1]Pengiriman!AJ:AJ)</x:f>
        <x:v>#NAME?</x:v>
      </x:c>
    </x:row>
    <x:row r="193">
      <x:c r="A193" s="2" t="s">
        <x:v>144</x:v>
      </x:c>
      <x:c r="B193" s="2">
        <x:v>5467</x:v>
      </x:c>
      <x:c r="C193" s="2">
        <x:v>11663</x:v>
      </x:c>
      <x:c r="D193" s="2" t="s">
        <x:v>80</x:v>
      </x:c>
      <x:c r="E193" s="2">
        <x:v>0</x:v>
      </x:c>
      <x:c r="F193" s="2">
        <x:v>450</x:v>
      </x:c>
      <x:c r="G193" s="3">
        <x:f t="shared" si="2"/>
        <x:v>3309.9215406562889</x:v>
      </x:c>
      <x:c r="H193" s="3">
        <x:v>1489464.69329533</x:v>
      </x:c>
      <x:c r="I193" s="6" t="e">
        <x:f>SUMIF([1]Pengiriman!AB:AB,B193,[1]Pengiriman!AJ:AJ)</x:f>
        <x:v>#NAME?</x:v>
      </x:c>
    </x:row>
    <x:row r="194">
      <x:c r="A194" s="2" t="s">
        <x:v>144</x:v>
      </x:c>
      <x:c r="B194" s="2">
        <x:v>5468</x:v>
      </x:c>
      <x:c r="C194" s="2">
        <x:v>11664</x:v>
      </x:c>
      <x:c r="D194" s="2" t="s">
        <x:v>80</x:v>
      </x:c>
      <x:c r="E194" s="2">
        <x:v>0</x:v>
      </x:c>
      <x:c r="F194" s="2">
        <x:v>450</x:v>
      </x:c>
      <x:c r="G194" s="3">
        <x:f t="shared" si="2"/>
        <x:v>3309.9215406562889</x:v>
      </x:c>
      <x:c r="H194" s="3">
        <x:v>1489464.69329533</x:v>
      </x:c>
      <x:c r="I194" s="6" t="e">
        <x:f>SUMIF([1]Pengiriman!AB:AB,B194,[1]Pengiriman!AJ:AJ)</x:f>
        <x:v>#NAME?</x:v>
      </x:c>
    </x:row>
    <x:row r="195">
      <x:c r="A195" s="2" t="s">
        <x:v>144</x:v>
      </x:c>
      <x:c r="B195" s="2">
        <x:v>5469</x:v>
      </x:c>
      <x:c r="C195" s="2">
        <x:v>11665</x:v>
      </x:c>
      <x:c r="D195" s="2" t="s">
        <x:v>80</x:v>
      </x:c>
      <x:c r="E195" s="2">
        <x:v>0</x:v>
      </x:c>
      <x:c r="F195" s="2">
        <x:v>450</x:v>
      </x:c>
      <x:c r="G195" s="3" t="n">
        <x:f t="shared" ref="G195:G258" si="3">H195/F195</x:f>
        <x:v>3309.921540656289</x:v>
      </x:c>
      <x:c r="H195" s="3">
        <x:v>1489464.69329533</x:v>
      </x:c>
      <x:c r="I195" s="6" t="e">
        <x:f>SUMIF([1]Pengiriman!AB:AB,B195,[1]Pengiriman!AJ:AJ)</x:f>
        <x:v>#NAME?</x:v>
      </x:c>
    </x:row>
    <x:row r="196">
      <x:c r="A196" s="2" t="s">
        <x:v>144</x:v>
      </x:c>
      <x:c r="B196" s="2">
        <x:v>5472</x:v>
      </x:c>
      <x:c r="C196" s="2">
        <x:v>11666</x:v>
      </x:c>
      <x:c r="D196" s="2" t="s">
        <x:v>80</x:v>
      </x:c>
      <x:c r="E196" s="2">
        <x:v>0</x:v>
      </x:c>
      <x:c r="F196" s="2">
        <x:v>450</x:v>
      </x:c>
      <x:c r="G196" s="3">
        <x:f t="shared" si="3"/>
        <x:v>2240.9462025315556</x:v>
      </x:c>
      <x:c r="H196" s="3">
        <x:v>1008425.7911392</x:v>
      </x:c>
      <x:c r="I196" s="6" t="e">
        <x:f>SUMIF([1]Pengiriman!AB:AB,B196,[1]Pengiriman!AJ:AJ)</x:f>
        <x:v>#NAME?</x:v>
      </x:c>
    </x:row>
    <x:row r="197">
      <x:c r="A197" s="2" t="s">
        <x:v>144</x:v>
      </x:c>
      <x:c r="B197" s="2">
        <x:v>5473</x:v>
      </x:c>
      <x:c r="C197" s="2">
        <x:v>11667</x:v>
      </x:c>
      <x:c r="D197" s="2" t="s">
        <x:v>80</x:v>
      </x:c>
      <x:c r="E197" s="2">
        <x:v>0</x:v>
      </x:c>
      <x:c r="F197" s="2">
        <x:v>450</x:v>
      </x:c>
      <x:c r="G197" s="3">
        <x:f t="shared" si="3"/>
        <x:v>2823.0002867203484</x:v>
      </x:c>
      <x:c r="H197" s="3">
        <x:v>1270350.1290241568</x:v>
      </x:c>
      <x:c r="I197" s="6" t="e">
        <x:f>SUMIF([1]Pengiriman!AB:AB,B197,[1]Pengiriman!AJ:AJ)</x:f>
        <x:v>#NAME?</x:v>
      </x:c>
    </x:row>
    <x:row r="198">
      <x:c r="A198" s="2" t="s">
        <x:v>144</x:v>
      </x:c>
      <x:c r="B198" s="2">
        <x:v>5475</x:v>
      </x:c>
      <x:c r="C198" s="2">
        <x:v>11668</x:v>
      </x:c>
      <x:c r="D198" s="2" t="s">
        <x:v>80</x:v>
      </x:c>
      <x:c r="E198" s="2">
        <x:v>0</x:v>
      </x:c>
      <x:c r="F198" s="2">
        <x:v>450</x:v>
      </x:c>
      <x:c r="G198" s="3">
        <x:f t="shared" si="3"/>
        <x:v>6119.8091706262221</x:v>
      </x:c>
      <x:c r="H198" s="3">
        <x:v>2753914.1267817998</x:v>
      </x:c>
      <x:c r="I198" s="6" t="e">
        <x:f>SUMIF([1]Pengiriman!AB:AB,B198,[1]Pengiriman!AJ:AJ)</x:f>
        <x:v>#NAME?</x:v>
      </x:c>
    </x:row>
    <x:row r="199">
      <x:c r="A199" s="2" t="s">
        <x:v>144</x:v>
      </x:c>
      <x:c r="B199" s="2">
        <x:v>5476</x:v>
      </x:c>
      <x:c r="C199" s="2">
        <x:v>11669</x:v>
      </x:c>
      <x:c r="D199" s="2" t="s">
        <x:v>80</x:v>
      </x:c>
      <x:c r="E199" s="2">
        <x:v>0</x:v>
      </x:c>
      <x:c r="F199" s="2">
        <x:v>450</x:v>
      </x:c>
      <x:c r="G199" s="3">
        <x:f t="shared" si="3"/>
        <x:v>6119.8091706262221</x:v>
      </x:c>
      <x:c r="H199" s="3">
        <x:v>2753914.1267817998</x:v>
      </x:c>
      <x:c r="I199" s="6" t="e">
        <x:f>SUMIF([1]Pengiriman!AB:AB,B199,[1]Pengiriman!AJ:AJ)</x:f>
        <x:v>#NAME?</x:v>
      </x:c>
    </x:row>
    <x:row r="200">
      <x:c r="A200" s="2" t="s">
        <x:v>144</x:v>
      </x:c>
      <x:c r="B200" s="2">
        <x:v>5477</x:v>
      </x:c>
      <x:c r="C200" s="2">
        <x:v>11670</x:v>
      </x:c>
      <x:c r="D200" s="2" t="s">
        <x:v>80</x:v>
      </x:c>
      <x:c r="E200" s="2">
        <x:v>0</x:v>
      </x:c>
      <x:c r="F200" s="2">
        <x:v>450</x:v>
      </x:c>
      <x:c r="G200" s="3">
        <x:f t="shared" si="3"/>
        <x:v>6119.8091706262221</x:v>
      </x:c>
      <x:c r="H200" s="3">
        <x:v>2753914.1267817998</x:v>
      </x:c>
      <x:c r="I200" s="6" t="e">
        <x:f>SUMIF([1]Pengiriman!AB:AB,B200,[1]Pengiriman!AJ:AJ)</x:f>
        <x:v>#NAME?</x:v>
      </x:c>
    </x:row>
    <x:row r="201">
      <x:c r="A201" s="2" t="s">
        <x:v>144</x:v>
      </x:c>
      <x:c r="B201" s="2">
        <x:v>5478</x:v>
      </x:c>
      <x:c r="C201" s="2">
        <x:v>11671</x:v>
      </x:c>
      <x:c r="D201" s="2" t="s">
        <x:v>80</x:v>
      </x:c>
      <x:c r="E201" s="2">
        <x:v>0</x:v>
      </x:c>
      <x:c r="F201" s="2">
        <x:v>450</x:v>
      </x:c>
      <x:c r="G201" s="3">
        <x:f t="shared" si="3"/>
        <x:v>6119.8091706262221</x:v>
      </x:c>
      <x:c r="H201" s="3">
        <x:v>2753914.1267817998</x:v>
      </x:c>
      <x:c r="I201" s="6" t="e">
        <x:f>SUMIF([1]Pengiriman!AB:AB,B201,[1]Pengiriman!AJ:AJ)</x:f>
        <x:v>#NAME?</x:v>
      </x:c>
    </x:row>
    <x:row r="202">
      <x:c r="A202" s="2" t="s">
        <x:v>144</x:v>
      </x:c>
      <x:c r="B202" s="2">
        <x:v>5479</x:v>
      </x:c>
      <x:c r="C202" s="2">
        <x:v>11672</x:v>
      </x:c>
      <x:c r="D202" s="2" t="s">
        <x:v>80</x:v>
      </x:c>
      <x:c r="E202" s="2">
        <x:v>0</x:v>
      </x:c>
      <x:c r="F202" s="2">
        <x:v>450</x:v>
      </x:c>
      <x:c r="G202" s="3">
        <x:f t="shared" si="3"/>
        <x:v>6119.8091706262221</x:v>
      </x:c>
      <x:c r="H202" s="3">
        <x:v>2753914.1267817998</x:v>
      </x:c>
      <x:c r="I202" s="6" t="e">
        <x:f>SUMIF([1]Pengiriman!AB:AB,B202,[1]Pengiriman!AJ:AJ)</x:f>
        <x:v>#NAME?</x:v>
      </x:c>
    </x:row>
    <x:row r="203">
      <x:c r="A203" s="2" t="s">
        <x:v>144</x:v>
      </x:c>
      <x:c r="B203" s="2">
        <x:v>5480</x:v>
      </x:c>
      <x:c r="C203" s="2">
        <x:v>11673</x:v>
      </x:c>
      <x:c r="D203" s="2" t="s">
        <x:v>80</x:v>
      </x:c>
      <x:c r="E203" s="2">
        <x:v>0</x:v>
      </x:c>
      <x:c r="F203" s="2">
        <x:v>450</x:v>
      </x:c>
      <x:c r="G203" s="3">
        <x:f t="shared" si="3"/>
        <x:v>6119.8091706262221</x:v>
      </x:c>
      <x:c r="H203" s="3">
        <x:v>2753914.1267817998</x:v>
      </x:c>
      <x:c r="I203" s="6" t="e">
        <x:f>SUMIF([1]Pengiriman!AB:AB,B203,[1]Pengiriman!AJ:AJ)</x:f>
        <x:v>#NAME?</x:v>
      </x:c>
    </x:row>
    <x:row r="204">
      <x:c r="A204" s="2" t="s">
        <x:v>144</x:v>
      </x:c>
      <x:c r="B204" s="2">
        <x:v>5481</x:v>
      </x:c>
      <x:c r="C204" s="2">
        <x:v>11674</x:v>
      </x:c>
      <x:c r="D204" s="2" t="s">
        <x:v>80</x:v>
      </x:c>
      <x:c r="E204" s="2">
        <x:v>0</x:v>
      </x:c>
      <x:c r="F204" s="2">
        <x:v>450</x:v>
      </x:c>
      <x:c r="G204" s="3">
        <x:f t="shared" si="3"/>
        <x:v>6119.8091706262221</x:v>
      </x:c>
      <x:c r="H204" s="3">
        <x:v>2753914.1267817998</x:v>
      </x:c>
      <x:c r="I204" s="6" t="e">
        <x:f>SUMIF([1]Pengiriman!AB:AB,B204,[1]Pengiriman!AJ:AJ)</x:f>
        <x:v>#NAME?</x:v>
      </x:c>
    </x:row>
    <x:row r="205">
      <x:c r="A205" s="2" t="s">
        <x:v>144</x:v>
      </x:c>
      <x:c r="B205" s="2">
        <x:v>5482</x:v>
      </x:c>
      <x:c r="C205" s="2">
        <x:v>11675</x:v>
      </x:c>
      <x:c r="D205" s="2" t="s">
        <x:v>80</x:v>
      </x:c>
      <x:c r="E205" s="2">
        <x:v>0</x:v>
      </x:c>
      <x:c r="F205" s="2">
        <x:v>450</x:v>
      </x:c>
      <x:c r="G205" s="3">
        <x:f t="shared" si="3"/>
        <x:v>6119.8091706262221</x:v>
      </x:c>
      <x:c r="H205" s="3">
        <x:v>2753914.1267817998</x:v>
      </x:c>
      <x:c r="I205" s="6" t="e">
        <x:f>SUMIF([1]Pengiriman!AB:AB,B205,[1]Pengiriman!AJ:AJ)</x:f>
        <x:v>#NAME?</x:v>
      </x:c>
    </x:row>
    <x:row r="206">
      <x:c r="A206" s="2" t="s">
        <x:v>144</x:v>
      </x:c>
      <x:c r="B206" s="2">
        <x:v>5483</x:v>
      </x:c>
      <x:c r="C206" s="2">
        <x:v>11676</x:v>
      </x:c>
      <x:c r="D206" s="2" t="s">
        <x:v>80</x:v>
      </x:c>
      <x:c r="E206" s="2">
        <x:v>0</x:v>
      </x:c>
      <x:c r="F206" s="2">
        <x:v>450</x:v>
      </x:c>
      <x:c r="G206" s="3">
        <x:f t="shared" si="3"/>
        <x:v>6119.8091706261775</x:v>
      </x:c>
      <x:c r="H206" s="3">
        <x:v>2753914.1267817798</x:v>
      </x:c>
      <x:c r="I206" s="6" t="e">
        <x:f>SUMIF([1]Pengiriman!AB:AB,B206,[1]Pengiriman!AJ:AJ)</x:f>
        <x:v>#NAME?</x:v>
      </x:c>
    </x:row>
    <x:row r="207">
      <x:c r="A207" s="2" t="s">
        <x:v>144</x:v>
      </x:c>
      <x:c r="B207" s="2">
        <x:v>5484</x:v>
      </x:c>
      <x:c r="C207" s="2">
        <x:v>11677</x:v>
      </x:c>
      <x:c r="D207" s="2" t="s">
        <x:v>101</x:v>
      </x:c>
      <x:c r="E207" s="2">
        <x:v>34</x:v>
      </x:c>
      <x:c r="F207" s="2">
        <x:v>225</x:v>
      </x:c>
      <x:c r="G207" s="3">
        <x:f t="shared" si="3"/>
        <x:v>12059.153952842978</x:v>
      </x:c>
      <x:c r="H207" s="3">
        <x:v>2713309.63938967</x:v>
      </x:c>
      <x:c r="I207" s="6" t="e">
        <x:f>SUMIF([1]Pengiriman!AB:AB,B207,[1]Pengiriman!AJ:AJ)</x:f>
        <x:v>#NAME?</x:v>
      </x:c>
    </x:row>
    <x:row r="208">
      <x:c r="A208" s="2" t="s">
        <x:v>144</x:v>
      </x:c>
      <x:c r="B208" s="2">
        <x:v>5485</x:v>
      </x:c>
      <x:c r="C208" s="2">
        <x:v>11678</x:v>
      </x:c>
      <x:c r="D208" s="2" t="s">
        <x:v>101</x:v>
      </x:c>
      <x:c r="E208" s="2">
        <x:v>36</x:v>
      </x:c>
      <x:c r="F208" s="2">
        <x:v>225</x:v>
      </x:c>
      <x:c r="G208" s="3">
        <x:f t="shared" si="3"/>
        <x:v>12059.153952842978</x:v>
      </x:c>
      <x:c r="H208" s="3">
        <x:v>2713309.63938967</x:v>
      </x:c>
      <x:c r="I208" s="6" t="e">
        <x:f>SUMIF([1]Pengiriman!AB:AB,B208,[1]Pengiriman!AJ:AJ)</x:f>
        <x:v>#NAME?</x:v>
      </x:c>
    </x:row>
    <x:row r="209">
      <x:c r="A209" s="2" t="s">
        <x:v>144</x:v>
      </x:c>
      <x:c r="B209" s="2">
        <x:v>5486</x:v>
      </x:c>
      <x:c r="C209" s="2">
        <x:v>11679</x:v>
      </x:c>
      <x:c r="D209" s="2" t="s">
        <x:v>112</x:v>
      </x:c>
      <x:c r="E209" s="2">
        <x:v>46</x:v>
      </x:c>
      <x:c r="F209" s="2">
        <x:v>225</x:v>
      </x:c>
      <x:c r="G209" s="3">
        <x:f t="shared" si="3"/>
        <x:v>12059.153952842978</x:v>
      </x:c>
      <x:c r="H209" s="3">
        <x:v>2713309.63938967</x:v>
      </x:c>
      <x:c r="I209" s="6" t="e">
        <x:f>SUMIF([1]Pengiriman!AB:AB,B209,[1]Pengiriman!AJ:AJ)</x:f>
        <x:v>#NAME?</x:v>
      </x:c>
    </x:row>
    <x:row r="210">
      <x:c r="A210" s="2" t="s">
        <x:v>144</x:v>
      </x:c>
      <x:c r="B210" s="2">
        <x:v>5487</x:v>
      </x:c>
      <x:c r="C210" s="2">
        <x:v>11680</x:v>
      </x:c>
      <x:c r="D210" s="2" t="s">
        <x:v>112</x:v>
      </x:c>
      <x:c r="E210" s="2">
        <x:v>43</x:v>
      </x:c>
      <x:c r="F210" s="2">
        <x:v>225</x:v>
      </x:c>
      <x:c r="G210" s="3">
        <x:f t="shared" si="3"/>
        <x:v>12059.153952842978</x:v>
      </x:c>
      <x:c r="H210" s="3">
        <x:v>2713309.63938967</x:v>
      </x:c>
      <x:c r="I210" s="6" t="e">
        <x:f>SUMIF([1]Pengiriman!AB:AB,B210,[1]Pengiriman!AJ:AJ)</x:f>
        <x:v>#NAME?</x:v>
      </x:c>
    </x:row>
    <x:row r="211">
      <x:c r="A211" s="2" t="s">
        <x:v>144</x:v>
      </x:c>
      <x:c r="B211" s="2">
        <x:v>5489</x:v>
      </x:c>
      <x:c r="C211" s="2">
        <x:v>11681</x:v>
      </x:c>
      <x:c r="D211" s="2" t="s">
        <x:v>112</x:v>
      </x:c>
      <x:c r="E211" s="2">
        <x:v>43</x:v>
      </x:c>
      <x:c r="F211" s="2">
        <x:v>225</x:v>
      </x:c>
      <x:c r="G211" s="3">
        <x:f t="shared" si="3"/>
        <x:v>11657.357672343765</x:v>
      </x:c>
      <x:c r="H211" s="3">
        <x:v>2622905.4762773472</x:v>
      </x:c>
      <x:c r="I211" s="6" t="e">
        <x:f>SUMIF([1]Pengiriman!AB:AB,B211,[1]Pengiriman!AJ:AJ)</x:f>
        <x:v>#NAME?</x:v>
      </x:c>
    </x:row>
    <x:row r="212">
      <x:c r="A212" s="2" t="s">
        <x:v>144</x:v>
      </x:c>
      <x:c r="B212" s="2">
        <x:v>5492</x:v>
      </x:c>
      <x:c r="C212" s="2">
        <x:v>11682</x:v>
      </x:c>
      <x:c r="D212" s="2" t="s">
        <x:v>96</x:v>
      </x:c>
      <x:c r="E212" s="2">
        <x:v>46</x:v>
      </x:c>
      <x:c r="F212" s="2">
        <x:v>225</x:v>
      </x:c>
      <x:c r="G212" s="3">
        <x:f t="shared" si="3"/>
        <x:v>11859.7641616888</x:v>
      </x:c>
      <x:c r="H212" s="3">
        <x:v>2668446.9363799798</x:v>
      </x:c>
      <x:c r="I212" s="6" t="e">
        <x:f>SUMIF([1]Pengiriman!AB:AB,B212,[1]Pengiriman!AJ:AJ)</x:f>
        <x:v>#NAME?</x:v>
      </x:c>
    </x:row>
    <x:row r="213">
      <x:c r="A213" s="2" t="s">
        <x:v>144</x:v>
      </x:c>
      <x:c r="B213" s="2">
        <x:v>5494</x:v>
      </x:c>
      <x:c r="C213" s="2">
        <x:v>11683</x:v>
      </x:c>
      <x:c r="D213" s="2" t="s">
        <x:v>101</x:v>
      </x:c>
      <x:c r="E213" s="2">
        <x:v>35</x:v>
      </x:c>
      <x:c r="F213" s="2">
        <x:v>225</x:v>
      </x:c>
      <x:c r="G213" s="3">
        <x:f t="shared" si="3"/>
        <x:v>10966.758930925773</x:v>
      </x:c>
      <x:c r="H213" s="3">
        <x:v>2467520.7594582988</x:v>
      </x:c>
      <x:c r="I213" s="6" t="e">
        <x:f>SUMIF([1]Pengiriman!AB:AB,B213,[1]Pengiriman!AJ:AJ)</x:f>
        <x:v>#NAME?</x:v>
      </x:c>
    </x:row>
    <x:row r="214">
      <x:c r="A214" s="2" t="s">
        <x:v>144</x:v>
      </x:c>
      <x:c r="B214" s="2">
        <x:v>5495</x:v>
      </x:c>
      <x:c r="C214" s="2">
        <x:v>11684</x:v>
      </x:c>
      <x:c r="D214" s="2" t="s">
        <x:v>112</x:v>
      </x:c>
      <x:c r="E214" s="2">
        <x:v>43</x:v>
      </x:c>
      <x:c r="F214" s="2">
        <x:v>225</x:v>
      </x:c>
      <x:c r="G214" s="3">
        <x:f t="shared" si="3"/>
        <x:v>10940.922573360782</x:v>
      </x:c>
      <x:c r="H214" s="3">
        <x:v>2461707.579006176</x:v>
      </x:c>
      <x:c r="I214" s="6" t="e">
        <x:f>SUMIF([1]Pengiriman!AB:AB,B214,[1]Pengiriman!AJ:AJ)</x:f>
        <x:v>#NAME?</x:v>
      </x:c>
    </x:row>
    <x:row r="215">
      <x:c r="A215" s="2" t="s">
        <x:v>144</x:v>
      </x:c>
      <x:c r="B215" s="2">
        <x:v>5502</x:v>
      </x:c>
      <x:c r="C215" s="2">
        <x:v>11685</x:v>
      </x:c>
      <x:c r="D215" s="2" t="s">
        <x:v>121</x:v>
      </x:c>
      <x:c r="E215" s="2">
        <x:v>48</x:v>
      </x:c>
      <x:c r="F215" s="2">
        <x:v>225</x:v>
      </x:c>
      <x:c r="G215" s="3">
        <x:f t="shared" si="3"/>
        <x:v>12059.153952842978</x:v>
      </x:c>
      <x:c r="H215" s="3">
        <x:v>2713309.63938967</x:v>
      </x:c>
      <x:c r="I215" s="6" t="e">
        <x:f>SUMIF([1]Pengiriman!AB:AB,B215,[1]Pengiriman!AJ:AJ)</x:f>
        <x:v>#NAME?</x:v>
      </x:c>
    </x:row>
    <x:row r="216">
      <x:c r="A216" s="2" t="s">
        <x:v>144</x:v>
      </x:c>
      <x:c r="B216" s="2">
        <x:v>5507</x:v>
      </x:c>
      <x:c r="C216" s="2">
        <x:v>11686</x:v>
      </x:c>
      <x:c r="D216" s="2" t="s">
        <x:v>116</x:v>
      </x:c>
      <x:c r="E216" s="2">
        <x:v>46</x:v>
      </x:c>
      <x:c r="F216" s="2">
        <x:v>225</x:v>
      </x:c>
      <x:c r="G216" s="3">
        <x:f t="shared" si="3"/>
        <x:v>11041.276979116192</x:v>
      </x:c>
      <x:c r="H216" s="3">
        <x:v>2484287.320301143</x:v>
      </x:c>
      <x:c r="I216" s="6" t="e">
        <x:f>SUMIF([1]Pengiriman!AB:AB,B216,[1]Pengiriman!AJ:AJ)</x:f>
        <x:v>#NAME?</x:v>
      </x:c>
    </x:row>
    <x:row r="217">
      <x:c r="A217" s="2" t="s">
        <x:v>144</x:v>
      </x:c>
      <x:c r="B217" s="2">
        <x:v>5508</x:v>
      </x:c>
      <x:c r="C217" s="2">
        <x:v>11687</x:v>
      </x:c>
      <x:c r="D217" s="2" t="s">
        <x:v>118</x:v>
      </x:c>
      <x:c r="E217" s="2">
        <x:v>35</x:v>
      </x:c>
      <x:c r="F217" s="2">
        <x:v>225</x:v>
      </x:c>
      <x:c r="G217" s="3">
        <x:f t="shared" si="3"/>
        <x:v>10946.336209486977</x:v>
      </x:c>
      <x:c r="H217" s="3">
        <x:v>2462925.6471345699</x:v>
      </x:c>
      <x:c r="I217" s="6" t="e">
        <x:f>SUMIF([1]Pengiriman!AB:AB,B217,[1]Pengiriman!AJ:AJ)</x:f>
        <x:v>#NAME?</x:v>
      </x:c>
    </x:row>
    <x:row r="218">
      <x:c r="A218" s="2" t="s">
        <x:v>144</x:v>
      </x:c>
      <x:c r="B218" s="2">
        <x:v>5509</x:v>
      </x:c>
      <x:c r="C218" s="2">
        <x:v>11688</x:v>
      </x:c>
      <x:c r="D218" s="2" t="s">
        <x:v>110</x:v>
      </x:c>
      <x:c r="E218" s="2">
        <x:v>46</x:v>
      </x:c>
      <x:c r="F218" s="2">
        <x:v>225</x:v>
      </x:c>
      <x:c r="G218" s="3">
        <x:f t="shared" si="3"/>
        <x:v>10944.435375875599</x:v>
      </x:c>
      <x:c r="H218" s="3">
        <x:v>2462497.9595720097</x:v>
      </x:c>
      <x:c r="I218" s="6" t="e">
        <x:f>SUMIF([1]Pengiriman!AB:AB,B218,[1]Pengiriman!AJ:AJ)</x:f>
        <x:v>#NAME?</x:v>
      </x:c>
    </x:row>
    <x:row r="219">
      <x:c r="A219" s="2" t="s">
        <x:v>144</x:v>
      </x:c>
      <x:c r="B219" s="2">
        <x:v>5511</x:v>
      </x:c>
      <x:c r="C219" s="2">
        <x:v>11689</x:v>
      </x:c>
      <x:c r="D219" s="2" t="s">
        <x:v>120</x:v>
      </x:c>
      <x:c r="E219" s="2">
        <x:v>35</x:v>
      </x:c>
      <x:c r="F219" s="2">
        <x:v>225</x:v>
      </x:c>
      <x:c r="G219" s="3">
        <x:f t="shared" si="3"/>
        <x:v>10996.527387162996</x:v>
      </x:c>
      <x:c r="H219" s="3">
        <x:v>2474218.662111674</x:v>
      </x:c>
      <x:c r="I219" s="6" t="e">
        <x:f>SUMIF([1]Pengiriman!AB:AB,B219,[1]Pengiriman!AJ:AJ)</x:f>
        <x:v>#NAME?</x:v>
      </x:c>
    </x:row>
    <x:row r="220">
      <x:c r="A220" s="2" t="s">
        <x:v>144</x:v>
      </x:c>
      <x:c r="B220" s="2">
        <x:v>5512</x:v>
      </x:c>
      <x:c r="C220" s="2">
        <x:v>11690</x:v>
      </x:c>
      <x:c r="D220" s="2" t="s">
        <x:v>121</x:v>
      </x:c>
      <x:c r="E220" s="2">
        <x:v>45</x:v>
      </x:c>
      <x:c r="F220" s="2">
        <x:v>225</x:v>
      </x:c>
      <x:c r="G220" s="3">
        <x:f t="shared" si="3"/>
        <x:v>10979.298413938801</x:v>
      </x:c>
      <x:c r="H220" s="3">
        <x:v>2470342.1431362303</x:v>
      </x:c>
      <x:c r="I220" s="6" t="e">
        <x:f>SUMIF([1]Pengiriman!AB:AB,B220,[1]Pengiriman!AJ:AJ)</x:f>
        <x:v>#NAME?</x:v>
      </x:c>
    </x:row>
    <x:row r="221">
      <x:c r="A221" s="2" t="s">
        <x:v>144</x:v>
      </x:c>
      <x:c r="B221" s="2">
        <x:v>5513</x:v>
      </x:c>
      <x:c r="C221" s="2">
        <x:v>11691</x:v>
      </x:c>
      <x:c r="D221" s="2" t="s">
        <x:v>118</x:v>
      </x:c>
      <x:c r="E221" s="2">
        <x:v>37</x:v>
      </x:c>
      <x:c r="F221" s="2">
        <x:v>225</x:v>
      </x:c>
      <x:c r="G221" s="3">
        <x:f t="shared" si="3"/>
        <x:v>12070.701783884588</x:v>
      </x:c>
      <x:c r="H221" s="3">
        <x:v>2715907.9013740323</x:v>
      </x:c>
      <x:c r="I221" s="6" t="e">
        <x:f>SUMIF([1]Pengiriman!AB:AB,B221,[1]Pengiriman!AJ:AJ)</x:f>
        <x:v>#NAME?</x:v>
      </x:c>
    </x:row>
    <x:row r="222">
      <x:c r="A222" s="2" t="s">
        <x:v>144</x:v>
      </x:c>
      <x:c r="B222" s="2">
        <x:v>5526</x:v>
      </x:c>
      <x:c r="C222" s="2">
        <x:v>11692</x:v>
      </x:c>
      <x:c r="D222" s="2" t="s">
        <x:v>119</x:v>
      </x:c>
      <x:c r="E222" s="2">
        <x:v>0</x:v>
      </x:c>
      <x:c r="F222" s="2">
        <x:v>225</x:v>
      </x:c>
      <x:c r="G222" s="3">
        <x:f t="shared" si="3"/>
        <x:v>11361.797238505022</x:v>
      </x:c>
      <x:c r="H222" s="3">
        <x:v>2556404.3786636298</x:v>
      </x:c>
      <x:c r="I222" s="6" t="e">
        <x:f>SUMIF([1]Pengiriman!AB:AB,B222,[1]Pengiriman!AJ:AJ)</x:f>
        <x:v>#NAME?</x:v>
      </x:c>
    </x:row>
    <x:row r="223">
      <x:c r="A223" s="2" t="s">
        <x:v>144</x:v>
      </x:c>
      <x:c r="B223" s="2">
        <x:v>5530</x:v>
      </x:c>
      <x:c r="C223" s="2">
        <x:v>11693</x:v>
      </x:c>
      <x:c r="D223" s="2" t="s">
        <x:v>146</x:v>
      </x:c>
      <x:c r="E223" s="2">
        <x:v>0</x:v>
      </x:c>
      <x:c r="F223" s="2">
        <x:v>450</x:v>
      </x:c>
      <x:c r="G223" s="3">
        <x:f t="shared" si="3"/>
        <x:v>11307.542590322</x:v>
      </x:c>
      <x:c r="H223" s="3">
        <x:v>5088394.1656448999</x:v>
      </x:c>
      <x:c r="I223" s="6" t="e">
        <x:f>SUMIF([1]Pengiriman!AB:AB,B223,[1]Pengiriman!AJ:AJ)</x:f>
        <x:v>#NAME?</x:v>
      </x:c>
    </x:row>
    <x:row r="224">
      <x:c r="A224" s="2" t="s">
        <x:v>144</x:v>
      </x:c>
      <x:c r="B224" s="2">
        <x:v>5533</x:v>
      </x:c>
      <x:c r="C224" s="2">
        <x:v>11694</x:v>
      </x:c>
      <x:c r="D224" s="2" t="s">
        <x:v>119</x:v>
      </x:c>
      <x:c r="E224" s="2">
        <x:v>0</x:v>
      </x:c>
      <x:c r="F224" s="2">
        <x:v>225</x:v>
      </x:c>
      <x:c r="G224" s="3">
        <x:f t="shared" si="3"/>
        <x:v>9591.5381786538928</x:v>
      </x:c>
      <x:c r="H224" s="3">
        <x:v>2158096.0901971259</x:v>
      </x:c>
      <x:c r="I224" s="6" t="e">
        <x:f>SUMIF([1]Pengiriman!AB:AB,B224,[1]Pengiriman!AJ:AJ)</x:f>
        <x:v>#NAME?</x:v>
      </x:c>
    </x:row>
    <x:row r="225">
      <x:c r="A225" s="2" t="s">
        <x:v>144</x:v>
      </x:c>
      <x:c r="B225" s="2">
        <x:v>5534</x:v>
      </x:c>
      <x:c r="C225" s="2">
        <x:v>11695</x:v>
      </x:c>
      <x:c r="D225" s="2" t="s">
        <x:v>146</x:v>
      </x:c>
      <x:c r="E225" s="2">
        <x:v>0</x:v>
      </x:c>
      <x:c r="F225" s="2">
        <x:v>450</x:v>
      </x:c>
      <x:c r="G225" s="3">
        <x:f t="shared" si="3"/>
        <x:v>9524.6885445226799</x:v>
      </x:c>
      <x:c r="H225" s="3">
        <x:v>4286109.8450352056</x:v>
      </x:c>
      <x:c r="I225" s="6" t="e">
        <x:f>SUMIF([1]Pengiriman!AB:AB,B225,[1]Pengiriman!AJ:AJ)</x:f>
        <x:v>#NAME?</x:v>
      </x:c>
    </x:row>
    <x:row r="226">
      <x:c r="A226" s="2" t="s">
        <x:v>144</x:v>
      </x:c>
      <x:c r="B226" s="2">
        <x:v>5554</x:v>
      </x:c>
      <x:c r="C226" s="2">
        <x:v>11696</x:v>
      </x:c>
      <x:c r="D226" s="2" t="s">
        <x:v>119</x:v>
      </x:c>
      <x:c r="E226" s="2">
        <x:v>0</x:v>
      </x:c>
      <x:c r="F226" s="2">
        <x:v>225</x:v>
      </x:c>
      <x:c r="G226" s="3">
        <x:f t="shared" si="3"/>
        <x:v>9859.525808595261</x:v>
      </x:c>
      <x:c r="H226" s="3">
        <x:v>2218393.3069339339</x:v>
      </x:c>
      <x:c r="I226" s="6" t="e">
        <x:f>SUMIF([1]Pengiriman!AB:AB,B226,[1]Pengiriman!AJ:AJ)</x:f>
        <x:v>#NAME?</x:v>
      </x:c>
    </x:row>
    <x:row r="227">
      <x:c r="A227" s="2" t="s">
        <x:v>144</x:v>
      </x:c>
      <x:c r="B227" s="2">
        <x:v>5555</x:v>
      </x:c>
      <x:c r="C227" s="2">
        <x:v>11697</x:v>
      </x:c>
      <x:c r="D227" s="2" t="s">
        <x:v>146</x:v>
      </x:c>
      <x:c r="E227" s="2">
        <x:v>0</x:v>
      </x:c>
      <x:c r="F227" s="2">
        <x:v>225</x:v>
      </x:c>
      <x:c r="G227" s="3">
        <x:f t="shared" si="3"/>
        <x:v>10774.256084061739</x:v>
      </x:c>
      <x:c r="H227" s="3">
        <x:v>2424207.6189138913</x:v>
      </x:c>
      <x:c r="I227" s="6" t="e">
        <x:f>SUMIF([1]Pengiriman!AB:AB,B227,[1]Pengiriman!AJ:AJ)</x:f>
        <x:v>#NAME?</x:v>
      </x:c>
    </x:row>
    <x:row r="228">
      <x:c r="A228" s="2" t="s">
        <x:v>144</x:v>
      </x:c>
      <x:c r="B228" s="2">
        <x:v>5559</x:v>
      </x:c>
      <x:c r="C228" s="2">
        <x:v>11698</x:v>
      </x:c>
      <x:c r="D228" s="2" t="s">
        <x:v>80</x:v>
      </x:c>
      <x:c r="E228" s="2">
        <x:v>0</x:v>
      </x:c>
      <x:c r="F228" s="2">
        <x:v>450</x:v>
      </x:c>
      <x:c r="G228" s="3">
        <x:f t="shared" si="3"/>
        <x:v>3297.1573137074884</x:v>
      </x:c>
      <x:c r="H228" s="3">
        <x:v>1483720.7911683698</x:v>
      </x:c>
      <x:c r="I228" s="6" t="e">
        <x:f>SUMIF([1]Pengiriman!AB:AB,B228,[1]Pengiriman!AJ:AJ)</x:f>
        <x:v>#NAME?</x:v>
      </x:c>
    </x:row>
    <x:row r="229">
      <x:c r="A229" s="2" t="s">
        <x:v>144</x:v>
      </x:c>
      <x:c r="B229" s="2">
        <x:v>5560</x:v>
      </x:c>
      <x:c r="C229" s="2">
        <x:v>11699</x:v>
      </x:c>
      <x:c r="D229" s="2" t="s">
        <x:v>80</x:v>
      </x:c>
      <x:c r="E229" s="2">
        <x:v>0</x:v>
      </x:c>
      <x:c r="F229" s="2">
        <x:v>450</x:v>
      </x:c>
      <x:c r="G229" s="3">
        <x:f t="shared" si="3"/>
        <x:v>3297.1573137074884</x:v>
      </x:c>
      <x:c r="H229" s="3">
        <x:v>1483720.7911683698</x:v>
      </x:c>
      <x:c r="I229" s="6" t="e">
        <x:f>SUMIF([1]Pengiriman!AB:AB,B229,[1]Pengiriman!AJ:AJ)</x:f>
        <x:v>#NAME?</x:v>
      </x:c>
    </x:row>
    <x:row r="230">
      <x:c r="A230" s="2" t="s">
        <x:v>144</x:v>
      </x:c>
      <x:c r="B230" s="2">
        <x:v>5561</x:v>
      </x:c>
      <x:c r="C230" s="2">
        <x:v>11700</x:v>
      </x:c>
      <x:c r="D230" s="2" t="s">
        <x:v>80</x:v>
      </x:c>
      <x:c r="E230" s="2">
        <x:v>0</x:v>
      </x:c>
      <x:c r="F230" s="2">
        <x:v>450</x:v>
      </x:c>
      <x:c r="G230" s="3">
        <x:f t="shared" si="3"/>
        <x:v>3297.1573137074884</x:v>
      </x:c>
      <x:c r="H230" s="3">
        <x:v>1483720.7911683698</x:v>
      </x:c>
      <x:c r="I230" s="6" t="e">
        <x:f>SUMIF([1]Pengiriman!AB:AB,B230,[1]Pengiriman!AJ:AJ)</x:f>
        <x:v>#NAME?</x:v>
      </x:c>
    </x:row>
    <x:row r="231">
      <x:c r="A231" s="2" t="s">
        <x:v>144</x:v>
      </x:c>
      <x:c r="B231" s="2">
        <x:v>5562</x:v>
      </x:c>
      <x:c r="C231" s="2">
        <x:v>11701</x:v>
      </x:c>
      <x:c r="D231" s="2" t="s">
        <x:v>80</x:v>
      </x:c>
      <x:c r="E231" s="2">
        <x:v>0</x:v>
      </x:c>
      <x:c r="F231" s="2">
        <x:v>450</x:v>
      </x:c>
      <x:c r="G231" s="3">
        <x:f t="shared" si="3"/>
        <x:v>3392.1633036133999</x:v>
      </x:c>
      <x:c r="H231" s="3">
        <x:v>1526473.4866260299</x:v>
      </x:c>
      <x:c r="I231" s="6" t="e">
        <x:f>SUMIF([1]Pengiriman!AB:AB,B231,[1]Pengiriman!AJ:AJ)</x:f>
        <x:v>#NAME?</x:v>
      </x:c>
    </x:row>
    <x:row r="232">
      <x:c r="A232" s="2" t="s">
        <x:v>144</x:v>
      </x:c>
      <x:c r="B232" s="2">
        <x:v>5564</x:v>
      </x:c>
      <x:c r="C232" s="2">
        <x:v>11702</x:v>
      </x:c>
      <x:c r="D232" s="2" t="s">
        <x:v>80</x:v>
      </x:c>
      <x:c r="E232" s="2">
        <x:v>0</x:v>
      </x:c>
      <x:c r="F232" s="2">
        <x:v>450</x:v>
      </x:c>
      <x:c r="G232" s="3">
        <x:f t="shared" si="3"/>
        <x:v>3392.1633036133999</x:v>
      </x:c>
      <x:c r="H232" s="3">
        <x:v>1526473.4866260299</x:v>
      </x:c>
      <x:c r="I232" s="6" t="e">
        <x:f>SUMIF([1]Pengiriman!AB:AB,B232,[1]Pengiriman!AJ:AJ)</x:f>
        <x:v>#NAME?</x:v>
      </x:c>
    </x:row>
    <x:row r="233">
      <x:c r="A233" s="2" t="s">
        <x:v>144</x:v>
      </x:c>
      <x:c r="B233" s="2">
        <x:v>5565</x:v>
      </x:c>
      <x:c r="C233" s="2">
        <x:v>11703</x:v>
      </x:c>
      <x:c r="D233" s="2" t="s">
        <x:v>80</x:v>
      </x:c>
      <x:c r="E233" s="2">
        <x:v>0</x:v>
      </x:c>
      <x:c r="F233" s="2">
        <x:v>450</x:v>
      </x:c>
      <x:c r="G233" s="3">
        <x:f t="shared" si="3"/>
        <x:v>3392.1633036133999</x:v>
      </x:c>
      <x:c r="H233" s="3">
        <x:v>1526473.4866260299</x:v>
      </x:c>
      <x:c r="I233" s="6" t="e">
        <x:f>SUMIF([1]Pengiriman!AB:AB,B233,[1]Pengiriman!AJ:AJ)</x:f>
        <x:v>#NAME?</x:v>
      </x:c>
    </x:row>
    <x:row r="234">
      <x:c r="A234" s="2" t="s">
        <x:v>144</x:v>
      </x:c>
      <x:c r="B234" s="2">
        <x:v>5568</x:v>
      </x:c>
      <x:c r="C234" s="2">
        <x:v>11704</x:v>
      </x:c>
      <x:c r="D234" s="2" t="s">
        <x:v>80</x:v>
      </x:c>
      <x:c r="E234" s="2">
        <x:v>0</x:v>
      </x:c>
      <x:c r="F234" s="2">
        <x:v>450</x:v>
      </x:c>
      <x:c r="G234" s="3">
        <x:f t="shared" si="3"/>
        <x:v>4769.0382728164896</x:v>
      </x:c>
      <x:c r="H234" s="3">
        <x:v>2146067.2227674201</x:v>
      </x:c>
      <x:c r="I234" s="6" t="e">
        <x:f>SUMIF([1]Pengiriman!AB:AB,B234,[1]Pengiriman!AJ:AJ)</x:f>
        <x:v>#NAME?</x:v>
      </x:c>
    </x:row>
    <x:row r="235">
      <x:c r="A235" s="2" t="s">
        <x:v>144</x:v>
      </x:c>
      <x:c r="B235" s="2">
        <x:v>5569</x:v>
      </x:c>
      <x:c r="C235" s="2">
        <x:v>11705</x:v>
      </x:c>
      <x:c r="D235" s="2" t="s">
        <x:v>80</x:v>
      </x:c>
      <x:c r="E235" s="2">
        <x:v>0</x:v>
      </x:c>
      <x:c r="F235" s="2">
        <x:v>450</x:v>
      </x:c>
      <x:c r="G235" s="3">
        <x:f t="shared" si="3"/>
        <x:v>4769.0382728164896</x:v>
      </x:c>
      <x:c r="H235" s="3">
        <x:v>2146067.2227674201</x:v>
      </x:c>
      <x:c r="I235" s="6" t="e">
        <x:f>SUMIF([1]Pengiriman!AB:AB,B235,[1]Pengiriman!AJ:AJ)</x:f>
        <x:v>#NAME?</x:v>
      </x:c>
    </x:row>
    <x:row r="236">
      <x:c r="A236" s="2" t="s">
        <x:v>144</x:v>
      </x:c>
      <x:c r="B236" s="2">
        <x:v>5570</x:v>
      </x:c>
      <x:c r="C236" s="2">
        <x:v>11706</x:v>
      </x:c>
      <x:c r="D236" s="2" t="s">
        <x:v>80</x:v>
      </x:c>
      <x:c r="E236" s="2">
        <x:v>0</x:v>
      </x:c>
      <x:c r="F236" s="2">
        <x:v>450</x:v>
      </x:c>
      <x:c r="G236" s="3">
        <x:f t="shared" si="3"/>
        <x:v>4769.0382728164896</x:v>
      </x:c>
      <x:c r="H236" s="3">
        <x:v>2146067.2227674201</x:v>
      </x:c>
      <x:c r="I236" s="6" t="e">
        <x:f>SUMIF([1]Pengiriman!AB:AB,B236,[1]Pengiriman!AJ:AJ)</x:f>
        <x:v>#NAME?</x:v>
      </x:c>
    </x:row>
    <x:row r="237">
      <x:c r="A237" s="2" t="s">
        <x:v>144</x:v>
      </x:c>
      <x:c r="B237" s="2">
        <x:v>5571</x:v>
      </x:c>
      <x:c r="C237" s="2">
        <x:v>11707</x:v>
      </x:c>
      <x:c r="D237" s="2" t="s">
        <x:v>80</x:v>
      </x:c>
      <x:c r="E237" s="2">
        <x:v>0</x:v>
      </x:c>
      <x:c r="F237" s="2">
        <x:v>450</x:v>
      </x:c>
      <x:c r="G237" s="3">
        <x:f t="shared" si="3"/>
        <x:v>4769.0382728164896</x:v>
      </x:c>
      <x:c r="H237" s="3">
        <x:v>2146067.2227674201</x:v>
      </x:c>
      <x:c r="I237" s="6" t="e">
        <x:f>SUMIF([1]Pengiriman!AB:AB,B237,[1]Pengiriman!AJ:AJ)</x:f>
        <x:v>#NAME?</x:v>
      </x:c>
    </x:row>
    <x:row r="238">
      <x:c r="A238" s="2" t="s">
        <x:v>144</x:v>
      </x:c>
      <x:c r="B238" s="2">
        <x:v>5577</x:v>
      </x:c>
      <x:c r="C238" s="2">
        <x:v>11708</x:v>
      </x:c>
      <x:c r="D238" s="2" t="s">
        <x:v>80</x:v>
      </x:c>
      <x:c r="E238" s="2">
        <x:v>0</x:v>
      </x:c>
      <x:c r="F238" s="2">
        <x:v>450</x:v>
      </x:c>
      <x:c r="G238" s="3">
        <x:f t="shared" si="3"/>
        <x:v>6119.8091706262221</x:v>
      </x:c>
      <x:c r="H238" s="3">
        <x:v>2753914.1267817998</x:v>
      </x:c>
      <x:c r="I238" s="6" t="e">
        <x:f>SUMIF([1]Pengiriman!AB:AB,B238,[1]Pengiriman!AJ:AJ)</x:f>
        <x:v>#NAME?</x:v>
      </x:c>
    </x:row>
    <x:row r="239">
      <x:c r="A239" s="2" t="s">
        <x:v>144</x:v>
      </x:c>
      <x:c r="B239" s="2">
        <x:v>5578</x:v>
      </x:c>
      <x:c r="C239" s="2">
        <x:v>11709</x:v>
      </x:c>
      <x:c r="D239" s="2" t="s">
        <x:v>80</x:v>
      </x:c>
      <x:c r="E239" s="2">
        <x:v>0</x:v>
      </x:c>
      <x:c r="F239" s="2">
        <x:v>450</x:v>
      </x:c>
      <x:c r="G239" s="3">
        <x:f t="shared" si="3"/>
        <x:v>6119.8091706262221</x:v>
      </x:c>
      <x:c r="H239" s="3">
        <x:v>2753914.1267817998</x:v>
      </x:c>
      <x:c r="I239" s="6" t="e">
        <x:f>SUMIF([1]Pengiriman!AB:AB,B239,[1]Pengiriman!AJ:AJ)</x:f>
        <x:v>#NAME?</x:v>
      </x:c>
    </x:row>
    <x:row r="240">
      <x:c r="A240" s="2" t="s">
        <x:v>144</x:v>
      </x:c>
      <x:c r="B240" s="2">
        <x:v>5579</x:v>
      </x:c>
      <x:c r="C240" s="2">
        <x:v>11710</x:v>
      </x:c>
      <x:c r="D240" s="2" t="s">
        <x:v>80</x:v>
      </x:c>
      <x:c r="E240" s="2">
        <x:v>0</x:v>
      </x:c>
      <x:c r="F240" s="2">
        <x:v>450</x:v>
      </x:c>
      <x:c r="G240" s="3">
        <x:f t="shared" si="3"/>
        <x:v>6119.8091706262221</x:v>
      </x:c>
      <x:c r="H240" s="3">
        <x:v>2753914.1267817998</x:v>
      </x:c>
      <x:c r="I240" s="6" t="e">
        <x:f>SUMIF([1]Pengiriman!AB:AB,B240,[1]Pengiriman!AJ:AJ)</x:f>
        <x:v>#NAME?</x:v>
      </x:c>
    </x:row>
    <x:row r="241">
      <x:c r="A241" s="2" t="s">
        <x:v>144</x:v>
      </x:c>
      <x:c r="B241" s="2">
        <x:v>5580</x:v>
      </x:c>
      <x:c r="C241" s="2">
        <x:v>11711</x:v>
      </x:c>
      <x:c r="D241" s="2" t="s">
        <x:v>80</x:v>
      </x:c>
      <x:c r="E241" s="2">
        <x:v>0</x:v>
      </x:c>
      <x:c r="F241" s="2">
        <x:v>450</x:v>
      </x:c>
      <x:c r="G241" s="3">
        <x:f t="shared" si="3"/>
        <x:v>6119.8091706262221</x:v>
      </x:c>
      <x:c r="H241" s="3">
        <x:v>2753914.1267817998</x:v>
      </x:c>
      <x:c r="I241" s="6" t="e">
        <x:f>SUMIF([1]Pengiriman!AB:AB,B241,[1]Pengiriman!AJ:AJ)</x:f>
        <x:v>#NAME?</x:v>
      </x:c>
    </x:row>
    <x:row r="242">
      <x:c r="A242" s="2" t="s">
        <x:v>144</x:v>
      </x:c>
      <x:c r="B242" s="2">
        <x:v>5581</x:v>
      </x:c>
      <x:c r="C242" s="2">
        <x:v>11712</x:v>
      </x:c>
      <x:c r="D242" s="2" t="s">
        <x:v>80</x:v>
      </x:c>
      <x:c r="E242" s="2">
        <x:v>0</x:v>
      </x:c>
      <x:c r="F242" s="2">
        <x:v>450</x:v>
      </x:c>
      <x:c r="G242" s="3">
        <x:f t="shared" si="3"/>
        <x:v>6119.8091706262221</x:v>
      </x:c>
      <x:c r="H242" s="3">
        <x:v>2753914.1267817998</x:v>
      </x:c>
      <x:c r="I242" s="6" t="e">
        <x:f>SUMIF([1]Pengiriman!AB:AB,B242,[1]Pengiriman!AJ:AJ)</x:f>
        <x:v>#NAME?</x:v>
      </x:c>
    </x:row>
    <x:row r="243">
      <x:c r="A243" s="2" t="s">
        <x:v>144</x:v>
      </x:c>
      <x:c r="B243" s="2">
        <x:v>5582</x:v>
      </x:c>
      <x:c r="C243" s="2">
        <x:v>11713</x:v>
      </x:c>
      <x:c r="D243" s="2" t="s">
        <x:v>80</x:v>
      </x:c>
      <x:c r="E243" s="2">
        <x:v>0</x:v>
      </x:c>
      <x:c r="F243" s="2">
        <x:v>450</x:v>
      </x:c>
      <x:c r="G243" s="3">
        <x:f t="shared" si="3"/>
        <x:v>6119.8091706262221</x:v>
      </x:c>
      <x:c r="H243" s="3">
        <x:v>2753914.1267817998</x:v>
      </x:c>
      <x:c r="I243" s="6" t="e">
        <x:f>SUMIF([1]Pengiriman!AB:AB,B243,[1]Pengiriman!AJ:AJ)</x:f>
        <x:v>#NAME?</x:v>
      </x:c>
    </x:row>
    <x:row r="244">
      <x:c r="A244" s="2" t="s">
        <x:v>144</x:v>
      </x:c>
      <x:c r="B244" s="2">
        <x:v>5586</x:v>
      </x:c>
      <x:c r="C244" s="2">
        <x:v>11714</x:v>
      </x:c>
      <x:c r="D244" s="2" t="s">
        <x:v>103</x:v>
      </x:c>
      <x:c r="E244" s="2">
        <x:v>127</x:v>
      </x:c>
      <x:c r="F244" s="2">
        <x:v>450</x:v>
      </x:c>
      <x:c r="G244" s="3">
        <x:f t="shared" si="3"/>
        <x:v>9498.4320568772164</x:v>
      </x:c>
      <x:c r="H244" s="3">
        <x:v>4274294.4255947471</x:v>
      </x:c>
      <x:c r="I244" s="6" t="e">
        <x:f>SUMIF([1]Pengiriman!AB:AB,B244,[1]Pengiriman!AJ:AJ)</x:f>
        <x:v>#NAME?</x:v>
      </x:c>
    </x:row>
    <x:row r="245">
      <x:c r="A245" s="2" t="s">
        <x:v>144</x:v>
      </x:c>
      <x:c r="B245" s="2">
        <x:v>5594</x:v>
      </x:c>
      <x:c r="C245" s="2">
        <x:v>11715</x:v>
      </x:c>
      <x:c r="D245" s="2" t="s">
        <x:v>112</x:v>
      </x:c>
      <x:c r="E245" s="2">
        <x:v>43</x:v>
      </x:c>
      <x:c r="F245" s="2">
        <x:v>225</x:v>
      </x:c>
      <x:c r="G245" s="3">
        <x:f t="shared" si="3"/>
        <x:v>12211.99289310038</x:v>
      </x:c>
      <x:c r="H245" s="3">
        <x:v>2747698.4009475852</x:v>
      </x:c>
      <x:c r="I245" s="6" t="e">
        <x:f>SUMIF([1]Pengiriman!AB:AB,B245,[1]Pengiriman!AJ:AJ)</x:f>
        <x:v>#NAME?</x:v>
      </x:c>
    </x:row>
    <x:row r="246">
      <x:c r="A246" s="2" t="s">
        <x:v>144</x:v>
      </x:c>
      <x:c r="B246" s="2">
        <x:v>5598</x:v>
      </x:c>
      <x:c r="C246" s="2">
        <x:v>11716</x:v>
      </x:c>
      <x:c r="D246" s="2" t="s">
        <x:v>95</x:v>
      </x:c>
      <x:c r="E246" s="2">
        <x:v>52</x:v>
      </x:c>
      <x:c r="F246" s="2">
        <x:v>225</x:v>
      </x:c>
      <x:c r="G246" s="3">
        <x:f t="shared" si="3"/>
        <x:v>12211.99289310038</x:v>
      </x:c>
      <x:c r="H246" s="3">
        <x:v>2747698.4009475852</x:v>
      </x:c>
      <x:c r="I246" s="6" t="e">
        <x:f>SUMIF([1]Pengiriman!AB:AB,B246,[1]Pengiriman!AJ:AJ)</x:f>
        <x:v>#NAME?</x:v>
      </x:c>
    </x:row>
    <x:row r="247">
      <x:c r="A247" s="2" t="s">
        <x:v>144</x:v>
      </x:c>
      <x:c r="B247" s="2">
        <x:v>5599</x:v>
      </x:c>
      <x:c r="C247" s="2">
        <x:v>11717</x:v>
      </x:c>
      <x:c r="D247" s="2" t="s">
        <x:v>112</x:v>
      </x:c>
      <x:c r="E247" s="2">
        <x:v>41</x:v>
      </x:c>
      <x:c r="F247" s="2">
        <x:v>225</x:v>
      </x:c>
      <x:c r="G247" s="3">
        <x:f t="shared" si="3"/>
        <x:v>12211.99289310038</x:v>
      </x:c>
      <x:c r="H247" s="3">
        <x:v>2747698.4009475852</x:v>
      </x:c>
      <x:c r="I247" s="6" t="e">
        <x:f>SUMIF([1]Pengiriman!AB:AB,B247,[1]Pengiriman!AJ:AJ)</x:f>
        <x:v>#NAME?</x:v>
      </x:c>
    </x:row>
    <x:row r="248">
      <x:c r="A248" s="2" t="s">
        <x:v>144</x:v>
      </x:c>
      <x:c r="B248" s="2">
        <x:v>5607</x:v>
      </x:c>
      <x:c r="C248" s="2">
        <x:v>11718</x:v>
      </x:c>
      <x:c r="D248" s="2" t="s">
        <x:v>80</x:v>
      </x:c>
      <x:c r="E248" s="2">
        <x:v>0</x:v>
      </x:c>
      <x:c r="F248" s="2">
        <x:v>450</x:v>
      </x:c>
      <x:c r="G248" s="3">
        <x:f t="shared" si="3"/>
        <x:v>8703.0780186739375</x:v>
      </x:c>
      <x:c r="H248" s="3">
        <x:v>3916385.108403272</x:v>
      </x:c>
      <x:c r="I248" s="6" t="e">
        <x:f>SUMIF([1]Pengiriman!AB:AB,B248,[1]Pengiriman!AJ:AJ)</x:f>
        <x:v>#NAME?</x:v>
      </x:c>
    </x:row>
    <x:row r="249">
      <x:c r="A249" s="2" t="s">
        <x:v>144</x:v>
      </x:c>
      <x:c r="B249" s="2">
        <x:v>5610</x:v>
      </x:c>
      <x:c r="C249" s="2">
        <x:v>11719</x:v>
      </x:c>
      <x:c r="D249" s="2" t="s">
        <x:v>102</x:v>
      </x:c>
      <x:c r="E249" s="2">
        <x:v>51</x:v>
      </x:c>
      <x:c r="F249" s="2">
        <x:v>225</x:v>
      </x:c>
      <x:c r="G249" s="3">
        <x:f t="shared" si="3"/>
        <x:v>12211.99289310038</x:v>
      </x:c>
      <x:c r="H249" s="3">
        <x:v>2747698.4009475852</x:v>
      </x:c>
      <x:c r="I249" s="6" t="e">
        <x:f>SUMIF([1]Pengiriman!AB:AB,B249,[1]Pengiriman!AJ:AJ)</x:f>
        <x:v>#NAME?</x:v>
      </x:c>
    </x:row>
    <x:row r="250">
      <x:c r="A250" s="2" t="s">
        <x:v>144</x:v>
      </x:c>
      <x:c r="B250" s="2">
        <x:v>5612</x:v>
      </x:c>
      <x:c r="C250" s="2">
        <x:v>11720</x:v>
      </x:c>
      <x:c r="D250" s="2" t="s">
        <x:v>113</x:v>
      </x:c>
      <x:c r="E250" s="2">
        <x:v>36</x:v>
      </x:c>
      <x:c r="F250" s="2">
        <x:v>225</x:v>
      </x:c>
      <x:c r="G250" s="3">
        <x:f t="shared" si="3"/>
        <x:v>11243.635467510187</x:v>
      </x:c>
      <x:c r="H250" s="3">
        <x:v>2529817.9801897919</x:v>
      </x:c>
      <x:c r="I250" s="6" t="e">
        <x:f>SUMIF([1]Pengiriman!AB:AB,B250,[1]Pengiriman!AJ:AJ)</x:f>
        <x:v>#NAME?</x:v>
      </x:c>
    </x:row>
    <x:row r="251">
      <x:c r="A251" s="2" t="s">
        <x:v>144</x:v>
      </x:c>
      <x:c r="B251" s="2">
        <x:v>5616</x:v>
      </x:c>
      <x:c r="C251" s="2">
        <x:v>11721</x:v>
      </x:c>
      <x:c r="D251" s="2" t="s">
        <x:v>120</x:v>
      </x:c>
      <x:c r="E251" s="2">
        <x:v>37</x:v>
      </x:c>
      <x:c r="F251" s="2">
        <x:v>225</x:v>
      </x:c>
      <x:c r="G251" s="3">
        <x:f t="shared" si="3"/>
        <x:v>12211.99289310038</x:v>
      </x:c>
      <x:c r="H251" s="3">
        <x:v>2747698.4009475852</x:v>
      </x:c>
      <x:c r="I251" s="6" t="e">
        <x:f>SUMIF([1]Pengiriman!AB:AB,B251,[1]Pengiriman!AJ:AJ)</x:f>
        <x:v>#NAME?</x:v>
      </x:c>
    </x:row>
    <x:row r="252">
      <x:c r="A252" s="2" t="s">
        <x:v>144</x:v>
      </x:c>
      <x:c r="B252" s="2">
        <x:v>5617</x:v>
      </x:c>
      <x:c r="C252" s="2">
        <x:v>11722</x:v>
      </x:c>
      <x:c r="D252" s="2" t="s">
        <x:v>120</x:v>
      </x:c>
      <x:c r="E252" s="2">
        <x:v>37</x:v>
      </x:c>
      <x:c r="F252" s="2">
        <x:v>225</x:v>
      </x:c>
      <x:c r="G252" s="3">
        <x:f t="shared" si="3"/>
        <x:v>11465.99902449722</x:v>
      </x:c>
      <x:c r="H252" s="3">
        <x:v>2579849.7805118742</x:v>
      </x:c>
      <x:c r="I252" s="6" t="e">
        <x:f>SUMIF([1]Pengiriman!AB:AB,B252,[1]Pengiriman!AJ:AJ)</x:f>
        <x:v>#NAME?</x:v>
      </x:c>
    </x:row>
    <x:row r="253">
      <x:c r="A253" s="2" t="s">
        <x:v>144</x:v>
      </x:c>
      <x:c r="B253" s="2">
        <x:v>5620</x:v>
      </x:c>
      <x:c r="C253" s="2">
        <x:v>11723</x:v>
      </x:c>
      <x:c r="D253" s="2" t="s">
        <x:v>121</x:v>
      </x:c>
      <x:c r="E253" s="2">
        <x:v>50</x:v>
      </x:c>
      <x:c r="F253" s="2">
        <x:v>225</x:v>
      </x:c>
      <x:c r="G253" s="3">
        <x:f t="shared" si="3"/>
        <x:v>12211.99289310038</x:v>
      </x:c>
      <x:c r="H253" s="3">
        <x:v>2747698.4009475852</x:v>
      </x:c>
      <x:c r="I253" s="6" t="e">
        <x:f>SUMIF([1]Pengiriman!AB:AB,B253,[1]Pengiriman!AJ:AJ)</x:f>
        <x:v>#NAME?</x:v>
      </x:c>
    </x:row>
    <x:row r="254">
      <x:c r="A254" s="2" t="s">
        <x:v>144</x:v>
      </x:c>
      <x:c r="B254" s="2">
        <x:v>5622</x:v>
      </x:c>
      <x:c r="C254" s="2">
        <x:v>11724</x:v>
      </x:c>
      <x:c r="D254" s="2" t="s">
        <x:v>121</x:v>
      </x:c>
      <x:c r="E254" s="2">
        <x:v>46</x:v>
      </x:c>
      <x:c r="F254" s="2">
        <x:v>225</x:v>
      </x:c>
      <x:c r="G254" s="3">
        <x:f t="shared" si="3"/>
        <x:v>12211.99289310038</x:v>
      </x:c>
      <x:c r="H254" s="3">
        <x:v>2747698.4009475852</x:v>
      </x:c>
      <x:c r="I254" s="6" t="e">
        <x:f>SUMIF([1]Pengiriman!AB:AB,B254,[1]Pengiriman!AJ:AJ)</x:f>
        <x:v>#NAME?</x:v>
      </x:c>
    </x:row>
    <x:row r="255">
      <x:c r="A255" s="2" t="s">
        <x:v>144</x:v>
      </x:c>
      <x:c r="B255" s="2">
        <x:v>5624</x:v>
      </x:c>
      <x:c r="C255" s="2">
        <x:v>11725</x:v>
      </x:c>
      <x:c r="D255" s="2" t="s">
        <x:v>121</x:v>
      </x:c>
      <x:c r="E255" s="2">
        <x:v>43</x:v>
      </x:c>
      <x:c r="F255" s="2">
        <x:v>225</x:v>
      </x:c>
      <x:c r="G255" s="3">
        <x:f t="shared" si="3"/>
        <x:v>12211.99289310038</x:v>
      </x:c>
      <x:c r="H255" s="3">
        <x:v>2747698.4009475852</x:v>
      </x:c>
      <x:c r="I255" s="6" t="e">
        <x:f>SUMIF([1]Pengiriman!AB:AB,B255,[1]Pengiriman!AJ:AJ)</x:f>
        <x:v>#NAME?</x:v>
      </x:c>
    </x:row>
    <x:row r="256">
      <x:c r="A256" s="2" t="s">
        <x:v>144</x:v>
      </x:c>
      <x:c r="B256" s="2">
        <x:v>5626</x:v>
      </x:c>
      <x:c r="C256" s="2">
        <x:v>11726</x:v>
      </x:c>
      <x:c r="D256" s="2" t="s">
        <x:v>116</x:v>
      </x:c>
      <x:c r="E256" s="2">
        <x:v>46</x:v>
      </x:c>
      <x:c r="F256" s="2">
        <x:v>225</x:v>
      </x:c>
      <x:c r="G256" s="3">
        <x:f t="shared" si="3"/>
        <x:v>11143.213215967331</x:v>
      </x:c>
      <x:c r="H256" s="3">
        <x:v>2507222.9735926497</x:v>
      </x:c>
      <x:c r="I256" s="6" t="e">
        <x:f>SUMIF([1]Pengiriman!AB:AB,B256,[1]Pengiriman!AJ:AJ)</x:f>
        <x:v>#NAME?</x:v>
      </x:c>
    </x:row>
    <x:row r="257">
      <x:c r="A257" s="2" t="s">
        <x:v>144</x:v>
      </x:c>
      <x:c r="B257" s="2">
        <x:v>5631</x:v>
      </x:c>
      <x:c r="C257" s="2">
        <x:v>11727</x:v>
      </x:c>
      <x:c r="D257" s="2" t="s">
        <x:v>119</x:v>
      </x:c>
      <x:c r="E257" s="2">
        <x:v>0</x:v>
      </x:c>
      <x:c r="F257" s="2">
        <x:v>225</x:v>
      </x:c>
      <x:c r="G257" s="3">
        <x:f t="shared" si="3"/>
        <x:v>8703.0780186737156</x:v>
      </x:c>
      <x:c r="H257" s="3">
        <x:v>1958192.5542015859</x:v>
      </x:c>
      <x:c r="I257" s="6" t="e">
        <x:f>SUMIF([1]Pengiriman!AB:AB,B257,[1]Pengiriman!AJ:AJ)</x:f>
        <x:v>#NAME?</x:v>
      </x:c>
    </x:row>
    <x:row r="258">
      <x:c r="A258" s="2" t="s">
        <x:v>144</x:v>
      </x:c>
      <x:c r="B258" s="2">
        <x:v>5632</x:v>
      </x:c>
      <x:c r="C258" s="2">
        <x:v>11728</x:v>
      </x:c>
      <x:c r="D258" s="2" t="s">
        <x:v>146</x:v>
      </x:c>
      <x:c r="E258" s="2">
        <x:v>0</x:v>
      </x:c>
      <x:c r="F258" s="2">
        <x:v>450</x:v>
      </x:c>
      <x:c r="G258" s="3">
        <x:f t="shared" si="3"/>
        <x:v>9211.797975856085</x:v>
      </x:c>
      <x:c r="H258" s="3">
        <x:v>4145309.0891352384</x:v>
      </x:c>
      <x:c r="I258" s="6" t="e">
        <x:f>SUMIF([1]Pengiriman!AB:AB,B258,[1]Pengiriman!AJ:AJ)</x:f>
        <x:v>#NAME?</x:v>
      </x:c>
    </x:row>
    <x:row r="259">
      <x:c r="A259" s="2" t="s">
        <x:v>144</x:v>
      </x:c>
      <x:c r="B259" s="2">
        <x:v>5640</x:v>
      </x:c>
      <x:c r="C259" s="2">
        <x:v>11729</x:v>
      </x:c>
      <x:c r="D259" s="2" t="s">
        <x:v>119</x:v>
      </x:c>
      <x:c r="E259" s="2">
        <x:v>0</x:v>
      </x:c>
      <x:c r="F259" s="2">
        <x:v>225</x:v>
      </x:c>
      <x:c r="G259" s="3" t="n">
        <x:f t="shared" ref="G259:G282" si="4">H259/F259</x:f>
        <x:v>11595.113347909244</x:v>
      </x:c>
      <x:c r="H259" s="3">
        <x:v>2608900.5032795798</x:v>
      </x:c>
      <x:c r="I259" s="6" t="e">
        <x:f>SUMIF([1]Pengiriman!AB:AB,B259,[1]Pengiriman!AJ:AJ)</x:f>
        <x:v>#NAME?</x:v>
      </x:c>
    </x:row>
    <x:row r="260">
      <x:c r="A260" s="2" t="s">
        <x:v>144</x:v>
      </x:c>
      <x:c r="B260" s="2">
        <x:v>5641</x:v>
      </x:c>
      <x:c r="C260" s="2">
        <x:v>11730</x:v>
      </x:c>
      <x:c r="D260" s="2" t="s">
        <x:v>112</x:v>
      </x:c>
      <x:c r="E260" s="2">
        <x:v>42</x:v>
      </x:c>
      <x:c r="F260" s="2">
        <x:v>225</x:v>
      </x:c>
      <x:c r="G260" s="3">
        <x:f t="shared" si="4"/>
        <x:v>11058.284436685333</x:v>
      </x:c>
      <x:c r="H260" s="3">
        <x:v>2488113.9982542</x:v>
      </x:c>
      <x:c r="I260" s="6" t="e">
        <x:f>SUMIF([1]Pengiriman!AB:AB,B260,[1]Pengiriman!AJ:AJ)</x:f>
        <x:v>#NAME?</x:v>
      </x:c>
    </x:row>
    <x:row r="261">
      <x:c r="A261" s="2" t="s">
        <x:v>144</x:v>
      </x:c>
      <x:c r="B261" s="2">
        <x:v>5646</x:v>
      </x:c>
      <x:c r="C261" s="2">
        <x:v>11731</x:v>
      </x:c>
      <x:c r="D261" s="2" t="s">
        <x:v>116</x:v>
      </x:c>
      <x:c r="E261" s="2">
        <x:v>46</x:v>
      </x:c>
      <x:c r="F261" s="2">
        <x:v>225</x:v>
      </x:c>
      <x:c r="G261" s="3">
        <x:f t="shared" si="4"/>
        <x:v>11024.0847376932</x:v>
      </x:c>
      <x:c r="H261" s="3">
        <x:v>2480419.0659809699</x:v>
      </x:c>
      <x:c r="I261" s="6" t="e">
        <x:f>SUMIF([1]Pengiriman!AB:AB,B261,[1]Pengiriman!AJ:AJ)</x:f>
        <x:v>#NAME?</x:v>
      </x:c>
    </x:row>
    <x:row r="262">
      <x:c r="A262" s="2" t="s">
        <x:v>144</x:v>
      </x:c>
      <x:c r="B262" s="2">
        <x:v>5647</x:v>
      </x:c>
      <x:c r="C262" s="2">
        <x:v>11732</x:v>
      </x:c>
      <x:c r="D262" s="2" t="s">
        <x:v>118</x:v>
      </x:c>
      <x:c r="E262" s="2">
        <x:v>35</x:v>
      </x:c>
      <x:c r="F262" s="2">
        <x:v>225</x:v>
      </x:c>
      <x:c r="G262" s="3">
        <x:f t="shared" si="4"/>
        <x:v>11041.439808823512</x:v>
      </x:c>
      <x:c r="H262" s="3">
        <x:v>2484323.9569852902</x:v>
      </x:c>
      <x:c r="I262" s="6" t="e">
        <x:f>SUMIF([1]Pengiriman!AB:AB,B262,[1]Pengiriman!AJ:AJ)</x:f>
        <x:v>#NAME?</x:v>
      </x:c>
    </x:row>
    <x:row r="263">
      <x:c r="A263" s="2" t="s">
        <x:v>144</x:v>
      </x:c>
      <x:c r="B263" s="2">
        <x:v>5649</x:v>
      </x:c>
      <x:c r="C263" s="2">
        <x:v>11733</x:v>
      </x:c>
      <x:c r="D263" s="2" t="s">
        <x:v>119</x:v>
      </x:c>
      <x:c r="E263" s="2">
        <x:v>0</x:v>
      </x:c>
      <x:c r="F263" s="2">
        <x:v>225</x:v>
      </x:c>
      <x:c r="G263" s="3">
        <x:f t="shared" si="4"/>
        <x:v>11231.756153660817</x:v>
      </x:c>
      <x:c r="H263" s="3">
        <x:v>2527145.1345736841</x:v>
      </x:c>
      <x:c r="I263" s="6" t="e">
        <x:f>SUMIF([1]Pengiriman!AB:AB,B263,[1]Pengiriman!AJ:AJ)</x:f>
        <x:v>#NAME?</x:v>
      </x:c>
    </x:row>
    <x:row r="264">
      <x:c r="A264" s="2" t="s">
        <x:v>144</x:v>
      </x:c>
      <x:c r="B264" s="2">
        <x:v>5665</x:v>
      </x:c>
      <x:c r="C264" s="2">
        <x:v>11734</x:v>
      </x:c>
      <x:c r="D264" s="2" t="s">
        <x:v>85</x:v>
      </x:c>
      <x:c r="E264" s="2">
        <x:v>173</x:v>
      </x:c>
      <x:c r="F264" s="2">
        <x:v>450</x:v>
      </x:c>
      <x:c r="G264" s="3">
        <x:f t="shared" si="4"/>
        <x:v>9969.2992073580917</x:v>
      </x:c>
      <x:c r="H264" s="3">
        <x:v>4486184.6433111411</x:v>
      </x:c>
      <x:c r="I264" s="6" t="e">
        <x:f>SUMIF([1]Pengiriman!AB:AB,B264,[1]Pengiriman!AJ:AJ)</x:f>
        <x:v>#NAME?</x:v>
      </x:c>
    </x:row>
    <x:row r="265">
      <x:c r="A265" s="2" t="s">
        <x:v>144</x:v>
      </x:c>
      <x:c r="B265" s="2">
        <x:v>5694</x:v>
      </x:c>
      <x:c r="C265" s="2">
        <x:v>11735</x:v>
      </x:c>
      <x:c r="D265" s="2" t="s">
        <x:v>120</x:v>
      </x:c>
      <x:c r="E265" s="2">
        <x:v>34</x:v>
      </x:c>
      <x:c r="F265" s="2">
        <x:v>225</x:v>
      </x:c>
      <x:c r="G265" s="3">
        <x:f t="shared" si="4"/>
        <x:v>10978.655286793022</x:v>
      </x:c>
      <x:c r="H265" s="3">
        <x:v>2470197.4395284299</x:v>
      </x:c>
      <x:c r="I265" s="6" t="e">
        <x:f>SUMIF([1]Pengiriman!AB:AB,B265,[1]Pengiriman!AJ:AJ)</x:f>
        <x:v>#NAME?</x:v>
      </x:c>
    </x:row>
    <x:row r="266">
      <x:c r="A266" s="2" t="s">
        <x:v>144</x:v>
      </x:c>
      <x:c r="B266" s="2">
        <x:v>5695</x:v>
      </x:c>
      <x:c r="C266" s="2">
        <x:v>11736</x:v>
      </x:c>
      <x:c r="D266" s="2" t="s">
        <x:v>121</x:v>
      </x:c>
      <x:c r="E266" s="2">
        <x:v>43</x:v>
      </x:c>
      <x:c r="F266" s="2">
        <x:v>225</x:v>
      </x:c>
      <x:c r="G266" s="3">
        <x:f t="shared" si="4"/>
        <x:v>10978.655286793022</x:v>
      </x:c>
      <x:c r="H266" s="3">
        <x:v>2470197.4395284299</x:v>
      </x:c>
      <x:c r="I266" s="6" t="e">
        <x:f>SUMIF([1]Pengiriman!AB:AB,B266,[1]Pengiriman!AJ:AJ)</x:f>
        <x:v>#NAME?</x:v>
      </x:c>
    </x:row>
    <x:row r="267">
      <x:c r="A267" s="2" t="s">
        <x:v>144</x:v>
      </x:c>
      <x:c r="B267" s="2">
        <x:v>5698</x:v>
      </x:c>
      <x:c r="C267" s="2">
        <x:v>11737</x:v>
      </x:c>
      <x:c r="D267" s="2" t="s">
        <x:v>116</x:v>
      </x:c>
      <x:c r="E267" s="2">
        <x:v>46</x:v>
      </x:c>
      <x:c r="F267" s="2">
        <x:v>225</x:v>
      </x:c>
      <x:c r="G267" s="3">
        <x:f t="shared" si="4"/>
        <x:v>10978.655286793022</x:v>
      </x:c>
      <x:c r="H267" s="3">
        <x:v>2470197.4395284299</x:v>
      </x:c>
      <x:c r="I267" s="6" t="e">
        <x:f>SUMIF([1]Pengiriman!AB:AB,B267,[1]Pengiriman!AJ:AJ)</x:f>
        <x:v>#NAME?</x:v>
      </x:c>
    </x:row>
    <x:row r="268">
      <x:c r="A268" s="2" t="s">
        <x:v>144</x:v>
      </x:c>
      <x:c r="B268" s="2">
        <x:v>5702</x:v>
      </x:c>
      <x:c r="C268" s="2">
        <x:v>11738</x:v>
      </x:c>
      <x:c r="D268" s="2" t="s">
        <x:v>112</x:v>
      </x:c>
      <x:c r="E268" s="2">
        <x:v>43</x:v>
      </x:c>
      <x:c r="F268" s="2">
        <x:v>225</x:v>
      </x:c>
      <x:c r="G268" s="3">
        <x:f t="shared" si="4"/>
        <x:v>10598.063850449613</x:v>
      </x:c>
      <x:c r="H268" s="3">
        <x:v>2384564.366351163</x:v>
      </x:c>
      <x:c r="I268" s="6" t="e">
        <x:f>SUMIF([1]Pengiriman!AB:AB,B268,[1]Pengiriman!AJ:AJ)</x:f>
        <x:v>#NAME?</x:v>
      </x:c>
    </x:row>
    <x:row r="269">
      <x:c r="A269" s="2" t="s">
        <x:v>144</x:v>
      </x:c>
      <x:c r="B269" s="2">
        <x:v>5703</x:v>
      </x:c>
      <x:c r="C269" s="2">
        <x:v>11739</x:v>
      </x:c>
      <x:c r="D269" s="2" t="s">
        <x:v>112</x:v>
      </x:c>
      <x:c r="E269" s="2">
        <x:v>46</x:v>
      </x:c>
      <x:c r="F269" s="2">
        <x:v>225</x:v>
      </x:c>
      <x:c r="G269" s="3">
        <x:f t="shared" si="4"/>
        <x:v>10598.063850449613</x:v>
      </x:c>
      <x:c r="H269" s="3">
        <x:v>2384564.366351163</x:v>
      </x:c>
      <x:c r="I269" s="6" t="e">
        <x:f>SUMIF([1]Pengiriman!AB:AB,B269,[1]Pengiriman!AJ:AJ)</x:f>
        <x:v>#NAME?</x:v>
      </x:c>
    </x:row>
    <x:row r="270">
      <x:c r="A270" s="2" t="s">
        <x:v>144</x:v>
      </x:c>
      <x:c r="B270" s="2">
        <x:v>5707</x:v>
      </x:c>
      <x:c r="C270" s="2">
        <x:v>11740</x:v>
      </x:c>
      <x:c r="D270" s="2" t="s">
        <x:v>95</x:v>
      </x:c>
      <x:c r="E270" s="2">
        <x:v>55</x:v>
      </x:c>
      <x:c r="F270" s="2">
        <x:v>225</x:v>
      </x:c>
      <x:c r="G270" s="3">
        <x:f t="shared" si="4"/>
        <x:v>11340.792253666634</x:v>
      </x:c>
      <x:c r="H270" s="3">
        <x:v>2551678.2570749926</x:v>
      </x:c>
      <x:c r="I270" s="6" t="e">
        <x:f>SUMIF([1]Pengiriman!AB:AB,B270,[1]Pengiriman!AJ:AJ)</x:f>
        <x:v>#NAME?</x:v>
      </x:c>
    </x:row>
    <x:row r="271">
      <x:c r="A271" s="2" t="s">
        <x:v>144</x:v>
      </x:c>
      <x:c r="B271" s="2">
        <x:v>5708</x:v>
      </x:c>
      <x:c r="C271" s="2">
        <x:v>11741</x:v>
      </x:c>
      <x:c r="D271" s="2" t="s">
        <x:v>108</x:v>
      </x:c>
      <x:c r="E271" s="2">
        <x:v>119</x:v>
      </x:c>
      <x:c r="F271" s="2">
        <x:v>450</x:v>
      </x:c>
      <x:c r="G271" s="3">
        <x:f t="shared" si="4"/>
        <x:v>9886.7360840491019</x:v>
      </x:c>
      <x:c r="H271" s="3">
        <x:v>4449031.2378220959</x:v>
      </x:c>
      <x:c r="I271" s="6" t="e">
        <x:f>SUMIF([1]Pengiriman!AB:AB,B271,[1]Pengiriman!AJ:AJ)</x:f>
        <x:v>#NAME?</x:v>
      </x:c>
    </x:row>
    <x:row r="272">
      <x:c r="A272" s="2" t="s">
        <x:v>144</x:v>
      </x:c>
      <x:c r="B272" s="2">
        <x:v>5709</x:v>
      </x:c>
      <x:c r="C272" s="2">
        <x:v>11742</x:v>
      </x:c>
      <x:c r="D272" s="2" t="s">
        <x:v>96</x:v>
      </x:c>
      <x:c r="E272" s="2">
        <x:v>45</x:v>
      </x:c>
      <x:c r="F272" s="2">
        <x:v>225</x:v>
      </x:c>
      <x:c r="G272" s="3">
        <x:f t="shared" si="4"/>
        <x:v>11234.385497937947</x:v>
      </x:c>
      <x:c r="H272" s="3">
        <x:v>2527736.7370360382</x:v>
      </x:c>
      <x:c r="I272" s="6" t="e">
        <x:f>SUMIF([1]Pengiriman!AB:AB,B272,[1]Pengiriman!AJ:AJ)</x:f>
        <x:v>#NAME?</x:v>
      </x:c>
    </x:row>
    <x:row r="273">
      <x:c r="A273" s="2" t="s">
        <x:v>144</x:v>
      </x:c>
      <x:c r="B273" s="2">
        <x:v>5714</x:v>
      </x:c>
      <x:c r="C273" s="2">
        <x:v>11743</x:v>
      </x:c>
      <x:c r="D273" s="2" t="s">
        <x:v>121</x:v>
      </x:c>
      <x:c r="E273" s="2">
        <x:v>47</x:v>
      </x:c>
      <x:c r="F273" s="2">
        <x:v>225</x:v>
      </x:c>
      <x:c r="G273" s="3">
        <x:f t="shared" si="4"/>
        <x:v>11351.860263627974</x:v>
      </x:c>
      <x:c r="H273" s="3">
        <x:v>2554168.5593162943</x:v>
      </x:c>
      <x:c r="I273" s="6" t="e">
        <x:f>SUMIF([1]Pengiriman!AB:AB,B273,[1]Pengiriman!AJ:AJ)</x:f>
        <x:v>#NAME?</x:v>
      </x:c>
    </x:row>
    <x:row r="274">
      <x:c r="A274" s="2" t="s">
        <x:v>144</x:v>
      </x:c>
      <x:c r="B274" s="2">
        <x:v>5731</x:v>
      </x:c>
      <x:c r="C274" s="2">
        <x:v>11744</x:v>
      </x:c>
      <x:c r="D274" s="2" t="s">
        <x:v>113</x:v>
      </x:c>
      <x:c r="E274" s="2">
        <x:v>35</x:v>
      </x:c>
      <x:c r="F274" s="2">
        <x:v>225</x:v>
      </x:c>
      <x:c r="G274" s="3">
        <x:f t="shared" si="4"/>
        <x:v>10989.383074342357</x:v>
      </x:c>
      <x:c r="H274" s="3">
        <x:v>2472611.1917270301</x:v>
      </x:c>
      <x:c r="I274" s="6" t="e">
        <x:f>SUMIF([1]Pengiriman!AB:AB,B274,[1]Pengiriman!AJ:AJ)</x:f>
        <x:v>#NAME?</x:v>
      </x:c>
    </x:row>
    <x:row r="275">
      <x:c r="A275" s="2" t="s">
        <x:v>144</x:v>
      </x:c>
      <x:c r="B275" s="2">
        <x:v>5739</x:v>
      </x:c>
      <x:c r="C275" s="2">
        <x:v>11745</x:v>
      </x:c>
      <x:c r="D275" s="2" t="s">
        <x:v>112</x:v>
      </x:c>
      <x:c r="E275" s="2">
        <x:v>42</x:v>
      </x:c>
      <x:c r="F275" s="2">
        <x:v>225</x:v>
      </x:c>
      <x:c r="G275" s="3">
        <x:f t="shared" si="4"/>
        <x:v>11699.389778795141</x:v>
      </x:c>
      <x:c r="H275" s="3">
        <x:v>2632362.7002289067</x:v>
      </x:c>
      <x:c r="I275" s="6" t="e">
        <x:f>SUMIF([1]Pengiriman!AB:AB,B275,[1]Pengiriman!AJ:AJ)</x:f>
        <x:v>#NAME?</x:v>
      </x:c>
    </x:row>
    <x:row r="276">
      <x:c r="A276" s="2" t="s">
        <x:v>144</x:v>
      </x:c>
      <x:c r="B276" s="2">
        <x:v>5740</x:v>
      </x:c>
      <x:c r="C276" s="2">
        <x:v>11746</x:v>
      </x:c>
      <x:c r="D276" s="2" t="s">
        <x:v>112</x:v>
      </x:c>
      <x:c r="E276" s="2">
        <x:v>44</x:v>
      </x:c>
      <x:c r="F276" s="2">
        <x:v>225</x:v>
      </x:c>
      <x:c r="G276" s="3">
        <x:f t="shared" si="4"/>
        <x:v>11843.751757287957</x:v>
      </x:c>
      <x:c r="H276" s="3">
        <x:v>2664844.1453897902</x:v>
      </x:c>
      <x:c r="I276" s="6" t="e">
        <x:f>SUMIF([1]Pengiriman!AB:AB,B276,[1]Pengiriman!AJ:AJ)</x:f>
        <x:v>#NAME?</x:v>
      </x:c>
    </x:row>
    <x:row r="277">
      <x:c r="A277" s="2" t="s">
        <x:v>144</x:v>
      </x:c>
      <x:c r="B277" s="2">
        <x:v>7457</x:v>
      </x:c>
      <x:c r="C277" s="2">
        <x:v>11747</x:v>
      </x:c>
      <x:c r="D277" s="2" t="s">
        <x:v>155</x:v>
      </x:c>
      <x:c r="E277" s="2">
        <x:v>40</x:v>
      </x:c>
      <x:c r="F277" s="2">
        <x:v>225</x:v>
      </x:c>
      <x:c r="G277" s="3">
        <x:f t="shared" si="4"/>
        <x:v>10240.505914413805</x:v>
      </x:c>
      <x:c r="H277" s="3">
        <x:v>2304113.8307431061</x:v>
      </x:c>
      <x:c r="I277" s="6" t="e">
        <x:f>SUMIF([1]Pengiriman!AB:AB,B277,[1]Pengiriman!AJ:AJ)</x:f>
        <x:v>#NAME?</x:v>
      </x:c>
    </x:row>
    <x:row r="278">
      <x:c r="A278" s="2" t="s">
        <x:v>144</x:v>
      </x:c>
      <x:c r="B278" s="2">
        <x:v>7460</x:v>
      </x:c>
      <x:c r="C278" s="2">
        <x:v>11748</x:v>
      </x:c>
      <x:c r="D278" s="2" t="s">
        <x:v>156</x:v>
      </x:c>
      <x:c r="E278" s="2">
        <x:v>0</x:v>
      </x:c>
      <x:c r="F278" s="2">
        <x:v>225</x:v>
      </x:c>
      <x:c r="G278" s="3">
        <x:f t="shared" si="4"/>
        <x:v>10240.505914413805</x:v>
      </x:c>
      <x:c r="H278" s="3">
        <x:v>2304113.8307431061</x:v>
      </x:c>
      <x:c r="I278" s="6" t="e">
        <x:f>SUMIF([1]Pengiriman!AB:AB,B278,[1]Pengiriman!AJ:AJ)</x:f>
        <x:v>#NAME?</x:v>
      </x:c>
    </x:row>
    <x:row r="279">
      <x:c r="A279" s="2" t="s">
        <x:v>144</x:v>
      </x:c>
      <x:c r="B279" s="2">
        <x:v>7464</x:v>
      </x:c>
      <x:c r="C279" s="2">
        <x:v>11749</x:v>
      </x:c>
      <x:c r="D279" s="2" t="s">
        <x:v>146</x:v>
      </x:c>
      <x:c r="E279" s="2">
        <x:v>0</x:v>
      </x:c>
      <x:c r="F279" s="2">
        <x:v>225</x:v>
      </x:c>
      <x:c r="G279" s="3">
        <x:f t="shared" si="4"/>
        <x:v>10240.505914413805</x:v>
      </x:c>
      <x:c r="H279" s="3">
        <x:v>2304113.8307431061</x:v>
      </x:c>
      <x:c r="I279" s="6" t="e">
        <x:f>SUMIF([1]Pengiriman!AB:AB,B279,[1]Pengiriman!AJ:AJ)</x:f>
        <x:v>#NAME?</x:v>
      </x:c>
    </x:row>
    <x:row r="280">
      <x:c r="A280" s="2" t="s">
        <x:v>144</x:v>
      </x:c>
      <x:c r="B280" s="2">
        <x:v>7469</x:v>
      </x:c>
      <x:c r="C280" s="2">
        <x:v>11750</x:v>
      </x:c>
      <x:c r="D280" s="2" t="s">
        <x:v>95</x:v>
      </x:c>
      <x:c r="E280" s="2">
        <x:v>53</x:v>
      </x:c>
      <x:c r="F280" s="2">
        <x:v>225</x:v>
      </x:c>
      <x:c r="G280" s="3">
        <x:f t="shared" si="4"/>
        <x:v>10240.505914413805</x:v>
      </x:c>
      <x:c r="H280" s="3">
        <x:v>2304113.8307431061</x:v>
      </x:c>
      <x:c r="I280" s="6" t="e">
        <x:f>SUMIF([1]Pengiriman!AB:AB,B280,[1]Pengiriman!AJ:AJ)</x:f>
        <x:v>#NAME?</x:v>
      </x:c>
    </x:row>
    <x:row r="281">
      <x:c r="A281" s="2" t="s">
        <x:v>144</x:v>
      </x:c>
      <x:c r="B281" s="2">
        <x:v>5596</x:v>
      </x:c>
      <x:c r="C281" s="2">
        <x:v>11751</x:v>
      </x:c>
      <x:c r="D281" s="2" t="s">
        <x:v>157</x:v>
      </x:c>
      <x:c r="E281" s="2">
        <x:v>36</x:v>
      </x:c>
      <x:c r="F281" s="2">
        <x:v>225</x:v>
      </x:c>
      <x:c r="G281" s="3">
        <x:f t="shared" si="4"/>
        <x:v>12334.260665284941</x:v>
      </x:c>
      <x:c r="H281" s="3">
        <x:v>2775208.6496891119</x:v>
      </x:c>
      <x:c r="I281" s="6">
        <x:v>3141056.6832838817</x:v>
      </x:c>
    </x:row>
    <x:row r="282">
      <x:c r="A282" s="2" t="s">
        <x:v>144</x:v>
      </x:c>
      <x:c r="B282" s="2">
        <x:v>5697</x:v>
      </x:c>
      <x:c r="C282" s="2">
        <x:v>11752</x:v>
      </x:c>
      <x:c r="D282" s="2" t="s">
        <x:v>157</x:v>
      </x:c>
      <x:c r="E282" s="2">
        <x:v>38</x:v>
      </x:c>
      <x:c r="F282" s="2">
        <x:v>225</x:v>
      </x:c>
      <x:c r="G282" s="3">
        <x:f t="shared" si="4"/>
        <x:v>10598.063850449613</x:v>
      </x:c>
      <x:c r="H282" s="3">
        <x:v>2384564.366351163</x:v>
      </x:c>
      <x:c r="I282" s="6">
        <x:v>2750412.3999459329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4.5"/>
  <x:cols>
    <x:col min="1" max="1" width="3.453125" customWidth="1"/>
    <x:col min="2" max="2" width="14.36328125" customWidth="1"/>
    <x:col min="3" max="3" width="12.6328125" customWidth="1"/>
    <x:col min="4" max="4" width="15.26953125" customWidth="1"/>
    <x:col min="9" max="9" width="8.81640625" style="6" customWidth="1"/>
    <x:col min="10" max="10" width="13.6328125" style="6" customWidth="1"/>
    <x:col min="11" max="11" width="7.54296875" style="6" customWidth="1"/>
    <x:col min="12" max="12" width="10.7265625" customWidth="1"/>
  </x:cols>
  <x:sheetData>
    <x:row r="1">
      <x:c r="A1" s="9" t="s">
        <x:v>158</x:v>
      </x:c>
      <x:c r="B1" s="9" t="s">
        <x:v>159</x:v>
      </x:c>
      <x:c r="C1" s="9" t="s">
        <x:v>160</x:v>
      </x:c>
      <x:c r="D1" s="9" t="s">
        <x:v>161</x:v>
      </x:c>
      <x:c r="E1" s="9" t="s">
        <x:v>162</x:v>
      </x:c>
      <x:c r="F1" s="9" t="s">
        <x:v>163</x:v>
      </x:c>
      <x:c r="G1" s="9" t="s">
        <x:v>15</x:v>
      </x:c>
      <x:c r="H1" s="9" t="s">
        <x:v>16</x:v>
      </x:c>
      <x:c r="I1" s="17" t="s">
        <x:v>164</x:v>
      </x:c>
      <x:c r="J1" s="17" t="s">
        <x:v>18</x:v>
      </x:c>
      <x:c r="K1" s="36" t="s">
        <x:v>165</x:v>
      </x:c>
    </x:row>
    <x:row r="2">
      <x:c r="A2" s="2">
        <x:v>1</x:v>
      </x:c>
      <x:c r="B2" s="2" t="s">
        <x:v>166</x:v>
      </x:c>
      <x:c r="C2" s="2" t="s">
        <x:v>167</x:v>
      </x:c>
      <x:c r="D2" s="2" t="s">
        <x:v>168</x:v>
      </x:c>
      <x:c r="E2" s="2" t="s">
        <x:v>169</x:v>
      </x:c>
      <x:c r="F2" s="2">
        <x:v>120</x:v>
      </x:c>
      <x:c r="G2" s="16">
        <x:v>15909</x:v>
      </x:c>
      <x:c r="H2" s="16">
        <x:v>54000</x:v>
      </x:c>
      <x:c r="I2" s="3">
        <x:v>58909</x:v>
      </x:c>
      <x:c r="J2" s="3">
        <x:v>551535509</x:v>
      </x:c>
      <x:c r="K2" s="3" t="n">
        <x:f>J2/H2</x:f>
        <x:v>10213.620537037037</x:v>
      </x:c>
      <x:c r="L2" s="15">
        <x:v>576598538</x:v>
      </x:c>
    </x:row>
    <x:row r="3">
      <x:c r="A3" s="2">
        <x:v>2</x:v>
      </x:c>
      <x:c r="B3" s="2" t="s">
        <x:v>170</x:v>
      </x:c>
      <x:c r="C3" s="2" t="s">
        <x:v>171</x:v>
      </x:c>
      <x:c r="D3" s="2" t="s">
        <x:v>168</x:v>
      </x:c>
      <x:c r="E3" s="2" t="s">
        <x:v>172</x:v>
      </x:c>
      <x:c r="F3" s="2">
        <x:v>84</x:v>
      </x:c>
      <x:c r="G3" s="16">
        <x:v>7079</x:v>
      </x:c>
      <x:c r="H3" s="16">
        <x:v>36900</x:v>
      </x:c>
      <x:c r="I3" s="3">
        <x:v>40255</x:v>
      </x:c>
      <x:c r="J3" s="3">
        <x:v>418257433</x:v>
      </x:c>
      <x:c r="K3" s="3" t="n">
        <x:f t="shared" ref="K3:K8" si="0">J3/H3</x:f>
        <x:v>11334.889783197832</x:v>
      </x:c>
      <x:c r="L3" s="15">
        <x:v>442487955</x:v>
      </x:c>
    </x:row>
    <x:row r="4">
      <x:c r="A4" s="2">
        <x:v>3</x:v>
      </x:c>
      <x:c r="B4" s="2" t="s">
        <x:v>170</x:v>
      </x:c>
      <x:c r="C4" s="2" t="s">
        <x:v>173</x:v>
      </x:c>
      <x:c r="D4" s="2" t="s">
        <x:v>168</x:v>
      </x:c>
      <x:c r="E4" s="2" t="s">
        <x:v>174</x:v>
      </x:c>
      <x:c r="F4" s="2">
        <x:v>1</x:v>
      </x:c>
      <x:c r="G4" s="2">
        <x:v>1</x:v>
      </x:c>
      <x:c r="H4" s="2">
        <x:v>4</x:v>
      </x:c>
      <x:c r="I4" s="3">
        <x:v>0</x:v>
      </x:c>
      <x:c r="J4" s="3">
        <x:v>43046</x:v>
      </x:c>
      <x:c r="K4" s="3">
        <x:f t="shared" si="0"/>
        <x:v>10761.5</x:v>
      </x:c>
      <x:c r="L4" s="15">
        <x:v>49550</x:v>
      </x:c>
    </x:row>
    <x:row r="5">
      <x:c r="A5" s="2">
        <x:v>4</x:v>
      </x:c>
      <x:c r="B5" s="2" t="s">
        <x:v>170</x:v>
      </x:c>
      <x:c r="C5" s="2" t="s">
        <x:v>175</x:v>
      </x:c>
      <x:c r="D5" s="2" t="s">
        <x:v>168</x:v>
      </x:c>
      <x:c r="E5" s="2" t="s">
        <x:v>174</x:v>
      </x:c>
      <x:c r="F5" s="2">
        <x:v>1</x:v>
      </x:c>
      <x:c r="G5" s="2">
        <x:v>2</x:v>
      </x:c>
      <x:c r="H5" s="2">
        <x:v>10</x:v>
      </x:c>
      <x:c r="I5" s="3">
        <x:v>0</x:v>
      </x:c>
      <x:c r="J5" s="3">
        <x:v>112221</x:v>
      </x:c>
      <x:c r="K5" s="3">
        <x:f t="shared" si="0"/>
        <x:v>11222.1</x:v>
      </x:c>
      <x:c r="L5" s="15">
        <x:v>128481</x:v>
      </x:c>
    </x:row>
    <x:row r="6">
      <x:c r="A6" s="2">
        <x:v>5</x:v>
      </x:c>
      <x:c r="B6" s="2" t="s">
        <x:v>170</x:v>
      </x:c>
      <x:c r="C6" s="2" t="s">
        <x:v>176</x:v>
      </x:c>
      <x:c r="D6" s="2" t="s">
        <x:v>168</x:v>
      </x:c>
      <x:c r="E6" s="2" t="s">
        <x:v>177</x:v>
      </x:c>
      <x:c r="F6" s="2">
        <x:v>1</x:v>
      </x:c>
      <x:c r="G6" s="2">
        <x:v>87</x:v>
      </x:c>
      <x:c r="H6" s="2">
        <x:v>900</x:v>
      </x:c>
      <x:c r="I6" s="3">
        <x:v>982</x:v>
      </x:c>
      <x:c r="J6" s="3">
        <x:v>7324138</x:v>
      </x:c>
      <x:c r="K6" s="3">
        <x:f t="shared" si="0"/>
        <x:v>8137.931111111111</x:v>
      </x:c>
      <x:c r="L6" s="15">
        <x:v>8787530</x:v>
      </x:c>
    </x:row>
    <x:row r="7">
      <x:c r="A7" s="2">
        <x:v>6</x:v>
      </x:c>
      <x:c r="B7" s="2" t="s">
        <x:v>178</x:v>
      </x:c>
      <x:c r="C7" s="2" t="s">
        <x:v>179</x:v>
      </x:c>
      <x:c r="D7" s="2" t="s">
        <x:v>168</x:v>
      </x:c>
      <x:c r="E7" s="2" t="s">
        <x:v>180</x:v>
      </x:c>
      <x:c r="F7" s="2">
        <x:v>1</x:v>
      </x:c>
      <x:c r="G7" s="2">
        <x:v>11</x:v>
      </x:c>
      <x:c r="H7" s="2">
        <x:v>65</x:v>
      </x:c>
      <x:c r="I7" s="3">
        <x:v>70</x:v>
      </x:c>
      <x:c r="J7" s="3">
        <x:v>844870</x:v>
      </x:c>
      <x:c r="K7" s="3">
        <x:f t="shared" si="0"/>
        <x:v>12998</x:v>
      </x:c>
      <x:c r="L7" s="15">
        <x:v>950559</x:v>
      </x:c>
    </x:row>
    <x:row r="8">
      <x:c r="A8" s="2">
        <x:v>7</x:v>
      </x:c>
      <x:c r="B8" s="2" t="s">
        <x:v>181</x:v>
      </x:c>
      <x:c r="C8" s="2" t="s">
        <x:v>182</x:v>
      </x:c>
      <x:c r="D8" s="2" t="s">
        <x:v>168</x:v>
      </x:c>
      <x:c r="E8" s="2" t="s">
        <x:v>183</x:v>
      </x:c>
      <x:c r="F8" s="2">
        <x:v>100</x:v>
      </x:c>
      <x:c r="G8" s="16">
        <x:v>11480</x:v>
      </x:c>
      <x:c r="H8" s="16">
        <x:v>45000</x:v>
      </x:c>
      <x:c r="I8" s="3">
        <x:v>49091</x:v>
      </x:c>
      <x:c r="J8" s="3">
        <x:v>459370663</x:v>
      </x:c>
      <x:c r="K8" s="3">
        <x:f t="shared" si="0"/>
        <x:v>10208.236955555556</x:v>
      </x:c>
      <x:c r="L8" s="15">
        <x:v>526837919</x:v>
      </x:c>
    </x:row>
    <x:row r="10">
      <x:c r="J10" s="6" t="n">
        <x:f>SUM(J2:J8)</x:f>
        <x:v>1437487880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4.5"/>
  <x:cols>
    <x:col min="1" max="1" width="17.54296875" customWidth="1"/>
    <x:col min="2" max="2" width="17.81640625" customWidth="1"/>
    <x:col min="3" max="4" width="8.54296875" style="29" customWidth="1"/>
    <x:col min="5" max="5" width="13.54296875" style="29" customWidth="1"/>
    <x:col min="6" max="6" width="12" customWidth="1"/>
  </x:cols>
  <x:sheetData>
    <x:row r="1">
      <x:c r="A1" s="9" t="s">
        <x:v>184</x:v>
      </x:c>
      <x:c r="B1" s="9" t="s">
        <x:v>11</x:v>
      </x:c>
      <x:c r="C1" s="26" t="s">
        <x:v>15</x:v>
      </x:c>
      <x:c r="D1" s="26" t="s">
        <x:v>16</x:v>
      </x:c>
      <x:c r="E1" s="26" t="s">
        <x:v>18</x:v>
      </x:c>
    </x:row>
    <x:row r="2">
      <x:c r="A2" s="2" t="s">
        <x:v>185</x:v>
      </x:c>
      <x:c r="B2" s="2" t="s">
        <x:v>31</x:v>
      </x:c>
      <x:c r="C2" s="27">
        <x:v>6422</x:v>
      </x:c>
      <x:c r="D2" s="27">
        <x:v>41263</x:v>
      </x:c>
      <x:c r="E2" s="27">
        <x:v>251377626.43742314</x:v>
      </x:c>
    </x:row>
    <x:row r="3">
      <x:c r="A3" s="2" t="s">
        <x:v>185</x:v>
      </x:c>
      <x:c r="B3" s="2" t="s">
        <x:v>28</x:v>
      </x:c>
      <x:c r="C3" s="27">
        <x:v>6382</x:v>
      </x:c>
      <x:c r="D3" s="27">
        <x:v>37791</x:v>
      </x:c>
      <x:c r="E3" s="27">
        <x:v>231185705.35323709</x:v>
      </x:c>
    </x:row>
    <x:row r="4">
      <x:c r="A4" s="2" t="s">
        <x:v>185</x:v>
      </x:c>
      <x:c r="B4" s="2" t="s">
        <x:v>55</x:v>
      </x:c>
      <x:c r="C4" s="27">
        <x:v>0</x:v>
      </x:c>
      <x:c r="D4" s="27">
        <x:v>22750</x:v>
      </x:c>
      <x:c r="E4" s="27">
        <x:v>141422411.7268497</x:v>
      </x:c>
    </x:row>
    <x:row r="5">
      <x:c r="A5" s="2" t="s">
        <x:v>185</x:v>
      </x:c>
      <x:c r="B5" s="2" t="s">
        <x:v>19</x:v>
      </x:c>
      <x:c r="C5" s="27">
        <x:v>5775</x:v>
      </x:c>
      <x:c r="D5" s="27">
        <x:v>34569</x:v>
      </x:c>
      <x:c r="E5" s="27">
        <x:v>212856815.43697128</x:v>
      </x:c>
      <x:c r="F5" s="6"/>
    </x:row>
    <x:row r="6">
      <x:c r="A6" s="2" t="s">
        <x:v>185</x:v>
      </x:c>
      <x:c r="B6" s="2" t="s">
        <x:v>38</x:v>
      </x:c>
      <x:c r="C6" s="27">
        <x:v>9146</x:v>
      </x:c>
      <x:c r="D6" s="27">
        <x:v>60388</x:v>
      </x:c>
      <x:c r="E6" s="27">
        <x:v>423247449.50999534</x:v>
      </x:c>
    </x:row>
    <x:row r="7">
      <x:c r="A7" s="2" t="s">
        <x:v>185</x:v>
      </x:c>
      <x:c r="B7" s="2" t="s">
        <x:v>50</x:v>
      </x:c>
      <x:c r="C7" s="27">
        <x:v>7286</x:v>
      </x:c>
      <x:c r="D7" s="27">
        <x:v>46753</x:v>
      </x:c>
      <x:c r="E7" s="27">
        <x:v>313054163.86774427</x:v>
      </x:c>
    </x:row>
    <x:row r="8">
      <x:c r="A8" s="2" t="s">
        <x:v>185</x:v>
      </x:c>
      <x:c r="B8" s="2" t="s">
        <x:v>52</x:v>
      </x:c>
      <x:c r="C8" s="27">
        <x:v>5176</x:v>
      </x:c>
      <x:c r="D8" s="27">
        <x:v>39506</x:v>
      </x:c>
      <x:c r="E8" s="27">
        <x:v>254975710.18963137</x:v>
      </x:c>
    </x:row>
    <x:row r="9">
      <x:c r="A9" s="2"/>
      <x:c r="B9" s="2"/>
      <x:c r="C9" s="27"/>
      <x:c r="D9" s="27"/>
      <x:c r="E9" s="27"/>
    </x:row>
    <x:row r="10">
      <x:c r="A10" s="2" t="s">
        <x:v>186</x:v>
      </x:c>
      <x:c r="B10" s="2" t="s">
        <x:v>187</x:v>
      </x:c>
      <x:c r="C10" s="27" t="n">
        <x:f>SUM('cetak di gudang'!F2:F976)</x:f>
        <x:v>29716</x:v>
      </x:c>
      <x:c r="D10" s="27" t="n">
        <x:f>SUM('cetak di gudang'!G2:G976)</x:f>
        <x:v>170900</x:v>
      </x:c>
      <x:c r="E10" s="27" t="n">
        <x:f>SUM('cetak di gudang'!I:I)</x:f>
        <x:v>1647636940.9025183</x:v>
      </x:c>
    </x:row>
    <x:row r="11">
      <x:c r="A11" s="2" t="s">
        <x:v>188</x:v>
      </x:c>
      <x:c r="B11" s="2" t="s">
        <x:v>187</x:v>
      </x:c>
      <x:c r="C11" s="27" t="n">
        <x:f>SUM('cetak ditangan anak'!E:E)</x:f>
        <x:v>6328</x:v>
      </x:c>
      <x:c r="D11" s="27" t="n">
        <x:f>SUM('cetak ditangan anak'!F:F)</x:f>
        <x:v>35682</x:v>
      </x:c>
      <x:c r="E11" s="27" t="n">
        <x:f>SUM('cetak ditangan anak'!H:H)</x:f>
        <x:v>351373521.6663311</x:v>
      </x:c>
    </x:row>
    <x:row r="12">
      <x:c r="A12" s="2" t="s">
        <x:v>189</x:v>
      </x:c>
      <x:c r="B12" s="2" t="s">
        <x:v>74</x:v>
      </x:c>
      <x:c r="C12" s="27" t="n">
        <x:f>SUM(sortir!F:F)</x:f>
        <x:v>0</x:v>
      </x:c>
      <x:c r="D12" s="27" t="n">
        <x:f>SUM(sortir!G:G)</x:f>
        <x:v>3019</x:v>
      </x:c>
      <x:c r="E12" s="27" t="n">
        <x:f>SUM(sortir!I:I)</x:f>
        <x:v>9287600.12604365</x:v>
      </x:c>
    </x:row>
    <x:row r="13">
      <x:c r="A13" s="2" t="s">
        <x:v>190</x:v>
      </x:c>
      <x:c r="B13" s="2" t="s">
        <x:v>75</x:v>
      </x:c>
      <x:c r="C13" s="27" t="n">
        <x:f>SUM('belum grading'!F:F)</x:f>
        <x:v>10152</x:v>
      </x:c>
      <x:c r="D13" s="27" t="n">
        <x:f>SUM('belum grading'!G:G)</x:f>
        <x:v>56472</x:v>
      </x:c>
      <x:c r="E13" s="27" t="n">
        <x:f>SUM('belum grading'!I:I)</x:f>
        <x:v>598663828.4632028</x:v>
      </x:c>
    </x:row>
    <x:row r="14">
      <x:c r="A14" s="2" t="s">
        <x:v>191</x:v>
      </x:c>
      <x:c r="B14" s="2" t="s">
        <x:v>75</x:v>
      </x:c>
      <x:c r="C14" s="27" t="n">
        <x:f>SUM(wip!E:E)</x:f>
        <x:v>8712</x:v>
      </x:c>
      <x:c r="D14" s="27" t="n">
        <x:f>SUM(wip!F:F)</x:f>
        <x:v>60405</x:v>
      </x:c>
      <x:c r="E14" s="27" t="n">
        <x:f>SUM(wip!H:H)</x:f>
        <x:v>626580755.2654151</x:v>
      </x:c>
    </x:row>
    <x:row r="15">
      <x:c r="A15" s="2" t="s">
        <x:v>192</x:v>
      </x:c>
      <x:c r="B15" s="2" t="s">
        <x:v>144</x:v>
      </x:c>
      <x:c r="C15" s="27" t="n">
        <x:f>SUM(packing!$E:$E)</x:f>
        <x:v>4299</x:v>
      </x:c>
      <x:c r="D15" s="27" t="n">
        <x:f>SUM(packing!F:F)</x:f>
        <x:v>92700</x:v>
      </x:c>
      <x:c r="E15" s="27" t="n">
        <x:f>SUM(packing!H:H)</x:f>
        <x:v>681382212.5669909</x:v>
      </x:c>
    </x:row>
    <x:row r="16">
      <x:c r="A16" s="2" t="s">
        <x:v>193</x:v>
      </x:c>
      <x:c r="B16" s="2" t="s">
        <x:v>144</x:v>
      </x:c>
      <x:c r="C16" s="27" t="n">
        <x:f>SUM(Pengiriman!G2:G8)</x:f>
        <x:v>34569</x:v>
      </x:c>
      <x:c r="D16" s="27" t="n">
        <x:f>SUM(Pengiriman!H2:H8)</x:f>
        <x:v>136879</x:v>
      </x:c>
      <x:c r="E16" s="27" t="n">
        <x:f>SUM(Pengiriman!J2:J8)</x:f>
        <x:v>1437487880</x:v>
      </x:c>
    </x:row>
    <x:row r="17">
      <x:c r="C17" s="28"/>
      <x:c r="D17" s="28"/>
      <x:c r="E17" s="28"/>
    </x:row>
    <x:row r="18">
      <x:c r="C18" s="28" t="n">
        <x:f>SUM(C2:C16)</x:f>
        <x:v>133963</x:v>
      </x:c>
      <x:c r="D18" s="28" t="n">
        <x:f t="shared" ref="D18:E18" si="0">SUM(D2:D16)</x:f>
        <x:v>839077</x:v>
      </x:c>
      <x:c r="E18" s="28">
        <x:f t="shared" si="0"/>
        <x:v>7180532621.5123549</x:v>
      </x:c>
    </x:row>
    <x:row r="19">
      <x:c r="C19" s="28"/>
      <x:c r="D19" s="28"/>
      <x:c r="E19" s="28"/>
    </x:row>
    <x:row r="20">
      <x:c r="C20" s="28"/>
      <x:c r="D20" s="28"/>
      <x:c r="E20" s="28"/>
    </x:row>
    <x:row r="21">
      <x:c r="C21" s="28"/>
      <x:c r="D21" s="28"/>
      <x:c r="E21" s="28"/>
    </x:row>
    <x:row r="22">
      <x:c r="C22" s="28"/>
      <x:c r="D22" s="28"/>
      <x:c r="E22" s="28"/>
    </x:row>
    <x:row r="23">
      <x:c r="C23" s="28"/>
      <x:c r="D23" s="28"/>
      <x:c r="E23" s="28"/>
    </x:row>
    <x:row r="24">
      <x:c r="C24" s="28"/>
      <x:c r="D24" s="28"/>
      <x:c r="E24" s="28"/>
    </x:row>
    <x:row r="25">
      <x:c r="C25" s="28"/>
      <x:c r="D25" s="28"/>
      <x:c r="E25" s="28"/>
    </x:row>
    <x:row r="26">
      <x:c r="C26" s="28"/>
      <x:c r="D26" s="28"/>
      <x:c r="E26" s="28"/>
    </x:row>
    <x:row r="27">
      <x:c r="C27" s="28"/>
      <x:c r="D27" s="28"/>
      <x:c r="E27" s="28"/>
    </x:row>
    <x:row r="28">
      <x:c r="C28" s="28"/>
      <x:c r="D28" s="28"/>
      <x:c r="E28" s="28"/>
    </x:row>
    <x:row r="29">
      <x:c r="C29" s="28"/>
      <x:c r="D29" s="28"/>
      <x:c r="E29" s="28"/>
    </x:row>
    <x:row r="30">
      <x:c r="C30" s="28"/>
      <x:c r="D30" s="28"/>
      <x:c r="E30" s="28"/>
    </x:row>
    <x:row r="31">
      <x:c r="C31" s="28"/>
      <x:c r="D31" s="28"/>
      <x:c r="E31" s="28"/>
    </x:row>
    <x:row r="32">
      <x:c r="C32" s="28"/>
      <x:c r="D32" s="28"/>
      <x:c r="E32" s="28"/>
    </x:row>
    <x:row r="33">
      <x:c r="C33" s="28"/>
      <x:c r="D33" s="28"/>
      <x:c r="E33" s="28"/>
    </x:row>
    <x:row r="34">
      <x:c r="C34" s="28"/>
      <x:c r="D34" s="28"/>
      <x:c r="E34" s="28"/>
    </x:row>
    <x:row r="35">
      <x:c r="C35" s="28"/>
      <x:c r="D35" s="28"/>
      <x:c r="E35" s="28"/>
    </x:row>
    <x:row r="36">
      <x:c r="C36" s="28"/>
      <x:c r="D36" s="28"/>
      <x:c r="E36" s="28"/>
    </x:row>
    <x:row r="37">
      <x:c r="C37" s="28"/>
      <x:c r="D37" s="28"/>
      <x:c r="E37" s="28"/>
    </x:row>
    <x:row r="38">
      <x:c r="C38" s="28"/>
      <x:c r="D38" s="28"/>
      <x:c r="E38" s="28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4.5"/>
  <x:cols>
    <x:col min="1" max="1" width="11.08984375" customWidth="1"/>
    <x:col min="2" max="2" width="10.7265625" customWidth="1"/>
    <x:col min="3" max="3" width="12.1796875" customWidth="1"/>
    <x:col min="4" max="4" width="15.81640625" style="6" customWidth="1"/>
    <x:col min="5" max="5" width="7.6328125" customWidth="1"/>
    <x:col min="6" max="6" width="12.1796875" customWidth="1"/>
    <x:col min="7" max="7" width="18.81640625" style="6" customWidth="1"/>
    <x:col min="8" max="8" width="17.36328125" style="6" customWidth="1"/>
    <x:col min="9" max="9" width="9.1796875" style="6" customWidth="1"/>
    <x:col min="10" max="10" width="10" style="6" customWidth="1"/>
    <x:col min="11" max="11" width="14.54296875" style="6" customWidth="1"/>
    <x:col min="12" max="12" width="14.54296875" style="6" customWidth="1"/>
    <x:col min="13" max="13" width="14.6328125" customWidth="1"/>
    <x:col min="14" max="15" width="13.26953125" customWidth="1"/>
  </x:cols>
  <x:sheetData>
    <x:row r="1">
      <x:c r="A1" s="6" t="s">
        <x:v>194</x:v>
      </x:c>
      <x:c r="B1" s="6"/>
      <x:c r="C1" s="6"/>
      <x:c r="E1" s="6"/>
    </x:row>
    <x:row r="2" ht="15.5">
      <x:c r="A2" s="30" t="s">
        <x:v>195</x:v>
      </x:c>
      <x:c r="B2" s="31">
        <x:v>81176</x:v>
      </x:c>
      <x:c r="C2" s="31">
        <x:v>555679</x:v>
      </x:c>
      <x:c r="D2" s="31">
        <x:v>4589422436.9534473</x:v>
      </x:c>
      <x:c r="E2" s="39" t="n">
        <x:f>D2/C2</x:f>
        <x:v>8259.12520889479</x:v>
      </x:c>
      <x:c r="F2" s="6"/>
      <x:c r="G2" s="33" t="s">
        <x:v>184</x:v>
      </x:c>
      <x:c r="H2" s="33" t="s">
        <x:v>11</x:v>
      </x:c>
      <x:c r="I2" s="33" t="s">
        <x:v>15</x:v>
      </x:c>
      <x:c r="J2" s="33" t="s">
        <x:v>16</x:v>
      </x:c>
      <x:c r="K2" s="33" t="s">
        <x:v>18</x:v>
      </x:c>
      <x:c r="L2" s="33" t="s">
        <x:v>196</x:v>
      </x:c>
    </x:row>
    <x:row r="3">
      <x:c r="A3" s="3" t="s">
        <x:v>197</x:v>
      </x:c>
      <x:c r="B3" s="3">
        <x:v>29024</x:v>
      </x:c>
      <x:c r="C3" s="3">
        <x:v>190655</x:v>
      </x:c>
      <x:c r="D3" s="3">
        <x:v>1085024345</x:v>
      </x:c>
      <x:c r="E3" s="37" t="n">
        <x:f t="shared" ref="E3:E5" si="0">D3/C3</x:f>
        <x:v>5691.035351813485</x:v>
      </x:c>
      <x:c r="G3" s="3" t="s">
        <x:v>185</x:v>
      </x:c>
      <x:c r="H3" s="3" t="s">
        <x:v>31</x:v>
      </x:c>
      <x:c r="I3" s="3">
        <x:v>6422</x:v>
      </x:c>
      <x:c r="J3" s="3">
        <x:v>41263</x:v>
      </x:c>
      <x:c r="K3" s="3">
        <x:v>251377626.43742314</x:v>
      </x:c>
      <x:c r="L3" s="3" t="n">
        <x:f>K3/J3</x:f>
        <x:v>6092.083135918938</x:v>
      </x:c>
    </x:row>
    <x:row r="4">
      <x:c r="A4" s="3" t="s">
        <x:v>198</x:v>
      </x:c>
      <x:c r="B4" s="3">
        <x:v>3394</x:v>
      </x:c>
      <x:c r="C4" s="3">
        <x:v>25887</x:v>
      </x:c>
      <x:c r="D4" s="3">
        <x:v>158423500</x:v>
      </x:c>
      <x:c r="E4" s="37">
        <x:f t="shared" si="0"/>
        <x:v>6119.809170626183</x:v>
      </x:c>
      <x:c r="G4" s="3" t="s">
        <x:v>185</x:v>
      </x:c>
      <x:c r="H4" s="3" t="s">
        <x:v>28</x:v>
      </x:c>
      <x:c r="I4" s="3">
        <x:v>6382</x:v>
      </x:c>
      <x:c r="J4" s="3">
        <x:v>37791</x:v>
      </x:c>
      <x:c r="K4" s="3">
        <x:v>231185705.35323709</x:v>
      </x:c>
      <x:c r="L4" s="3" t="n">
        <x:f>K4/J4</x:f>
        <x:v>6117.4804941186285</x:v>
      </x:c>
    </x:row>
    <x:row r="5">
      <x:c r="A5" s="3" t="s">
        <x:v>199</x:v>
      </x:c>
      <x:c r="B5" s="3">
        <x:v>20916</x:v>
      </x:c>
      <x:c r="C5" s="3">
        <x:v>158699</x:v>
      </x:c>
      <x:c r="D5" s="3">
        <x:v>995729803</x:v>
      </x:c>
      <x:c r="E5" s="37">
        <x:f t="shared" si="0"/>
        <x:v>6274.3294097631369</x:v>
      </x:c>
      <x:c r="G5" s="3" t="s">
        <x:v>185</x:v>
      </x:c>
      <x:c r="H5" s="3" t="s">
        <x:v>55</x:v>
      </x:c>
      <x:c r="I5" s="3">
        <x:v>0</x:v>
      </x:c>
      <x:c r="J5" s="3">
        <x:v>22750</x:v>
      </x:c>
      <x:c r="K5" s="3">
        <x:v>141422411.7268497</x:v>
      </x:c>
      <x:c r="L5" s="3" t="n">
        <x:f>K5/J5</x:f>
        <x:v>6216.369746235152</x:v>
      </x:c>
    </x:row>
    <x:row r="6" ht="15.5">
      <x:c r="A6" s="33" t="s">
        <x:v>200</x:v>
      </x:c>
      <x:c r="B6" s="33" t="n">
        <x:f>SUM(B2:B5)</x:f>
        <x:v>134510</x:v>
      </x:c>
      <x:c r="C6" s="33" t="n">
        <x:f>SUM(C2:C5)</x:f>
        <x:v>930920</x:v>
      </x:c>
      <x:c r="D6" s="33" t="n">
        <x:f>SUM(D2:D5)</x:f>
        <x:v>6828600084.953447</x:v>
      </x:c>
      <x:c r="E6" s="33" t="n">
        <x:f>D6/C6</x:f>
        <x:v>7335.324286677102</x:v>
      </x:c>
      <x:c r="G6" s="3" t="s">
        <x:v>185</x:v>
      </x:c>
      <x:c r="H6" s="3" t="s">
        <x:v>19</x:v>
      </x:c>
      <x:c r="I6" s="3">
        <x:v>5775</x:v>
      </x:c>
      <x:c r="J6" s="3">
        <x:v>34569</x:v>
      </x:c>
      <x:c r="K6" s="3">
        <x:v>212856815.43697128</x:v>
      </x:c>
      <x:c r="L6" s="3" t="n">
        <x:f>K6/J6</x:f>
        <x:v>6157.447870547927</x:v>
      </x:c>
    </x:row>
    <x:row r="7">
      <x:c r="E7" s="6"/>
      <x:c r="G7" s="3" t="s">
        <x:v>185</x:v>
      </x:c>
      <x:c r="H7" s="3" t="s">
        <x:v>38</x:v>
      </x:c>
      <x:c r="I7" s="3">
        <x:v>9146</x:v>
      </x:c>
      <x:c r="J7" s="3">
        <x:v>60388</x:v>
      </x:c>
      <x:c r="K7" s="3">
        <x:v>423247449.50999534</x:v>
      </x:c>
      <x:c r="L7" s="3" t="n">
        <x:f>K7/J7</x:f>
        <x:v>7008.800581406825</x:v>
      </x:c>
    </x:row>
    <x:row r="8">
      <x:c r="A8" s="40" t="s">
        <x:v>201</x:v>
      </x:c>
      <x:c r="D8" s="40">
        <x:v>525126624</x:v>
      </x:c>
      <x:c r="G8" s="3" t="s">
        <x:v>185</x:v>
      </x:c>
      <x:c r="H8" s="3" t="s">
        <x:v>50</x:v>
      </x:c>
      <x:c r="I8" s="3">
        <x:v>7286</x:v>
      </x:c>
      <x:c r="J8" s="3">
        <x:v>46753</x:v>
      </x:c>
      <x:c r="K8" s="3">
        <x:v>313054163.86774427</x:v>
      </x:c>
      <x:c r="L8" s="3" t="n">
        <x:f>K8/J8</x:f>
        <x:v>6695.916066728216</x:v>
      </x:c>
    </x:row>
    <x:row r="9">
      <x:c r="A9" s="40" t="s">
        <x:v>202</x:v>
      </x:c>
      <x:c r="D9" s="6">
        <x:v>575132526</x:v>
      </x:c>
      <x:c r="G9" s="3" t="s">
        <x:v>185</x:v>
      </x:c>
      <x:c r="H9" s="3" t="s">
        <x:v>52</x:v>
      </x:c>
      <x:c r="I9" s="3">
        <x:v>5176</x:v>
      </x:c>
      <x:c r="J9" s="3">
        <x:v>39506</x:v>
      </x:c>
      <x:c r="K9" s="3">
        <x:v>254975710.18963137</x:v>
      </x:c>
      <x:c r="L9" s="3" t="n">
        <x:f>K9/J9</x:f>
        <x:v>6454.100900866485</x:v>
      </x:c>
      <x:c r="O9" s="15"/>
    </x:row>
    <x:row r="10">
      <x:c r="A10" s="35"/>
      <x:c r="B10" s="15"/>
      <x:c r="C10" s="15"/>
      <x:c r="E10" s="15"/>
      <x:c r="G10" s="3"/>
      <x:c r="H10" s="3"/>
      <x:c r="I10" s="3"/>
      <x:c r="J10" s="3"/>
      <x:c r="K10" s="3"/>
      <x:c r="L10" s="3"/>
      <x:c r="O10" s="15"/>
    </x:row>
    <x:row r="11">
      <x:c r="A11" s="15"/>
      <x:c r="B11" s="15"/>
      <x:c r="C11" s="15"/>
      <x:c r="D11" s="18" t="n">
        <x:f>D6+D8+D9</x:f>
        <x:v>7928859234.953447</x:v>
      </x:c>
      <x:c r="E11" s="15"/>
      <x:c r="G11" s="3" t="s">
        <x:v>186</x:v>
      </x:c>
      <x:c r="H11" s="3" t="s">
        <x:v>187</x:v>
      </x:c>
      <x:c r="I11" s="3">
        <x:v>29716</x:v>
      </x:c>
      <x:c r="J11" s="3">
        <x:v>170900</x:v>
      </x:c>
      <x:c r="K11" s="3">
        <x:v>1647636940.9025183</x:v>
      </x:c>
      <x:c r="L11" s="3" t="n">
        <x:f>K11/J11</x:f>
        <x:v>9640.941725585244</x:v>
      </x:c>
      <x:c r="N11" s="15"/>
    </x:row>
    <x:row r="12">
      <x:c r="B12" s="15"/>
      <x:c r="C12" s="15"/>
      <x:c r="E12" s="15"/>
      <x:c r="G12" s="3" t="s">
        <x:v>188</x:v>
      </x:c>
      <x:c r="H12" s="3" t="s">
        <x:v>187</x:v>
      </x:c>
      <x:c r="I12" s="3">
        <x:v>6328</x:v>
      </x:c>
      <x:c r="J12" s="3">
        <x:v>35682</x:v>
      </x:c>
      <x:c r="K12" s="3">
        <x:v>351373521.66633111</x:v>
      </x:c>
      <x:c r="L12" s="3" t="n">
        <x:f>K12/J12</x:f>
        <x:v>9847.360620658346</x:v>
      </x:c>
      <x:c r="N12" s="15"/>
      <x:c r="O12" s="15"/>
    </x:row>
    <x:row r="13">
      <x:c r="B13" s="15"/>
      <x:c r="C13" s="15"/>
      <x:c r="E13" s="15"/>
      <x:c r="G13" s="3" t="s">
        <x:v>189</x:v>
      </x:c>
      <x:c r="H13" s="3" t="s">
        <x:v>74</x:v>
      </x:c>
      <x:c r="I13" s="3">
        <x:v>0</x:v>
      </x:c>
      <x:c r="J13" s="3">
        <x:v>3019</x:v>
      </x:c>
      <x:c r="K13" s="3">
        <x:v>9287600.1260436494</x:v>
      </x:c>
      <x:c r="L13" s="3" t="n">
        <x:f>K13/J13</x:f>
        <x:v>3076.3829499978965</x:v>
      </x:c>
      <x:c r="O13" s="15"/>
    </x:row>
    <x:row r="14">
      <x:c r="B14" s="15"/>
      <x:c r="C14" s="15"/>
      <x:c r="E14" s="15"/>
      <x:c r="G14" s="3" t="s">
        <x:v>190</x:v>
      </x:c>
      <x:c r="H14" s="3" t="s">
        <x:v>75</x:v>
      </x:c>
      <x:c r="I14" s="3">
        <x:v>10152</x:v>
      </x:c>
      <x:c r="J14" s="3">
        <x:v>56472</x:v>
      </x:c>
      <x:c r="K14" s="3">
        <x:v>598663828.46320283</x:v>
      </x:c>
      <x:c r="L14" s="3" t="n">
        <x:f>K14/J14</x:f>
        <x:v>10601.07360219583</x:v>
      </x:c>
      <x:c r="M14" s="6"/>
    </x:row>
    <x:row r="15">
      <x:c r="G15" s="3" t="s">
        <x:v>191</x:v>
      </x:c>
      <x:c r="H15" s="3" t="s">
        <x:v>75</x:v>
      </x:c>
      <x:c r="I15" s="3">
        <x:v>8712</x:v>
      </x:c>
      <x:c r="J15" s="3">
        <x:v>60405</x:v>
      </x:c>
      <x:c r="K15" s="48" t="n">
        <x:v>707757014</x:v>
      </x:c>
      <x:c r="L15" s="3" t="n">
        <x:f>K15/J15</x:f>
        <x:v>11716.861418756725</x:v>
      </x:c>
      <x:c r="M15" s="6"/>
      <x:c r="N15" s="32"/>
    </x:row>
    <x:row r="16">
      <x:c r="G16" s="3" t="s">
        <x:v>192</x:v>
      </x:c>
      <x:c r="H16" s="3" t="s">
        <x:v>144</x:v>
      </x:c>
      <x:c r="I16" s="3">
        <x:v>4299</x:v>
      </x:c>
      <x:c r="J16" s="3">
        <x:v>92700</x:v>
      </x:c>
      <x:c r="K16" s="48">
        <x:v>783471700</x:v>
      </x:c>
      <x:c r="L16" s="3" t="n">
        <x:f>K16/J16</x:f>
        <x:v>8451.690399137002</x:v>
      </x:c>
      <x:c r="M16" s="6"/>
      <x:c r="N16" s="32"/>
    </x:row>
    <x:row r="17">
      <x:c r="G17" s="3" t="s">
        <x:v>193</x:v>
      </x:c>
      <x:c r="H17" s="3" t="s">
        <x:v>144</x:v>
      </x:c>
      <x:c r="I17" s="3">
        <x:v>34569</x:v>
      </x:c>
      <x:c r="J17" s="3">
        <x:v>136879</x:v>
      </x:c>
      <x:c r="K17" s="48" t="n">
        <x:f>1555840532+230479079+124681083</x:f>
        <x:v>1911000694</x:v>
      </x:c>
      <x:c r="L17" s="3" t="n">
        <x:f>K17/J17</x:f>
        <x:v>13961.240906201829</x:v>
      </x:c>
      <x:c r="M17" s="6"/>
      <x:c r="N17" s="32"/>
    </x:row>
    <x:row r="18">
      <x:c r="G18" s="46" t="str">
        <x:v>Cost belum teralokasi</x:v>
      </x:c>
      <x:c r="H18" s="46" t="str">
        <x:v>Rekonsiliasi</x:v>
      </x:c>
      <x:c r="I18" s="45"/>
      <x:c r="J18" s="45"/>
      <x:c r="K18" s="49" t="n">
        <x:f>$D$11-SUM(K3:K17)</x:f>
        <x:v>91548053.27349854</x:v>
      </x:c>
      <x:c r="L18" s="45"/>
    </x:row>
    <x:row r="19">
      <x:c r="G19" s="17" t="s">
        <x:v>200</x:v>
      </x:c>
      <x:c r="H19" s="17"/>
      <x:c r="I19" s="17" t="n">
        <x:f>SUM(I3:I18)</x:f>
        <x:v>133963</x:v>
      </x:c>
      <x:c r="J19" s="17" t="n">
        <x:f t="shared" ref="J19:K19" si="1">SUM(J3:J18)</x:f>
        <x:v>839077</x:v>
      </x:c>
      <x:c r="K19" s="50" t="n">
        <x:f t="shared" si="1">SUM(K3:K18)</x:f>
        <x:v>7928859234.953447</x:v>
      </x:c>
      <x:c r="L19" s="17" t="n">
        <x:f>K19/J19</x:f>
        <x:v>9449.501338915794</x:v>
      </x:c>
      <x:c r="N19" s="6"/>
    </x:row>
    <x:row r="20">
      <x:c r="K20" s="51"/>
      <x:c r="M20" s="32"/>
      <x:c r="N20" s="6"/>
    </x:row>
    <x:row r="21">
      <x:c r="H21" s="18" t="s">
        <x:v>203</x:v>
      </x:c>
      <x:c r="I21" s="18" t="n">
        <x:f>B6-I19</x:f>
        <x:v>547</x:v>
      </x:c>
      <x:c r="J21" s="18" t="n">
        <x:f>C6-J19</x:f>
        <x:v>91843</x:v>
      </x:c>
      <x:c r="K21" s="52" t="n">
        <x:f>$D$11-K19</x:f>
        <x:v>0</x:v>
      </x:c>
      <x:c r="L21" s="18"/>
      <x:c r="M21" s="32"/>
    </x:row>
    <x:row r="22">
      <x:c r="H22" s="18" t="s">
        <x:v>204</x:v>
      </x:c>
      <x:c r="I22" s="18"/>
      <x:c r="J22" s="34" t="n">
        <x:f>1-(J19/C6)</x:f>
        <x:v>0.0986583165041035</x:v>
      </x:c>
      <x:c r="K22" s="18"/>
      <x:c r="L22" s="18"/>
      <x:c r="N22" s="32"/>
    </x:row>
    <x:row r="24">
      <x:c r="K24" s="41"/>
    </x:row>
    <x:row r="25">
      <x:c r="K25" s="6" t="n">
        <x:f>K21-K29</x:f>
        <x:v>-230479079</x:v>
      </x:c>
    </x:row>
    <x:row r="29">
      <x:c r="K29" s="6">
        <x:v>230479079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4.5"/>
  <x:cols>
    <x:col min="3" max="3" width="18.6328125" customWidth="1"/>
  </x:cols>
  <x:sheetData>
    <x:row r="1">
      <x:c r="A1" t="s">
        <x:v>205</x:v>
      </x:c>
      <x:c r="B1" t="s">
        <x:v>206</x:v>
      </x:c>
      <x:c r="C1" t="s">
        <x:v>207</x:v>
      </x:c>
    </x:row>
    <x:row r="2">
      <x:c r="A2">
        <x:v>1003</x:v>
      </x:c>
      <x:c r="B2">
        <x:v>300</x:v>
      </x:c>
      <x:c r="C2" s="44">
        <x:v>160320</x:v>
      </x:c>
    </x:row>
    <x:row r="3">
      <x:c r="A3">
        <x:v>1004</x:v>
      </x:c>
      <x:c r="B3">
        <x:v>26.45</x:v>
      </x:c>
      <x:c r="C3" t="s">
        <x:v>208</x:v>
      </x:c>
    </x:row>
    <x:row r="4">
      <x:c r="A4">
        <x:v>1005</x:v>
      </x:c>
      <x:c r="B4">
        <x:v>29.853000000000002</x:v>
      </x:c>
      <x:c r="C4" t="s">
        <x:v>209</x:v>
      </x:c>
    </x:row>
    <x:row r="5">
      <x:c r="A5">
        <x:v>1006</x:v>
      </x:c>
      <x:c r="B5">
        <x:v>52.601999999999997</x:v>
      </x:c>
      <x:c r="C5" t="s">
        <x:v>210</x:v>
      </x:c>
    </x:row>
    <x:row r="6">
      <x:c r="A6">
        <x:v>1007</x:v>
      </x:c>
      <x:c r="B6">
        <x:v>75.075000000000003</x:v>
      </x:c>
      <x:c r="C6" t="s">
        <x:v>211</x:v>
      </x:c>
    </x:row>
    <x:row r="7">
      <x:c r="A7">
        <x:v>1008</x:v>
      </x:c>
      <x:c r="B7">
        <x:v>67.652000000000001</x:v>
      </x:c>
      <x:c r="C7" t="s">
        <x:v>212</x:v>
      </x:c>
    </x:row>
    <x:row r="8">
      <x:c r="A8">
        <x:v>1009</x:v>
      </x:c>
      <x:c r="B8">
        <x:v>66.337000000000003</x:v>
      </x:c>
      <x:c r="C8" t="s">
        <x:v>213</x:v>
      </x:c>
    </x:row>
    <x:row r="9">
      <x:c r="A9">
        <x:v>1010</x:v>
      </x:c>
      <x:c r="B9">
        <x:v>82.8</x:v>
      </x:c>
      <x:c r="C9" t="s">
        <x:v>214</x:v>
      </x:c>
    </x:row>
    <x:row r="10">
      <x:c r="A10">
        <x:v>1011</x:v>
      </x:c>
      <x:c r="B10">
        <x:v>18.484000000000002</x:v>
      </x:c>
      <x:c r="C10" t="s">
        <x:v>215</x:v>
      </x:c>
    </x:row>
    <x:row r="11">
      <x:c r="A11">
        <x:v>1012</x:v>
      </x:c>
      <x:c r="B11">
        <x:v>5.4</x:v>
      </x:c>
      <x:c r="C11" t="s">
        <x:v>216</x:v>
      </x:c>
    </x:row>
    <x:row r="12">
      <x:c r="A12">
        <x:v>1013</x:v>
      </x:c>
      <x:c r="B12">
        <x:v>450</x:v>
      </x:c>
      <x:c r="C12" s="43">
        <x:v>240.48</x:v>
      </x:c>
    </x:row>
    <x:row r="13">
      <x:c r="A13">
        <x:v>1015</x:v>
      </x:c>
      <x:c r="B13">
        <x:v>4.5</x:v>
      </x:c>
      <x:c r="C13" t="s">
        <x:v>217</x:v>
      </x:c>
    </x:row>
    <x:row r="14">
      <x:c r="A14">
        <x:v>1016</x:v>
      </x:c>
      <x:c r="B14">
        <x:v>42.524999999999999</x:v>
      </x:c>
      <x:c r="C14" t="s">
        <x:v>218</x:v>
      </x:c>
    </x:row>
    <x:row r="15">
      <x:c r="A15">
        <x:v>1017</x:v>
      </x:c>
      <x:c r="B15">
        <x:v>22.5</x:v>
      </x:c>
      <x:c r="C15" t="s">
        <x:v>219</x:v>
      </x:c>
    </x:row>
    <x:row r="16">
      <x:c r="A16">
        <x:v>1022</x:v>
      </x:c>
      <x:c r="B16">
        <x:v>5.4</x:v>
      </x:c>
      <x:c r="C16" t="s">
        <x:v>216</x:v>
      </x:c>
    </x:row>
    <x:row r="17">
      <x:c r="A17" t="s">
        <x:v>200</x:v>
      </x:c>
      <x:c r="C17" t="s">
        <x:v>220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4.5"/>
  <x:cols>
    <x:col min="2" max="2" width="18.90625" style="6" customWidth="1"/>
  </x:cols>
  <x:sheetData>
    <x:row r="1">
      <x:c r="A1" t="s">
        <x:v>221</x:v>
      </x:c>
      <x:c r="B1" s="6" t="s">
        <x:v>222</x:v>
      </x:c>
    </x:row>
    <x:row r="2">
      <x:c r="A2">
        <x:v>1003</x:v>
      </x:c>
      <x:c r="B2" s="6">
        <x:v>160320</x:v>
      </x:c>
    </x:row>
    <x:row r="3">
      <x:c r="A3">
        <x:v>1004</x:v>
      </x:c>
      <x:c r="B3" s="6">
        <x:v>14134855</x:v>
      </x:c>
    </x:row>
    <x:row r="4">
      <x:c r="A4">
        <x:v>1005</x:v>
      </x:c>
      <x:c r="B4" s="6">
        <x:v>15953415</x:v>
      </x:c>
    </x:row>
    <x:row r="5">
      <x:c r="A5">
        <x:v>1006</x:v>
      </x:c>
      <x:c r="B5" s="6">
        <x:v>28110459</x:v>
      </x:c>
    </x:row>
    <x:row r="6">
      <x:c r="A6">
        <x:v>1007</x:v>
      </x:c>
      <x:c r="B6" s="6">
        <x:v>40120008</x:v>
      </x:c>
    </x:row>
    <x:row r="7">
      <x:c r="A7">
        <x:v>1008</x:v>
      </x:c>
      <x:c r="B7" s="6">
        <x:v>36153164</x:v>
      </x:c>
    </x:row>
    <x:row r="8">
      <x:c r="A8">
        <x:v>1009</x:v>
      </x:c>
      <x:c r="B8" s="6">
        <x:v>35450429</x:v>
      </x:c>
    </x:row>
    <x:row r="9">
      <x:c r="A9">
        <x:v>1010</x:v>
      </x:c>
      <x:c r="B9" s="6">
        <x:v>44248241</x:v>
      </x:c>
    </x:row>
    <x:row r="10">
      <x:c r="A10">
        <x:v>1011</x:v>
      </x:c>
      <x:c r="B10" s="6">
        <x:v>9877832</x:v>
      </x:c>
    </x:row>
    <x:row r="11">
      <x:c r="A11">
        <x:v>1012</x:v>
      </x:c>
      <x:c r="B11" s="6">
        <x:v>2885755</x:v>
      </x:c>
    </x:row>
    <x:row r="12">
      <x:c r="A12">
        <x:v>1013</x:v>
      </x:c>
      <x:c r="B12" s="6">
        <x:v>240480</x:v>
      </x:c>
    </x:row>
    <x:row r="13">
      <x:c r="A13">
        <x:v>1015</x:v>
      </x:c>
      <x:c r="B13" s="6">
        <x:v>2404796</x:v>
      </x:c>
    </x:row>
  </x:sheetData>
  <x:pageMargins left="0.7" right="0.7" top="0.75" bottom="0.75" header="0.3" footer="0.3"/>
</x:worksheet>
</file>

<file path=pivotCache/_rels/pivotCacheDefinition1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1.xml" Id="R6c917554e6314a4f" /></Relationships>
</file>

<file path=pivotCache/pivotCacheDefinition1.xml><?xml version="1.0" encoding="utf-8"?>
<x:pivotCacheDefinition xmlns:x="http://schemas.openxmlformats.org/spreadsheetml/2006/main" refreshedBy="User" refreshedDate="46241.448901157404" createdVersion="8" refreshedVersion="8" minRefreshableVersion="3" recordCount="933">
  <x:cacheSource type="worksheet">
    <x:worksheetSource ref="A1:H1048576" sheet="cabut"/>
  </x:cacheSource>
  <x:cacheFields count="8">
    <x:cacheField name="Pemilik" numFmtId="0">
      <x:sharedItems count="7">
        <x:s v="Norjanah"/>
        <x:s v="Erna"/>
        <x:s v="Eka Pebriana Putri"/>
        <x:s v="Nur Lailatul Fitria"/>
        <x:s v="Sufatmi"/>
        <x:s v="yuli sby"/>
        <x:s v="Martadah"/>
      </x:sharedItems>
    </x:cacheField>
    <x:cacheField name="Box lama" numFmtId="0">
      <x:sharedItems containsSemiMixedTypes="0" containsString="0" containsNumber="1" minValue="2229" maxValue="11471"/>
    </x:cacheField>
    <x:cacheField name="Box baru" numFmtId="0">
      <x:sharedItems containsSemiMixedTypes="0" containsString="0" containsNumber="1" minValue="11753" maxValue="12685"/>
    </x:cacheField>
    <x:cacheField name="Grade" numFmtId="0">
      <x:sharedItems/>
    </x:cacheField>
    <x:cacheField name="Pcs" numFmtId="0">
      <x:sharedItems containsSemiMixedTypes="0" containsString="0" containsNumber="1" minValue="0" maxValue="121"/>
    </x:cacheField>
    <x:cacheField name="Gr" numFmtId="0">
      <x:sharedItems containsSemiMixedTypes="0" containsString="0" containsNumber="1" minValue="75" maxValue="600"/>
    </x:cacheField>
    <x:cacheField name="Hrga satuan" numFmtId="0">
      <x:sharedItems containsSemiMixedTypes="0" containsString="0" containsNumber="1" minValue="1000" maxValue="8772.382924803"/>
    </x:cacheField>
    <x:cacheField name="Total Rp" numFmtId="0">
      <x:sharedItems containsSemiMixedTypes="0" containsString="0" containsNumber="1" minValue="250000" maxValue="4434621.21121512"/>
    </x:cacheField>
  </x:cacheFields>
  <x:extLst xmlns:x="http://schemas.openxmlformats.org/spreadsheetml/2006/main">
    <x:ext xmlns:x14="http://schemas.microsoft.com/office/spreadsheetml/2009/9/main" uri="{725AE2AE-9491-48be-B2B4-4EB974FC3084}">
      <x14:pivotCacheDefinition/>
    </x:ext>
  </x:extLst>
</x:pivotCacheDefinition>
</file>

<file path=pivotCache/pivotCacheRecords1.xml><?xml version="1.0" encoding="utf-8"?>
<x:pivotCacheRecords xmlns:x="http://schemas.openxmlformats.org/spreadsheetml/2006/main" count="934">
  <x:r>
    <x:x v="0"/>
    <x:n v="10561"/>
    <x:n v="12087"/>
    <x:s v="v"/>
    <x:n v="37"/>
    <x:n v="207"/>
    <x:n v="5691.0353520252"/>
    <x:n v="1178044.3178692164"/>
  </x:r>
  <x:r>
    <x:x v="0"/>
    <x:n v="10562"/>
    <x:n v="12088"/>
    <x:s v="v"/>
    <x:n v="41"/>
    <x:n v="240"/>
    <x:n v="5691.0353520252"/>
    <x:n v="1365848.484486048"/>
  </x:r>
  <x:r>
    <x:x v="0"/>
    <x:n v="10563"/>
    <x:n v="12089"/>
    <x:s v="v"/>
    <x:n v="40"/>
    <x:n v="240"/>
    <x:n v="5691.0353520252"/>
    <x:n v="1365848.484486048"/>
  </x:r>
  <x:r>
    <x:x v="0"/>
    <x:n v="10564"/>
    <x:n v="12090"/>
    <x:s v="v"/>
    <x:n v="41"/>
    <x:n v="240"/>
    <x:n v="5691.0353520252"/>
    <x:n v="1365848.484486048"/>
  </x:r>
  <x:r>
    <x:x v="0"/>
    <x:n v="10571"/>
    <x:n v="12091"/>
    <x:s v="pth"/>
    <x:n v="31"/>
    <x:n v="240"/>
    <x:n v="5691.0353520252"/>
    <x:n v="1365848.484486048"/>
  </x:r>
  <x:r>
    <x:x v="0"/>
    <x:n v="10574"/>
    <x:n v="12092"/>
    <x:s v="pth3/4putih"/>
    <x:n v="51"/>
    <x:n v="240"/>
    <x:n v="5691.0353520252"/>
    <x:n v="1365848.484486048"/>
  </x:r>
  <x:r>
    <x:x v="0"/>
    <x:n v="10577"/>
    <x:n v="12093"/>
    <x:s v="pth3/4putih"/>
    <x:n v="51"/>
    <x:n v="240"/>
    <x:n v="5691.0353520252"/>
    <x:n v="1365848.484486048"/>
  </x:r>
  <x:r>
    <x:x v="0"/>
    <x:n v="10578"/>
    <x:n v="12094"/>
    <x:s v="pth3/4putih"/>
    <x:n v="51"/>
    <x:n v="240"/>
    <x:n v="5691.0353520252"/>
    <x:n v="1365848.484486048"/>
  </x:r>
  <x:r>
    <x:x v="0"/>
    <x:n v="10579"/>
    <x:n v="12095"/>
    <x:s v="pth3/4putih"/>
    <x:n v="51"/>
    <x:n v="240"/>
    <x:n v="5691.0353520252"/>
    <x:n v="1365848.484486048"/>
  </x:r>
  <x:r>
    <x:x v="0"/>
    <x:n v="10580"/>
    <x:n v="12096"/>
    <x:s v="pth3/4putih"/>
    <x:n v="51"/>
    <x:n v="240"/>
    <x:n v="5691.0353520252"/>
    <x:n v="1365848.484486048"/>
  </x:r>
  <x:r>
    <x:x v="0"/>
    <x:n v="10584"/>
    <x:n v="12097"/>
    <x:s v="pth3/4putih"/>
    <x:n v="52"/>
    <x:n v="240"/>
    <x:n v="5691.0353520252"/>
    <x:n v="1365848.484486048"/>
  </x:r>
  <x:r>
    <x:x v="0"/>
    <x:n v="10585"/>
    <x:n v="12098"/>
    <x:s v="pth3/4putih"/>
    <x:n v="52"/>
    <x:n v="240"/>
    <x:n v="5691.0353520252"/>
    <x:n v="1365848.484486048"/>
  </x:r>
  <x:r>
    <x:x v="0"/>
    <x:n v="10586"/>
    <x:n v="12099"/>
    <x:s v="pth3/4putih"/>
    <x:n v="52"/>
    <x:n v="240"/>
    <x:n v="5691.0353520252"/>
    <x:n v="1365848.484486048"/>
  </x:r>
  <x:r>
    <x:x v="0"/>
    <x:n v="10587"/>
    <x:n v="12100"/>
    <x:s v="pth3/4putih"/>
    <x:n v="52"/>
    <x:n v="240"/>
    <x:n v="5691.0353520252"/>
    <x:n v="1365848.484486048"/>
  </x:r>
  <x:r>
    <x:x v="0"/>
    <x:n v="10588"/>
    <x:n v="12101"/>
    <x:s v="pth3/4putih"/>
    <x:n v="52"/>
    <x:n v="240"/>
    <x:n v="5691.0353520252"/>
    <x:n v="1365848.484486048"/>
  </x:r>
  <x:r>
    <x:x v="0"/>
    <x:n v="10589"/>
    <x:n v="12102"/>
    <x:s v="pth3/4putih"/>
    <x:n v="52"/>
    <x:n v="240"/>
    <x:n v="5691.0353520252"/>
    <x:n v="1365848.484486048"/>
  </x:r>
  <x:r>
    <x:x v="0"/>
    <x:n v="10591"/>
    <x:n v="12103"/>
    <x:s v="pth3/4putih"/>
    <x:n v="49"/>
    <x:n v="240"/>
    <x:n v="5691.0353520252"/>
    <x:n v="1365848.484486048"/>
  </x:r>
  <x:r>
    <x:x v="0"/>
    <x:n v="10594"/>
    <x:n v="12104"/>
    <x:s v="pth3/4putih"/>
    <x:n v="49"/>
    <x:n v="240"/>
    <x:n v="5691.0353520252"/>
    <x:n v="1365848.484486048"/>
  </x:r>
  <x:r>
    <x:x v="0"/>
    <x:n v="10595"/>
    <x:n v="12105"/>
    <x:s v="pth3/4putih"/>
    <x:n v="49"/>
    <x:n v="240"/>
    <x:n v="5691.0353520252"/>
    <x:n v="1365848.484486048"/>
  </x:r>
  <x:r>
    <x:x v="0"/>
    <x:n v="10596"/>
    <x:n v="12106"/>
    <x:s v="pth3/4putih"/>
    <x:n v="49"/>
    <x:n v="240"/>
    <x:n v="5691.0353520252"/>
    <x:n v="1365848.484486048"/>
  </x:r>
  <x:r>
    <x:x v="0"/>
    <x:n v="10597"/>
    <x:n v="12107"/>
    <x:s v="pth3/4putih"/>
    <x:n v="48"/>
    <x:n v="240"/>
    <x:n v="5691.0353520252"/>
    <x:n v="1365848.484486048"/>
  </x:r>
  <x:r>
    <x:x v="0"/>
    <x:n v="10598"/>
    <x:n v="12108"/>
    <x:s v="pth3/4putih"/>
    <x:n v="52"/>
    <x:n v="240"/>
    <x:n v="5691.0353520252"/>
    <x:n v="1365848.484486048"/>
  </x:r>
  <x:r>
    <x:x v="0"/>
    <x:n v="10599"/>
    <x:n v="12109"/>
    <x:s v="pth3/4putih"/>
    <x:n v="51"/>
    <x:n v="240"/>
    <x:n v="5691.0353520252"/>
    <x:n v="1365848.484486048"/>
  </x:r>
  <x:r>
    <x:x v="0"/>
    <x:n v="10600"/>
    <x:n v="12110"/>
    <x:s v="pth3/4putih"/>
    <x:n v="51"/>
    <x:n v="240"/>
    <x:n v="5691.0353520252"/>
    <x:n v="1365848.484486048"/>
  </x:r>
  <x:r>
    <x:x v="0"/>
    <x:n v="10601"/>
    <x:n v="12111"/>
    <x:s v="pth3/4putih"/>
    <x:n v="51"/>
    <x:n v="240"/>
    <x:n v="5691.0353520252"/>
    <x:n v="1365848.484486048"/>
  </x:r>
  <x:r>
    <x:x v="0"/>
    <x:n v="10602"/>
    <x:n v="12112"/>
    <x:s v="pth3/4putih"/>
    <x:n v="51"/>
    <x:n v="240"/>
    <x:n v="5691.0353520252"/>
    <x:n v="1365848.484486048"/>
  </x:r>
  <x:r>
    <x:x v="0"/>
    <x:n v="10604"/>
    <x:n v="12113"/>
    <x:s v="pth3/4putih"/>
    <x:n v="49"/>
    <x:n v="240"/>
    <x:n v="5691.0353520252"/>
    <x:n v="1365848.484486048"/>
  </x:r>
  <x:r>
    <x:x v="0"/>
    <x:n v="10605"/>
    <x:n v="12114"/>
    <x:s v="pth3/4putih"/>
    <x:n v="49"/>
    <x:n v="240"/>
    <x:n v="5691.0353520252"/>
    <x:n v="1365848.484486048"/>
  </x:r>
  <x:r>
    <x:x v="0"/>
    <x:n v="10623"/>
    <x:n v="12115"/>
    <x:s v="dovalbelangsamar"/>
    <x:n v="37"/>
    <x:n v="240"/>
    <x:n v="5691.0353520252"/>
    <x:n v="1365848.484486048"/>
  </x:r>
  <x:r>
    <x:x v="0"/>
    <x:n v="10942"/>
    <x:n v="12116"/>
    <x:s v="hcr"/>
    <x:n v="0"/>
    <x:n v="250"/>
    <x:n v="6274.3294100822"/>
    <x:n v="1568582.3525205501"/>
  </x:r>
  <x:r>
    <x:x v="0"/>
    <x:n v="10943"/>
    <x:n v="12117"/>
    <x:s v="hcr"/>
    <x:n v="0"/>
    <x:n v="250"/>
    <x:n v="6274.3294100822"/>
    <x:n v="1568582.3525205501"/>
  </x:r>
  <x:r>
    <x:x v="0"/>
    <x:n v="11144"/>
    <x:n v="12118"/>
    <x:s v="dsuper"/>
    <x:n v="23"/>
    <x:n v="150"/>
    <x:n v="6274.3294100822"/>
    <x:n v="941149.41151233"/>
  </x:r>
  <x:r>
    <x:x v="0"/>
    <x:n v="11145"/>
    <x:n v="12119"/>
    <x:s v="dsuper"/>
    <x:n v="23"/>
    <x:n v="150"/>
    <x:n v="6274.3294100822"/>
    <x:n v="941149.41151233"/>
  </x:r>
  <x:r>
    <x:x v="0"/>
    <x:n v="11146"/>
    <x:n v="12120"/>
    <x:s v="dsuper"/>
    <x:n v="23"/>
    <x:n v="150"/>
    <x:n v="6274.3294100822"/>
    <x:n v="941149.41151233"/>
  </x:r>
  <x:r>
    <x:x v="0"/>
    <x:n v="11147"/>
    <x:n v="12121"/>
    <x:s v="dsuper"/>
    <x:n v="23"/>
    <x:n v="150"/>
    <x:n v="6274.3294100822"/>
    <x:n v="941149.41151233"/>
  </x:r>
  <x:r>
    <x:x v="0"/>
    <x:n v="11148"/>
    <x:n v="12122"/>
    <x:s v="dsuper"/>
    <x:n v="23"/>
    <x:n v="150"/>
    <x:n v="6274.3294100822"/>
    <x:n v="941149.41151233"/>
  </x:r>
  <x:r>
    <x:x v="0"/>
    <x:n v="11149"/>
    <x:n v="12123"/>
    <x:s v="dsuper"/>
    <x:n v="22"/>
    <x:n v="150"/>
    <x:n v="6274.3294100822"/>
    <x:n v="941149.41151233"/>
  </x:r>
  <x:r>
    <x:x v="0"/>
    <x:n v="11150"/>
    <x:n v="12124"/>
    <x:s v="dbesar"/>
    <x:n v="39"/>
    <x:n v="240"/>
    <x:n v="6274.3294100822"/>
    <x:n v="1505839.0584197282"/>
  </x:r>
  <x:r>
    <x:x v="0"/>
    <x:n v="11151"/>
    <x:n v="12125"/>
    <x:s v="dbesar"/>
    <x:n v="38"/>
    <x:n v="240"/>
    <x:n v="6274.3294100822"/>
    <x:n v="1505839.0584197282"/>
  </x:r>
  <x:r>
    <x:x v="0"/>
    <x:n v="11152"/>
    <x:n v="12126"/>
    <x:s v="dbesar"/>
    <x:n v="38"/>
    <x:n v="240"/>
    <x:n v="6274.3294100822"/>
    <x:n v="1505839.0584197282"/>
  </x:r>
  <x:r>
    <x:x v="0"/>
    <x:n v="11153"/>
    <x:n v="12127"/>
    <x:s v="dbesar"/>
    <x:n v="37"/>
    <x:n v="240"/>
    <x:n v="6274.3294100822"/>
    <x:n v="1505839.0584197282"/>
  </x:r>
  <x:r>
    <x:x v="0"/>
    <x:n v="11154"/>
    <x:n v="12128"/>
    <x:s v="dbesar"/>
    <x:n v="36"/>
    <x:n v="240"/>
    <x:n v="6274.3294100822"/>
    <x:n v="1505839.0584197282"/>
  </x:r>
  <x:r>
    <x:x v="0"/>
    <x:n v="11155"/>
    <x:n v="12129"/>
    <x:s v="dbesar"/>
    <x:n v="38"/>
    <x:n v="240"/>
    <x:n v="6274.3294100822"/>
    <x:n v="1505839.0584197282"/>
  </x:r>
  <x:r>
    <x:x v="0"/>
    <x:n v="11156"/>
    <x:n v="12130"/>
    <x:s v="dbesar"/>
    <x:n v="38"/>
    <x:n v="240"/>
    <x:n v="6274.3294100822"/>
    <x:n v="1505839.0584197282"/>
  </x:r>
  <x:r>
    <x:x v="0"/>
    <x:n v="11157"/>
    <x:n v="12131"/>
    <x:s v="dbesar"/>
    <x:n v="37"/>
    <x:n v="240"/>
    <x:n v="6274.3294100822"/>
    <x:n v="1505839.0584197282"/>
  </x:r>
  <x:r>
    <x:x v="0"/>
    <x:n v="11158"/>
    <x:n v="12132"/>
    <x:s v="dbesar"/>
    <x:n v="35"/>
    <x:n v="240"/>
    <x:n v="6274.3294100822"/>
    <x:n v="1505839.0584197282"/>
  </x:r>
  <x:r>
    <x:x v="0"/>
    <x:n v="11159"/>
    <x:n v="12133"/>
    <x:s v="dbesar"/>
    <x:n v="36"/>
    <x:n v="240"/>
    <x:n v="6274.3294100822"/>
    <x:n v="1505839.0584197282"/>
  </x:r>
  <x:r>
    <x:x v="0"/>
    <x:n v="11160"/>
    <x:n v="12134"/>
    <x:s v="dbesar"/>
    <x:n v="36"/>
    <x:n v="240"/>
    <x:n v="6274.3294100822"/>
    <x:n v="1505839.0584197282"/>
  </x:r>
  <x:r>
    <x:x v="0"/>
    <x:n v="11161"/>
    <x:n v="12135"/>
    <x:s v="dbesar"/>
    <x:n v="39"/>
    <x:n v="240"/>
    <x:n v="6274.3294100822"/>
    <x:n v="1505839.0584197282"/>
  </x:r>
  <x:r>
    <x:x v="0"/>
    <x:n v="11162"/>
    <x:n v="12136"/>
    <x:s v="dbesar"/>
    <x:n v="37"/>
    <x:n v="240"/>
    <x:n v="6274.3294100822"/>
    <x:n v="1505839.0584197282"/>
  </x:r>
  <x:r>
    <x:x v="0"/>
    <x:n v="11163"/>
    <x:n v="12137"/>
    <x:s v="dbesar"/>
    <x:n v="37"/>
    <x:n v="240"/>
    <x:n v="6274.3294100822"/>
    <x:n v="1505839.0584197282"/>
  </x:r>
  <x:r>
    <x:x v="0"/>
    <x:n v="11164"/>
    <x:n v="12138"/>
    <x:s v="dbesar"/>
    <x:n v="38"/>
    <x:n v="240"/>
    <x:n v="6274.3294100822"/>
    <x:n v="1505839.0584197282"/>
  </x:r>
  <x:r>
    <x:x v="0"/>
    <x:n v="11165"/>
    <x:n v="12139"/>
    <x:s v="dbesar"/>
    <x:n v="36"/>
    <x:n v="240"/>
    <x:n v="6274.3294100822"/>
    <x:n v="1505839.0584197282"/>
  </x:r>
  <x:r>
    <x:x v="0"/>
    <x:n v="11166"/>
    <x:n v="12140"/>
    <x:s v="dbesar"/>
    <x:n v="39"/>
    <x:n v="240"/>
    <x:n v="6274.3294100822"/>
    <x:n v="1505839.0584197282"/>
  </x:r>
  <x:r>
    <x:x v="0"/>
    <x:n v="11167"/>
    <x:n v="12141"/>
    <x:s v="dbesar"/>
    <x:n v="39"/>
    <x:n v="240"/>
    <x:n v="6274.3294100822"/>
    <x:n v="1505839.0584197282"/>
  </x:r>
  <x:r>
    <x:x v="0"/>
    <x:n v="11168"/>
    <x:n v="12142"/>
    <x:s v="dbesar"/>
    <x:n v="37"/>
    <x:n v="240"/>
    <x:n v="6274.3294100822"/>
    <x:n v="1505839.0584197282"/>
  </x:r>
  <x:r>
    <x:x v="0"/>
    <x:n v="11169"/>
    <x:n v="12143"/>
    <x:s v="dbesar"/>
    <x:n v="37"/>
    <x:n v="240"/>
    <x:n v="6274.3294100822"/>
    <x:n v="1505839.0584197282"/>
  </x:r>
  <x:r>
    <x:x v="0"/>
    <x:n v="11170"/>
    <x:n v="12144"/>
    <x:s v="dbesar"/>
    <x:n v="38"/>
    <x:n v="240"/>
    <x:n v="6274.3294100822"/>
    <x:n v="1505839.0584197282"/>
  </x:r>
  <x:r>
    <x:x v="0"/>
    <x:n v="11171"/>
    <x:n v="12145"/>
    <x:s v="dbesar"/>
    <x:n v="38"/>
    <x:n v="240"/>
    <x:n v="6274.3294100822"/>
    <x:n v="1505839.0584197282"/>
  </x:r>
  <x:r>
    <x:x v="0"/>
    <x:n v="11172"/>
    <x:n v="12146"/>
    <x:s v="dbesar"/>
    <x:n v="35"/>
    <x:n v="240"/>
    <x:n v="6274.3294100822"/>
    <x:n v="1505839.0584197282"/>
  </x:r>
  <x:r>
    <x:x v="0"/>
    <x:n v="11173"/>
    <x:n v="12147"/>
    <x:s v="dbesar"/>
    <x:n v="37"/>
    <x:n v="240"/>
    <x:n v="6274.3294100822"/>
    <x:n v="1505839.0584197282"/>
  </x:r>
  <x:r>
    <x:x v="0"/>
    <x:n v="11174"/>
    <x:n v="12148"/>
    <x:s v="dbesar"/>
    <x:n v="37"/>
    <x:n v="240"/>
    <x:n v="6274.3294100822"/>
    <x:n v="1505839.0584197282"/>
  </x:r>
  <x:r>
    <x:x v="0"/>
    <x:n v="11175"/>
    <x:n v="12149"/>
    <x:s v="dbesar"/>
    <x:n v="36"/>
    <x:n v="240"/>
    <x:n v="6274.3294100822"/>
    <x:n v="1505839.0584197282"/>
  </x:r>
  <x:r>
    <x:x v="0"/>
    <x:n v="11176"/>
    <x:n v="12150"/>
    <x:s v="dbesar"/>
    <x:n v="37"/>
    <x:n v="240"/>
    <x:n v="6274.3294100822"/>
    <x:n v="1505839.0584197282"/>
  </x:r>
  <x:r>
    <x:x v="0"/>
    <x:n v="11177"/>
    <x:n v="12151"/>
    <x:s v="dbesar"/>
    <x:n v="37"/>
    <x:n v="240"/>
    <x:n v="6274.3294100822"/>
    <x:n v="1505839.0584197282"/>
  </x:r>
  <x:r>
    <x:x v="0"/>
    <x:n v="11178"/>
    <x:n v="12152"/>
    <x:s v="dbesar"/>
    <x:n v="36"/>
    <x:n v="240"/>
    <x:n v="6274.3294100822"/>
    <x:n v="1505839.0584197282"/>
  </x:r>
  <x:r>
    <x:x v="0"/>
    <x:n v="11179"/>
    <x:n v="12153"/>
    <x:s v="dbesar"/>
    <x:n v="36"/>
    <x:n v="240"/>
    <x:n v="6274.3294100822"/>
    <x:n v="1505839.0584197282"/>
  </x:r>
  <x:r>
    <x:x v="0"/>
    <x:n v="11180"/>
    <x:n v="12154"/>
    <x:s v="dbesar"/>
    <x:n v="39"/>
    <x:n v="240"/>
    <x:n v="6274.3294100822"/>
    <x:n v="1505839.0584197282"/>
  </x:r>
  <x:r>
    <x:x v="0"/>
    <x:n v="11181"/>
    <x:n v="12155"/>
    <x:s v="dbesar"/>
    <x:n v="36"/>
    <x:n v="240"/>
    <x:n v="6274.3294100822"/>
    <x:n v="1505839.0584197282"/>
  </x:r>
  <x:r>
    <x:x v="0"/>
    <x:n v="11182"/>
    <x:n v="12156"/>
    <x:s v="dbesar"/>
    <x:n v="37"/>
    <x:n v="240"/>
    <x:n v="6274.3294100822"/>
    <x:n v="1505839.0584197282"/>
  </x:r>
  <x:r>
    <x:x v="0"/>
    <x:n v="11183"/>
    <x:n v="12157"/>
    <x:s v="dbesar"/>
    <x:n v="37"/>
    <x:n v="240"/>
    <x:n v="6274.3294100822"/>
    <x:n v="1505839.0584197282"/>
  </x:r>
  <x:r>
    <x:x v="0"/>
    <x:n v="11184"/>
    <x:n v="12158"/>
    <x:s v="dbesar"/>
    <x:n v="38"/>
    <x:n v="240"/>
    <x:n v="6274.3294100822"/>
    <x:n v="1505839.0584197282"/>
  </x:r>
  <x:r>
    <x:x v="0"/>
    <x:n v="11185"/>
    <x:n v="12159"/>
    <x:s v="dbesar"/>
    <x:n v="40"/>
    <x:n v="240"/>
    <x:n v="6274.3294100822"/>
    <x:n v="1505839.0584197282"/>
  </x:r>
  <x:r>
    <x:x v="0"/>
    <x:n v="11186"/>
    <x:n v="12160"/>
    <x:s v="dbesar"/>
    <x:n v="39"/>
    <x:n v="240"/>
    <x:n v="6274.3294100822"/>
    <x:n v="1505839.0584197282"/>
  </x:r>
  <x:r>
    <x:x v="0"/>
    <x:n v="11187"/>
    <x:n v="12161"/>
    <x:s v="dbesar"/>
    <x:n v="35"/>
    <x:n v="240"/>
    <x:n v="6274.3294100822"/>
    <x:n v="1505839.0584197282"/>
  </x:r>
  <x:r>
    <x:x v="0"/>
    <x:n v="11188"/>
    <x:n v="12162"/>
    <x:s v="dbesar"/>
    <x:n v="38"/>
    <x:n v="240"/>
    <x:n v="6274.3294100822"/>
    <x:n v="1505839.0584197282"/>
  </x:r>
  <x:r>
    <x:x v="0"/>
    <x:n v="11189"/>
    <x:n v="12163"/>
    <x:s v="dbesar"/>
    <x:n v="37"/>
    <x:n v="240"/>
    <x:n v="6274.3294100822"/>
    <x:n v="1505839.0584197282"/>
  </x:r>
  <x:r>
    <x:x v="0"/>
    <x:n v="11190"/>
    <x:n v="12164"/>
    <x:s v="dbesar"/>
    <x:n v="37"/>
    <x:n v="240"/>
    <x:n v="6274.3294100822"/>
    <x:n v="1505839.0584197282"/>
  </x:r>
  <x:r>
    <x:x v="0"/>
    <x:n v="11191"/>
    <x:n v="12165"/>
    <x:s v="dbesar"/>
    <x:n v="37"/>
    <x:n v="240"/>
    <x:n v="6274.3294100822"/>
    <x:n v="1505839.0584197282"/>
  </x:r>
  <x:r>
    <x:x v="0"/>
    <x:n v="11192"/>
    <x:n v="12166"/>
    <x:s v="dbesar"/>
    <x:n v="36"/>
    <x:n v="240"/>
    <x:n v="6274.3294100822"/>
    <x:n v="1505839.0584197282"/>
  </x:r>
  <x:r>
    <x:x v="0"/>
    <x:n v="11193"/>
    <x:n v="12167"/>
    <x:s v="dbesar"/>
    <x:n v="38"/>
    <x:n v="240"/>
    <x:n v="6274.3294100822"/>
    <x:n v="1505839.0584197282"/>
  </x:r>
  <x:r>
    <x:x v="0"/>
    <x:n v="11194"/>
    <x:n v="12168"/>
    <x:s v="dbesar"/>
    <x:n v="36"/>
    <x:n v="240"/>
    <x:n v="6274.3294100822"/>
    <x:n v="1505839.0584197282"/>
  </x:r>
  <x:r>
    <x:x v="0"/>
    <x:n v="11195"/>
    <x:n v="12169"/>
    <x:s v="dbesar"/>
    <x:n v="35"/>
    <x:n v="240"/>
    <x:n v="6274.3294100822"/>
    <x:n v="1505839.0584197282"/>
  </x:r>
  <x:r>
    <x:x v="0"/>
    <x:n v="11196"/>
    <x:n v="12170"/>
    <x:s v="dbesar"/>
    <x:n v="38"/>
    <x:n v="240"/>
    <x:n v="6274.3294100822"/>
    <x:n v="1505839.0584197282"/>
  </x:r>
  <x:r>
    <x:x v="0"/>
    <x:n v="11197"/>
    <x:n v="12171"/>
    <x:s v="dbesar"/>
    <x:n v="37"/>
    <x:n v="240"/>
    <x:n v="6274.3294100822"/>
    <x:n v="1505839.0584197282"/>
  </x:r>
  <x:r>
    <x:x v="0"/>
    <x:n v="11198"/>
    <x:n v="12172"/>
    <x:s v="pth34"/>
    <x:n v="45"/>
    <x:n v="240"/>
    <x:n v="6274.3294100822"/>
    <x:n v="1505839.0584197282"/>
  </x:r>
  <x:r>
    <x:x v="0"/>
    <x:n v="11199"/>
    <x:n v="12173"/>
    <x:s v="pth34"/>
    <x:n v="45"/>
    <x:n v="240"/>
    <x:n v="6274.3294100822"/>
    <x:n v="1505839.0584197282"/>
  </x:r>
  <x:r>
    <x:x v="0"/>
    <x:n v="11200"/>
    <x:n v="12174"/>
    <x:s v="pth34"/>
    <x:n v="45"/>
    <x:n v="240"/>
    <x:n v="6274.3294100822"/>
    <x:n v="1505839.0584197282"/>
  </x:r>
  <x:r>
    <x:x v="0"/>
    <x:n v="11201"/>
    <x:n v="12175"/>
    <x:s v="pth34"/>
    <x:n v="45"/>
    <x:n v="240"/>
    <x:n v="6274.3294100822"/>
    <x:n v="1505839.0584197282"/>
  </x:r>
  <x:r>
    <x:x v="0"/>
    <x:n v="11202"/>
    <x:n v="12176"/>
    <x:s v="pth34"/>
    <x:n v="45"/>
    <x:n v="240"/>
    <x:n v="6274.3294100822"/>
    <x:n v="1505839.0584197282"/>
  </x:r>
  <x:r>
    <x:x v="0"/>
    <x:n v="11203"/>
    <x:n v="12177"/>
    <x:s v="pth34"/>
    <x:n v="45"/>
    <x:n v="240"/>
    <x:n v="6274.3294100822"/>
    <x:n v="1505839.0584197282"/>
  </x:r>
  <x:r>
    <x:x v="0"/>
    <x:n v="11204"/>
    <x:n v="12178"/>
    <x:s v="pth34"/>
    <x:n v="44"/>
    <x:n v="240"/>
    <x:n v="6274.3294100822"/>
    <x:n v="1505839.0584197282"/>
  </x:r>
  <x:r>
    <x:x v="0"/>
    <x:n v="11205"/>
    <x:n v="12179"/>
    <x:s v="pth34"/>
    <x:n v="47"/>
    <x:n v="240"/>
    <x:n v="6274.3294100822"/>
    <x:n v="1505839.0584197282"/>
  </x:r>
  <x:r>
    <x:x v="0"/>
    <x:n v="11206"/>
    <x:n v="12180"/>
    <x:s v="pth34"/>
    <x:n v="47"/>
    <x:n v="240"/>
    <x:n v="6274.3294100822"/>
    <x:n v="1505839.0584197282"/>
  </x:r>
  <x:r>
    <x:x v="0"/>
    <x:n v="11207"/>
    <x:n v="12181"/>
    <x:s v="pth34"/>
    <x:n v="47"/>
    <x:n v="240"/>
    <x:n v="6274.3294100822"/>
    <x:n v="1505839.0584197282"/>
  </x:r>
  <x:r>
    <x:x v="0"/>
    <x:n v="11208"/>
    <x:n v="12182"/>
    <x:s v="pth34"/>
    <x:n v="45"/>
    <x:n v="240"/>
    <x:n v="6274.3294100822"/>
    <x:n v="1505839.0584197282"/>
  </x:r>
  <x:r>
    <x:x v="0"/>
    <x:n v="11209"/>
    <x:n v="12183"/>
    <x:s v="pth34"/>
    <x:n v="45"/>
    <x:n v="240"/>
    <x:n v="6274.3294100822"/>
    <x:n v="1505839.0584197282"/>
  </x:r>
  <x:r>
    <x:x v="0"/>
    <x:n v="11210"/>
    <x:n v="12184"/>
    <x:s v="pth34"/>
    <x:n v="48"/>
    <x:n v="240"/>
    <x:n v="6274.3294100822"/>
    <x:n v="1505839.0584197282"/>
  </x:r>
  <x:r>
    <x:x v="0"/>
    <x:n v="11211"/>
    <x:n v="12185"/>
    <x:s v="pth34"/>
    <x:n v="50"/>
    <x:n v="240"/>
    <x:n v="6274.3294100822"/>
    <x:n v="1505839.0584197282"/>
  </x:r>
  <x:r>
    <x:x v="0"/>
    <x:n v="11212"/>
    <x:n v="12186"/>
    <x:s v="pth34"/>
    <x:n v="50"/>
    <x:n v="240"/>
    <x:n v="6274.3294100822"/>
    <x:n v="1505839.0584197282"/>
  </x:r>
  <x:r>
    <x:x v="0"/>
    <x:n v="11213"/>
    <x:n v="12187"/>
    <x:s v="pth34"/>
    <x:n v="46"/>
    <x:n v="240"/>
    <x:n v="6274.3294100822"/>
    <x:n v="1505839.0584197282"/>
  </x:r>
  <x:r>
    <x:x v="0"/>
    <x:n v="11214"/>
    <x:n v="12188"/>
    <x:s v="pth34"/>
    <x:n v="50"/>
    <x:n v="240"/>
    <x:n v="6274.3294100822"/>
    <x:n v="1505839.0584197282"/>
  </x:r>
  <x:r>
    <x:x v="0"/>
    <x:n v="11215"/>
    <x:n v="12189"/>
    <x:s v="pth34"/>
    <x:n v="43"/>
    <x:n v="240"/>
    <x:n v="6274.3294100822"/>
    <x:n v="1505839.0584197282"/>
  </x:r>
  <x:r>
    <x:x v="0"/>
    <x:n v="11216"/>
    <x:n v="12190"/>
    <x:s v="pth34"/>
    <x:n v="50"/>
    <x:n v="240"/>
    <x:n v="6274.3294100822"/>
    <x:n v="1505839.0584197282"/>
  </x:r>
  <x:r>
    <x:x v="0"/>
    <x:n v="11217"/>
    <x:n v="12191"/>
    <x:s v="pth34"/>
    <x:n v="50"/>
    <x:n v="240"/>
    <x:n v="6274.3294100822"/>
    <x:n v="1505839.0584197282"/>
  </x:r>
  <x:r>
    <x:x v="0"/>
    <x:n v="11218"/>
    <x:n v="12192"/>
    <x:s v="pth34"/>
    <x:n v="50"/>
    <x:n v="240"/>
    <x:n v="6274.3294100822"/>
    <x:n v="1505839.0584197282"/>
  </x:r>
  <x:r>
    <x:x v="0"/>
    <x:n v="11219"/>
    <x:n v="12193"/>
    <x:s v="pth34"/>
    <x:n v="50"/>
    <x:n v="240"/>
    <x:n v="6274.3294100822"/>
    <x:n v="1505839.0584197282"/>
  </x:r>
  <x:r>
    <x:x v="0"/>
    <x:n v="11220"/>
    <x:n v="12194"/>
    <x:s v="pth34"/>
    <x:n v="50"/>
    <x:n v="240"/>
    <x:n v="6274.3294100822"/>
    <x:n v="1505839.0584197282"/>
  </x:r>
  <x:r>
    <x:x v="0"/>
    <x:n v="11221"/>
    <x:n v="12195"/>
    <x:s v="pth34"/>
    <x:n v="50"/>
    <x:n v="240"/>
    <x:n v="6274.3294100822"/>
    <x:n v="1505839.0584197282"/>
  </x:r>
  <x:r>
    <x:x v="0"/>
    <x:n v="11222"/>
    <x:n v="12196"/>
    <x:s v="pth34"/>
    <x:n v="48"/>
    <x:n v="240"/>
    <x:n v="6274.3294100822"/>
    <x:n v="1505839.0584197282"/>
  </x:r>
  <x:r>
    <x:x v="0"/>
    <x:n v="11223"/>
    <x:n v="12197"/>
    <x:s v="pth34"/>
    <x:n v="43"/>
    <x:n v="240"/>
    <x:n v="6274.3294100822"/>
    <x:n v="1505839.0584197282"/>
  </x:r>
  <x:r>
    <x:x v="0"/>
    <x:n v="11224"/>
    <x:n v="12198"/>
    <x:s v="pthtg"/>
    <x:n v="0"/>
    <x:n v="240"/>
    <x:n v="6274.3294100822"/>
    <x:n v="1505839.0584197282"/>
  </x:r>
  <x:r>
    <x:x v="0"/>
    <x:n v="11436"/>
    <x:n v="12199"/>
    <x:s v="dbesar"/>
    <x:n v="36"/>
    <x:n v="240"/>
    <x:n v="6274.3294100822"/>
    <x:n v="1505839.0584197282"/>
  </x:r>
  <x:r>
    <x:x v="0"/>
    <x:n v="11437"/>
    <x:n v="12200"/>
    <x:s v="dbesar"/>
    <x:n v="36"/>
    <x:n v="240"/>
    <x:n v="6274.3294100822"/>
    <x:n v="1505839.0584197282"/>
  </x:r>
  <x:r>
    <x:x v="0"/>
    <x:n v="11438"/>
    <x:n v="12201"/>
    <x:s v="dbesar"/>
    <x:n v="36"/>
    <x:n v="240"/>
    <x:n v="6274.3294100822"/>
    <x:n v="1505839.0584197282"/>
  </x:r>
  <x:r>
    <x:x v="0"/>
    <x:n v="11439"/>
    <x:n v="12202"/>
    <x:s v="dbesar"/>
    <x:n v="40"/>
    <x:n v="240"/>
    <x:n v="6274.3294100822"/>
    <x:n v="1505839.0584197282"/>
  </x:r>
  <x:r>
    <x:x v="0"/>
    <x:n v="11440"/>
    <x:n v="12203"/>
    <x:s v="dbesar"/>
    <x:n v="39"/>
    <x:n v="240"/>
    <x:n v="6274.3294100822"/>
    <x:n v="1505839.0584197282"/>
  </x:r>
  <x:r>
    <x:x v="0"/>
    <x:n v="11441"/>
    <x:n v="12204"/>
    <x:s v="dbesar"/>
    <x:n v="37"/>
    <x:n v="240"/>
    <x:n v="6274.3294100822"/>
    <x:n v="1505839.0584197282"/>
  </x:r>
  <x:r>
    <x:x v="0"/>
    <x:n v="11442"/>
    <x:n v="12205"/>
    <x:s v="dbesar"/>
    <x:n v="36"/>
    <x:n v="240"/>
    <x:n v="6274.3294100822"/>
    <x:n v="1505839.0584197282"/>
  </x:r>
  <x:r>
    <x:x v="0"/>
    <x:n v="11443"/>
    <x:n v="12206"/>
    <x:s v="dbesar"/>
    <x:n v="40"/>
    <x:n v="240"/>
    <x:n v="6274.3294100822"/>
    <x:n v="1505839.0584197282"/>
  </x:r>
  <x:r>
    <x:x v="0"/>
    <x:n v="11444"/>
    <x:n v="12207"/>
    <x:s v="dbesar"/>
    <x:n v="40"/>
    <x:n v="240"/>
    <x:n v="6274.3294100822"/>
    <x:n v="1505839.0584197282"/>
  </x:r>
  <x:r>
    <x:x v="0"/>
    <x:n v="11445"/>
    <x:n v="12208"/>
    <x:s v="dbesar"/>
    <x:n v="35"/>
    <x:n v="240"/>
    <x:n v="6274.3294100822"/>
    <x:n v="1505839.0584197282"/>
  </x:r>
  <x:r>
    <x:x v="0"/>
    <x:n v="11446"/>
    <x:n v="12209"/>
    <x:s v="dbesar"/>
    <x:n v="31"/>
    <x:n v="240"/>
    <x:n v="6274.3294100822"/>
    <x:n v="1505839.0584197282"/>
  </x:r>
  <x:r>
    <x:x v="0"/>
    <x:n v="11447"/>
    <x:n v="12210"/>
    <x:s v="dbesar"/>
    <x:n v="36"/>
    <x:n v="240"/>
    <x:n v="6274.3294100822"/>
    <x:n v="1505839.0584197282"/>
  </x:r>
  <x:r>
    <x:x v="0"/>
    <x:n v="11448"/>
    <x:n v="12211"/>
    <x:s v="dbesar"/>
    <x:n v="38"/>
    <x:n v="240"/>
    <x:n v="6274.3294100822"/>
    <x:n v="1505839.0584197282"/>
  </x:r>
  <x:r>
    <x:x v="0"/>
    <x:n v="11449"/>
    <x:n v="12212"/>
    <x:s v="dbesar"/>
    <x:n v="40"/>
    <x:n v="240"/>
    <x:n v="6274.3294100822"/>
    <x:n v="1505839.0584197282"/>
  </x:r>
  <x:r>
    <x:x v="0"/>
    <x:n v="11450"/>
    <x:n v="12213"/>
    <x:s v="dbesar"/>
    <x:n v="39"/>
    <x:n v="240"/>
    <x:n v="6274.3294100822"/>
    <x:n v="1505839.0584197282"/>
  </x:r>
  <x:r>
    <x:x v="0"/>
    <x:n v="11451"/>
    <x:n v="12214"/>
    <x:s v="dbesar"/>
    <x:n v="35"/>
    <x:n v="240"/>
    <x:n v="6274.3294100822"/>
    <x:n v="1505839.0584197282"/>
  </x:r>
  <x:r>
    <x:x v="0"/>
    <x:n v="11452"/>
    <x:n v="12215"/>
    <x:s v="dbesar"/>
    <x:n v="35"/>
    <x:n v="240"/>
    <x:n v="6274.3294100822"/>
    <x:n v="1505839.0584197282"/>
  </x:r>
  <x:r>
    <x:x v="0"/>
    <x:n v="11453"/>
    <x:n v="12216"/>
    <x:s v="dbesar"/>
    <x:n v="34"/>
    <x:n v="240"/>
    <x:n v="6274.3294100822"/>
    <x:n v="1505839.0584197282"/>
  </x:r>
  <x:r>
    <x:x v="0"/>
    <x:n v="11454"/>
    <x:n v="12217"/>
    <x:s v="dbesar"/>
    <x:n v="35"/>
    <x:n v="240"/>
    <x:n v="6274.3294100822"/>
    <x:n v="1505839.0584197282"/>
  </x:r>
  <x:r>
    <x:x v="0"/>
    <x:n v="11455"/>
    <x:n v="12218"/>
    <x:s v="dbesar"/>
    <x:n v="36"/>
    <x:n v="240"/>
    <x:n v="6274.3294100822"/>
    <x:n v="1505839.0584197282"/>
  </x:r>
  <x:r>
    <x:x v="0"/>
    <x:n v="11456"/>
    <x:n v="12219"/>
    <x:s v="dbesar"/>
    <x:n v="33"/>
    <x:n v="240"/>
    <x:n v="6274.3294100822"/>
    <x:n v="1505839.0584197282"/>
  </x:r>
  <x:r>
    <x:x v="0"/>
    <x:n v="11457"/>
    <x:n v="12220"/>
    <x:s v="dbesar"/>
    <x:n v="36"/>
    <x:n v="240"/>
    <x:n v="6274.3294100822"/>
    <x:n v="1505839.0584197282"/>
  </x:r>
  <x:r>
    <x:x v="0"/>
    <x:n v="11458"/>
    <x:n v="12221"/>
    <x:s v="dbesar"/>
    <x:n v="38"/>
    <x:n v="240"/>
    <x:n v="6274.3294100822"/>
    <x:n v="1505839.0584197282"/>
  </x:r>
  <x:r>
    <x:x v="0"/>
    <x:n v="11459"/>
    <x:n v="12222"/>
    <x:s v="dbesar"/>
    <x:n v="36"/>
    <x:n v="240"/>
    <x:n v="6274.3294100822"/>
    <x:n v="1505839.0584197282"/>
  </x:r>
  <x:r>
    <x:x v="0"/>
    <x:n v="11460"/>
    <x:n v="12223"/>
    <x:s v="dbesar"/>
    <x:n v="38"/>
    <x:n v="240"/>
    <x:n v="6274.3294100822"/>
    <x:n v="1505839.0584197282"/>
  </x:r>
  <x:r>
    <x:x v="0"/>
    <x:n v="11461"/>
    <x:n v="12224"/>
    <x:s v="dbesar"/>
    <x:n v="38"/>
    <x:n v="240"/>
    <x:n v="6274.3294100822"/>
    <x:n v="1505839.0584197282"/>
  </x:r>
  <x:r>
    <x:x v="0"/>
    <x:n v="11462"/>
    <x:n v="12225"/>
    <x:s v="dbesar"/>
    <x:n v="36"/>
    <x:n v="240"/>
    <x:n v="6274.3294100822"/>
    <x:n v="1505839.0584197282"/>
  </x:r>
  <x:r>
    <x:x v="0"/>
    <x:n v="11463"/>
    <x:n v="12226"/>
    <x:s v="dbesar"/>
    <x:n v="39"/>
    <x:n v="240"/>
    <x:n v="6274.3294100822"/>
    <x:n v="1505839.0584197282"/>
  </x:r>
  <x:r>
    <x:x v="0"/>
    <x:n v="11464"/>
    <x:n v="12227"/>
    <x:s v="dbesar"/>
    <x:n v="41"/>
    <x:n v="240"/>
    <x:n v="6274.3294100822"/>
    <x:n v="1505839.0584197282"/>
  </x:r>
  <x:r>
    <x:x v="0"/>
    <x:n v="11465"/>
    <x:n v="12228"/>
    <x:s v="dbesar"/>
    <x:n v="37"/>
    <x:n v="240"/>
    <x:n v="6274.3294100822"/>
    <x:n v="1505839.0584197282"/>
  </x:r>
  <x:r>
    <x:x v="0"/>
    <x:n v="11466"/>
    <x:n v="12229"/>
    <x:s v="dbesar"/>
    <x:n v="36"/>
    <x:n v="240"/>
    <x:n v="6274.3294100822"/>
    <x:n v="1505839.0584197282"/>
  </x:r>
  <x:r>
    <x:x v="0"/>
    <x:n v="11467"/>
    <x:n v="12230"/>
    <x:s v="pth34"/>
    <x:n v="53"/>
    <x:n v="240"/>
    <x:n v="6274.3294100822"/>
    <x:n v="1505839.0584197282"/>
  </x:r>
  <x:r>
    <x:x v="0"/>
    <x:n v="11468"/>
    <x:n v="12231"/>
    <x:s v="pth34"/>
    <x:n v="26"/>
    <x:n v="139"/>
    <x:n v="6274.3294100822"/>
    <x:n v="872131.7880014259"/>
  </x:r>
  <x:r>
    <x:x v="0"/>
    <x:n v="11469"/>
    <x:n v="12232"/>
    <x:s v="plb"/>
    <x:n v="18"/>
    <x:n v="123"/>
    <x:n v="6274.3294100822"/>
    <x:n v="771742.5174401107"/>
  </x:r>
  <x:r>
    <x:x v="0"/>
    <x:n v="11470"/>
    <x:n v="12233"/>
    <x:s v="hcr"/>
    <x:n v="0"/>
    <x:n v="300"/>
    <x:n v="6274.3294100822"/>
    <x:n v="1882298.82302466"/>
  </x:r>
  <x:r>
    <x:x v="1"/>
    <x:n v="6988"/>
    <x:n v="11927"/>
    <x:s v="LN"/>
    <x:n v="17"/>
    <x:n v="156"/>
    <x:n v="7272.382924803"/>
    <x:n v="1134491.736269268"/>
  </x:r>
  <x:r>
    <x:x v="1"/>
    <x:n v="10808"/>
    <x:n v="11928"/>
    <x:s v="dovalbelangsamar"/>
    <x:n v="40"/>
    <x:n v="240"/>
    <x:n v="5691.0353520252"/>
    <x:n v="1365848.484486048"/>
  </x:r>
  <x:r>
    <x:x v="1"/>
    <x:n v="10809"/>
    <x:n v="11929"/>
    <x:s v="dovalbelangsamar"/>
    <x:n v="46"/>
    <x:n v="240"/>
    <x:n v="5691.0353520252"/>
    <x:n v="1365848.484486048"/>
  </x:r>
  <x:r>
    <x:x v="1"/>
    <x:n v="10812"/>
    <x:n v="11930"/>
    <x:s v="dovalbelangsamar"/>
    <x:n v="36"/>
    <x:n v="240"/>
    <x:n v="5691.0353520252"/>
    <x:n v="1365848.484486048"/>
  </x:r>
  <x:r>
    <x:x v="1"/>
    <x:n v="10816"/>
    <x:n v="11931"/>
    <x:s v="dovalbelangsamar"/>
    <x:n v="30"/>
    <x:n v="240"/>
    <x:n v="5691.0353520252"/>
    <x:n v="1365848.484486048"/>
  </x:r>
  <x:r>
    <x:x v="1"/>
    <x:n v="10818"/>
    <x:n v="11932"/>
    <x:s v="dovalbelangsamar"/>
    <x:n v="47"/>
    <x:n v="202"/>
    <x:n v="5691.0353520252"/>
    <x:n v="1149589.1411090905"/>
  </x:r>
  <x:r>
    <x:x v="1"/>
    <x:n v="10819"/>
    <x:n v="11933"/>
    <x:s v="dovalbelangsamar"/>
    <x:n v="40"/>
    <x:n v="240"/>
    <x:n v="5691.0353520252"/>
    <x:n v="1365848.484486048"/>
  </x:r>
  <x:r>
    <x:x v="1"/>
    <x:n v="10820"/>
    <x:n v="11934"/>
    <x:s v="dovalbelangsamar"/>
    <x:n v="40"/>
    <x:n v="240"/>
    <x:n v="5691.0353520252"/>
    <x:n v="1365848.484486048"/>
  </x:r>
  <x:r>
    <x:x v="1"/>
    <x:n v="10821"/>
    <x:n v="11935"/>
    <x:s v="dovalkuning"/>
    <x:n v="35"/>
    <x:n v="240"/>
    <x:n v="5691.0353520252"/>
    <x:n v="1365848.484486048"/>
  </x:r>
  <x:r>
    <x:x v="1"/>
    <x:n v="10887"/>
    <x:n v="11936"/>
    <x:s v="pth3/4putih"/>
    <x:n v="49"/>
    <x:n v="240"/>
    <x:n v="5691.0353520252"/>
    <x:n v="1365848.484486048"/>
  </x:r>
  <x:r>
    <x:x v="1"/>
    <x:n v="10888"/>
    <x:n v="11937"/>
    <x:s v="pth3/4putih"/>
    <x:n v="47"/>
    <x:n v="240"/>
    <x:n v="5691.0353520252"/>
    <x:n v="1365848.484486048"/>
  </x:r>
  <x:r>
    <x:x v="1"/>
    <x:n v="10889"/>
    <x:n v="11938"/>
    <x:s v="pth3/4putih"/>
    <x:n v="48"/>
    <x:n v="240"/>
    <x:n v="5691.0353520252"/>
    <x:n v="1365848.484486048"/>
  </x:r>
  <x:r>
    <x:x v="1"/>
    <x:n v="10890"/>
    <x:n v="11939"/>
    <x:s v="pth3/4putih"/>
    <x:n v="47"/>
    <x:n v="240"/>
    <x:n v="5691.0353520252"/>
    <x:n v="1365848.484486048"/>
  </x:r>
  <x:r>
    <x:x v="1"/>
    <x:n v="10891"/>
    <x:n v="11940"/>
    <x:s v="pth3/4putih"/>
    <x:n v="48"/>
    <x:n v="240"/>
    <x:n v="5691.0353520252"/>
    <x:n v="1365848.484486048"/>
  </x:r>
  <x:r>
    <x:x v="1"/>
    <x:n v="10892"/>
    <x:n v="11941"/>
    <x:s v="pth3/4putih"/>
    <x:n v="48"/>
    <x:n v="240"/>
    <x:n v="5691.0353520252"/>
    <x:n v="1365848.484486048"/>
  </x:r>
  <x:r>
    <x:x v="1"/>
    <x:n v="10893"/>
    <x:n v="11942"/>
    <x:s v="pth3/4putih"/>
    <x:n v="49"/>
    <x:n v="240"/>
    <x:n v="5691.0353520252"/>
    <x:n v="1365848.484486048"/>
  </x:r>
  <x:r>
    <x:x v="1"/>
    <x:n v="10894"/>
    <x:n v="11943"/>
    <x:s v="pth3/4putih"/>
    <x:n v="48"/>
    <x:n v="240"/>
    <x:n v="5691.0353520252"/>
    <x:n v="1365848.484486048"/>
  </x:r>
  <x:r>
    <x:x v="1"/>
    <x:n v="10895"/>
    <x:n v="11944"/>
    <x:s v="pth3/4putih"/>
    <x:n v="48"/>
    <x:n v="240"/>
    <x:n v="5691.0353520252"/>
    <x:n v="1365848.484486048"/>
  </x:r>
  <x:r>
    <x:x v="1"/>
    <x:n v="10897"/>
    <x:n v="11945"/>
    <x:s v="pth3/4putih"/>
    <x:n v="49"/>
    <x:n v="240"/>
    <x:n v="5691.0353520252"/>
    <x:n v="1365848.484486048"/>
  </x:r>
  <x:r>
    <x:x v="1"/>
    <x:n v="10898"/>
    <x:n v="11946"/>
    <x:s v="pth3/4putih"/>
    <x:n v="48"/>
    <x:n v="240"/>
    <x:n v="5691.0353520252"/>
    <x:n v="1365848.484486048"/>
  </x:r>
  <x:r>
    <x:x v="1"/>
    <x:n v="10899"/>
    <x:n v="11947"/>
    <x:s v="pth3/4putih"/>
    <x:n v="51"/>
    <x:n v="240"/>
    <x:n v="5691.0353520252"/>
    <x:n v="1365848.484486048"/>
  </x:r>
  <x:r>
    <x:x v="1"/>
    <x:n v="10900"/>
    <x:n v="11948"/>
    <x:s v="pth3/4putih"/>
    <x:n v="53"/>
    <x:n v="240"/>
    <x:n v="5691.0353520252"/>
    <x:n v="1365848.484486048"/>
  </x:r>
  <x:r>
    <x:x v="1"/>
    <x:n v="10902"/>
    <x:n v="11949"/>
    <x:s v="pth3/4putih"/>
    <x:n v="45"/>
    <x:n v="240"/>
    <x:n v="5691.0353520252"/>
    <x:n v="1365848.484486048"/>
  </x:r>
  <x:r>
    <x:x v="1"/>
    <x:n v="10903"/>
    <x:n v="11950"/>
    <x:s v="pth3/4putih"/>
    <x:n v="49"/>
    <x:n v="240"/>
    <x:n v="5691.0353520252"/>
    <x:n v="1365848.484486048"/>
  </x:r>
  <x:r>
    <x:x v="1"/>
    <x:n v="10904"/>
    <x:n v="11951"/>
    <x:s v="pth3/4putih"/>
    <x:n v="48"/>
    <x:n v="240"/>
    <x:n v="5691.0353520252"/>
    <x:n v="1365848.484486048"/>
  </x:r>
  <x:r>
    <x:x v="1"/>
    <x:n v="10905"/>
    <x:n v="11952"/>
    <x:s v="pth3/4putih"/>
    <x:n v="48"/>
    <x:n v="240"/>
    <x:n v="5691.0353520252"/>
    <x:n v="1365848.484486048"/>
  </x:r>
  <x:r>
    <x:x v="1"/>
    <x:n v="10906"/>
    <x:n v="11953"/>
    <x:s v="pth3/4putih"/>
    <x:n v="51"/>
    <x:n v="240"/>
    <x:n v="5691.0353520252"/>
    <x:n v="1365848.484486048"/>
  </x:r>
  <x:r>
    <x:x v="1"/>
    <x:n v="10907"/>
    <x:n v="11954"/>
    <x:s v="pth3/4putih"/>
    <x:n v="51"/>
    <x:n v="240"/>
    <x:n v="5691.0353520252"/>
    <x:n v="1365848.484486048"/>
  </x:r>
  <x:r>
    <x:x v="1"/>
    <x:n v="10908"/>
    <x:n v="11955"/>
    <x:s v="pth3/4putih"/>
    <x:n v="49"/>
    <x:n v="240"/>
    <x:n v="5691.0353520252"/>
    <x:n v="1365848.484486048"/>
  </x:r>
  <x:r>
    <x:x v="1"/>
    <x:n v="10909"/>
    <x:n v="11956"/>
    <x:s v="pth3/4putih"/>
    <x:n v="53"/>
    <x:n v="240"/>
    <x:n v="5691.0353520252"/>
    <x:n v="1365848.484486048"/>
  </x:r>
  <x:r>
    <x:x v="1"/>
    <x:n v="10910"/>
    <x:n v="11957"/>
    <x:s v="pth3/4putih"/>
    <x:n v="53"/>
    <x:n v="240"/>
    <x:n v="5691.0353520252"/>
    <x:n v="1365848.484486048"/>
  </x:r>
  <x:r>
    <x:x v="1"/>
    <x:n v="10911"/>
    <x:n v="11958"/>
    <x:s v="pth3/4putih"/>
    <x:n v="50"/>
    <x:n v="240"/>
    <x:n v="5691.0353520252"/>
    <x:n v="1365848.484486048"/>
  </x:r>
  <x:r>
    <x:x v="1"/>
    <x:n v="10912"/>
    <x:n v="11959"/>
    <x:s v="pth3/4putih"/>
    <x:n v="53"/>
    <x:n v="240"/>
    <x:n v="5691.0353520252"/>
    <x:n v="1365848.484486048"/>
  </x:r>
  <x:r>
    <x:x v="1"/>
    <x:n v="10913"/>
    <x:n v="11960"/>
    <x:s v="pth3/4putih"/>
    <x:n v="50"/>
    <x:n v="240"/>
    <x:n v="5691.0353520252"/>
    <x:n v="1365848.484486048"/>
  </x:r>
  <x:r>
    <x:x v="1"/>
    <x:n v="10914"/>
    <x:n v="11961"/>
    <x:s v="pth3/4putih"/>
    <x:n v="50"/>
    <x:n v="240"/>
    <x:n v="5691.0353520252"/>
    <x:n v="1365848.484486048"/>
  </x:r>
  <x:r>
    <x:x v="1"/>
    <x:n v="10915"/>
    <x:n v="11962"/>
    <x:s v="pth3/4putih"/>
    <x:n v="50"/>
    <x:n v="240"/>
    <x:n v="5691.0353520252"/>
    <x:n v="1365848.484486048"/>
  </x:r>
  <x:r>
    <x:x v="1"/>
    <x:n v="10916"/>
    <x:n v="11963"/>
    <x:s v="pth3/4putih"/>
    <x:n v="51"/>
    <x:n v="240"/>
    <x:n v="5691.0353520252"/>
    <x:n v="1365848.484486048"/>
  </x:r>
  <x:r>
    <x:x v="1"/>
    <x:n v="10917"/>
    <x:n v="11964"/>
    <x:s v="pth3/4putih"/>
    <x:n v="50"/>
    <x:n v="240"/>
    <x:n v="5691.0353520252"/>
    <x:n v="1365848.484486048"/>
  </x:r>
  <x:r>
    <x:x v="1"/>
    <x:n v="10918"/>
    <x:n v="11965"/>
    <x:s v="pth3/4putih"/>
    <x:n v="50"/>
    <x:n v="240"/>
    <x:n v="5691.0353520252"/>
    <x:n v="1365848.484486048"/>
  </x:r>
  <x:r>
    <x:x v="1"/>
    <x:n v="10919"/>
    <x:n v="11966"/>
    <x:s v="pth3/4putih"/>
    <x:n v="50"/>
    <x:n v="240"/>
    <x:n v="5691.0353520252"/>
    <x:n v="1365848.484486048"/>
  </x:r>
  <x:r>
    <x:x v="1"/>
    <x:n v="10920"/>
    <x:n v="11967"/>
    <x:s v="pth3/4putih"/>
    <x:n v="50"/>
    <x:n v="240"/>
    <x:n v="5691.0353520252"/>
    <x:n v="1365848.484486048"/>
  </x:r>
  <x:r>
    <x:x v="1"/>
    <x:n v="10921"/>
    <x:n v="11968"/>
    <x:s v="pth3/4putih"/>
    <x:n v="50"/>
    <x:n v="240"/>
    <x:n v="5691.0353520252"/>
    <x:n v="1365848.484486048"/>
  </x:r>
  <x:r>
    <x:x v="1"/>
    <x:n v="10925"/>
    <x:n v="11969"/>
    <x:s v="pthtg"/>
    <x:n v="0"/>
    <x:n v="387"/>
    <x:n v="5691.0353520252"/>
    <x:n v="2202430.6812337525"/>
  </x:r>
  <x:r>
    <x:x v="1"/>
    <x:n v="10926"/>
    <x:n v="11970"/>
    <x:s v="pthtg"/>
    <x:n v="0"/>
    <x:n v="240"/>
    <x:n v="5691.0353520252"/>
    <x:n v="1365848.484486048"/>
  </x:r>
  <x:r>
    <x:x v="1"/>
    <x:n v="11063"/>
    <x:n v="11971"/>
    <x:s v="dsuper"/>
    <x:n v="23"/>
    <x:n v="150"/>
    <x:n v="6274.3294100822"/>
    <x:n v="941149.41151233"/>
  </x:r>
  <x:r>
    <x:x v="1"/>
    <x:n v="11064"/>
    <x:n v="11972"/>
    <x:s v="dsuper"/>
    <x:n v="23"/>
    <x:n v="150"/>
    <x:n v="6274.3294100822"/>
    <x:n v="941149.41151233"/>
  </x:r>
  <x:r>
    <x:x v="1"/>
    <x:n v="11065"/>
    <x:n v="11973"/>
    <x:s v="dsuper"/>
    <x:n v="24"/>
    <x:n v="150"/>
    <x:n v="6274.3294100822"/>
    <x:n v="941149.41151233"/>
  </x:r>
  <x:r>
    <x:x v="1"/>
    <x:n v="11066"/>
    <x:n v="11974"/>
    <x:s v="dsuper"/>
    <x:n v="26"/>
    <x:n v="150"/>
    <x:n v="6274.3294100822"/>
    <x:n v="941149.41151233"/>
  </x:r>
  <x:r>
    <x:x v="1"/>
    <x:n v="11067"/>
    <x:n v="11975"/>
    <x:s v="dsuper"/>
    <x:n v="22"/>
    <x:n v="150"/>
    <x:n v="6274.3294100822"/>
    <x:n v="941149.41151233"/>
  </x:r>
  <x:r>
    <x:x v="1"/>
    <x:n v="11068"/>
    <x:n v="11976"/>
    <x:s v="dsuper"/>
    <x:n v="21"/>
    <x:n v="138"/>
    <x:n v="6274.3294100822"/>
    <x:n v="865857.4585913436"/>
  </x:r>
  <x:r>
    <x:x v="1"/>
    <x:n v="11069"/>
    <x:n v="11977"/>
    <x:s v="pth34"/>
    <x:n v="46"/>
    <x:n v="240"/>
    <x:n v="6274.3294100822"/>
    <x:n v="1505839.0584197282"/>
  </x:r>
  <x:r>
    <x:x v="1"/>
    <x:n v="11070"/>
    <x:n v="11978"/>
    <x:s v="pth34"/>
    <x:n v="45"/>
    <x:n v="240"/>
    <x:n v="6274.3294100822"/>
    <x:n v="1505839.0584197282"/>
  </x:r>
  <x:r>
    <x:x v="1"/>
    <x:n v="11071"/>
    <x:n v="11979"/>
    <x:s v="pth34"/>
    <x:n v="46"/>
    <x:n v="240"/>
    <x:n v="6274.3294100822"/>
    <x:n v="1505839.0584197282"/>
  </x:r>
  <x:r>
    <x:x v="1"/>
    <x:n v="11072"/>
    <x:n v="11980"/>
    <x:s v="pth34"/>
    <x:n v="46"/>
    <x:n v="240"/>
    <x:n v="6274.3294100822"/>
    <x:n v="1505839.0584197282"/>
  </x:r>
  <x:r>
    <x:x v="1"/>
    <x:n v="11073"/>
    <x:n v="11981"/>
    <x:s v="pth34"/>
    <x:n v="43"/>
    <x:n v="240"/>
    <x:n v="6274.3294100822"/>
    <x:n v="1505839.0584197282"/>
  </x:r>
  <x:r>
    <x:x v="1"/>
    <x:n v="11074"/>
    <x:n v="11982"/>
    <x:s v="pth34"/>
    <x:n v="45"/>
    <x:n v="240"/>
    <x:n v="6274.3294100822"/>
    <x:n v="1505839.0584197282"/>
  </x:r>
  <x:r>
    <x:x v="1"/>
    <x:n v="11075"/>
    <x:n v="11983"/>
    <x:s v="pth34"/>
    <x:n v="45"/>
    <x:n v="240"/>
    <x:n v="6274.3294100822"/>
    <x:n v="1505839.0584197282"/>
  </x:r>
  <x:r>
    <x:x v="1"/>
    <x:n v="11076"/>
    <x:n v="11984"/>
    <x:s v="pth34"/>
    <x:n v="45"/>
    <x:n v="240"/>
    <x:n v="6274.3294100822"/>
    <x:n v="1505839.0584197282"/>
  </x:r>
  <x:r>
    <x:x v="1"/>
    <x:n v="11077"/>
    <x:n v="11985"/>
    <x:s v="pth34"/>
    <x:n v="45"/>
    <x:n v="240"/>
    <x:n v="6274.3294100822"/>
    <x:n v="1505839.0584197282"/>
  </x:r>
  <x:r>
    <x:x v="1"/>
    <x:n v="11078"/>
    <x:n v="11986"/>
    <x:s v="pth34"/>
    <x:n v="47"/>
    <x:n v="240"/>
    <x:n v="6274.3294100822"/>
    <x:n v="1505839.0584197282"/>
  </x:r>
  <x:r>
    <x:x v="1"/>
    <x:n v="11079"/>
    <x:n v="11987"/>
    <x:s v="pth34"/>
    <x:n v="45"/>
    <x:n v="240"/>
    <x:n v="6274.3294100822"/>
    <x:n v="1505839.0584197282"/>
  </x:r>
  <x:r>
    <x:x v="1"/>
    <x:n v="11080"/>
    <x:n v="11988"/>
    <x:s v="pth34"/>
    <x:n v="45"/>
    <x:n v="240"/>
    <x:n v="6274.3294100822"/>
    <x:n v="1505839.0584197282"/>
  </x:r>
  <x:r>
    <x:x v="1"/>
    <x:n v="11081"/>
    <x:n v="11989"/>
    <x:s v="pth34"/>
    <x:n v="46"/>
    <x:n v="240"/>
    <x:n v="6274.3294100822"/>
    <x:n v="1505839.0584197282"/>
  </x:r>
  <x:r>
    <x:x v="1"/>
    <x:n v="11082"/>
    <x:n v="11990"/>
    <x:s v="pth34"/>
    <x:n v="46"/>
    <x:n v="240"/>
    <x:n v="6274.3294100822"/>
    <x:n v="1505839.0584197282"/>
  </x:r>
  <x:r>
    <x:x v="1"/>
    <x:n v="11083"/>
    <x:n v="11991"/>
    <x:s v="pth34"/>
    <x:n v="46"/>
    <x:n v="240"/>
    <x:n v="6274.3294100822"/>
    <x:n v="1505839.0584197282"/>
  </x:r>
  <x:r>
    <x:x v="1"/>
    <x:n v="11084"/>
    <x:n v="11992"/>
    <x:s v="pth34"/>
    <x:n v="45"/>
    <x:n v="240"/>
    <x:n v="6274.3294100822"/>
    <x:n v="1505839.0584197282"/>
  </x:r>
  <x:r>
    <x:x v="1"/>
    <x:n v="11085"/>
    <x:n v="11993"/>
    <x:s v="pth34"/>
    <x:n v="45"/>
    <x:n v="240"/>
    <x:n v="6274.3294100822"/>
    <x:n v="1505839.0584197282"/>
  </x:r>
  <x:r>
    <x:x v="1"/>
    <x:n v="11086"/>
    <x:n v="11994"/>
    <x:s v="pth34"/>
    <x:n v="44"/>
    <x:n v="240"/>
    <x:n v="6274.3294100822"/>
    <x:n v="1505839.0584197282"/>
  </x:r>
  <x:r>
    <x:x v="1"/>
    <x:n v="11087"/>
    <x:n v="11995"/>
    <x:s v="pth34"/>
    <x:n v="45"/>
    <x:n v="240"/>
    <x:n v="6274.3294100822"/>
    <x:n v="1505839.0584197282"/>
  </x:r>
  <x:r>
    <x:x v="1"/>
    <x:n v="11088"/>
    <x:n v="11996"/>
    <x:s v="pth34"/>
    <x:n v="45"/>
    <x:n v="240"/>
    <x:n v="6274.3294100822"/>
    <x:n v="1505839.0584197282"/>
  </x:r>
  <x:r>
    <x:x v="1"/>
    <x:n v="11089"/>
    <x:n v="11997"/>
    <x:s v="pth34"/>
    <x:n v="46"/>
    <x:n v="240"/>
    <x:n v="6274.3294100822"/>
    <x:n v="1505839.0584197282"/>
  </x:r>
  <x:r>
    <x:x v="1"/>
    <x:n v="11090"/>
    <x:n v="11998"/>
    <x:s v="pth34"/>
    <x:n v="41"/>
    <x:n v="240"/>
    <x:n v="6274.3294100822"/>
    <x:n v="1505839.0584197282"/>
  </x:r>
  <x:r>
    <x:x v="1"/>
    <x:n v="11091"/>
    <x:n v="11999"/>
    <x:s v="pth34"/>
    <x:n v="47"/>
    <x:n v="240"/>
    <x:n v="6274.3294100822"/>
    <x:n v="1505839.0584197282"/>
  </x:r>
  <x:r>
    <x:x v="1"/>
    <x:n v="11092"/>
    <x:n v="12000"/>
    <x:s v="pth34"/>
    <x:n v="48"/>
    <x:n v="240"/>
    <x:n v="6274.3294100822"/>
    <x:n v="1505839.0584197282"/>
  </x:r>
  <x:r>
    <x:x v="1"/>
    <x:n v="11093"/>
    <x:n v="12001"/>
    <x:s v="pth34"/>
    <x:n v="50"/>
    <x:n v="240"/>
    <x:n v="6274.3294100822"/>
    <x:n v="1505839.0584197282"/>
  </x:r>
  <x:r>
    <x:x v="1"/>
    <x:n v="11094"/>
    <x:n v="12002"/>
    <x:s v="pth34"/>
    <x:n v="49"/>
    <x:n v="240"/>
    <x:n v="6274.3294100822"/>
    <x:n v="1505839.0584197282"/>
  </x:r>
  <x:r>
    <x:x v="1"/>
    <x:n v="11095"/>
    <x:n v="12003"/>
    <x:s v="pth34"/>
    <x:n v="49"/>
    <x:n v="240"/>
    <x:n v="6274.3294100822"/>
    <x:n v="1505839.0584197282"/>
  </x:r>
  <x:r>
    <x:x v="1"/>
    <x:n v="11096"/>
    <x:n v="12004"/>
    <x:s v="pth34"/>
    <x:n v="46"/>
    <x:n v="240"/>
    <x:n v="6274.3294100822"/>
    <x:n v="1505839.0584197282"/>
  </x:r>
  <x:r>
    <x:x v="1"/>
    <x:n v="11097"/>
    <x:n v="12005"/>
    <x:s v="dbesar"/>
    <x:n v="38"/>
    <x:n v="240"/>
    <x:n v="6274.3294100822"/>
    <x:n v="1505839.0584197282"/>
  </x:r>
  <x:r>
    <x:x v="1"/>
    <x:n v="11098"/>
    <x:n v="12006"/>
    <x:s v="dbesar"/>
    <x:n v="38"/>
    <x:n v="240"/>
    <x:n v="6274.3294100822"/>
    <x:n v="1505839.0584197282"/>
  </x:r>
  <x:r>
    <x:x v="1"/>
    <x:n v="11099"/>
    <x:n v="12007"/>
    <x:s v="dbesar"/>
    <x:n v="39"/>
    <x:n v="240"/>
    <x:n v="6274.3294100822"/>
    <x:n v="1505839.0584197282"/>
  </x:r>
  <x:r>
    <x:x v="1"/>
    <x:n v="11100"/>
    <x:n v="12008"/>
    <x:s v="dbesar"/>
    <x:n v="36"/>
    <x:n v="240"/>
    <x:n v="6274.3294100822"/>
    <x:n v="1505839.0584197282"/>
  </x:r>
  <x:r>
    <x:x v="1"/>
    <x:n v="11101"/>
    <x:n v="12009"/>
    <x:s v="dbesar"/>
    <x:n v="36"/>
    <x:n v="240"/>
    <x:n v="6274.3294100822"/>
    <x:n v="1505839.0584197282"/>
  </x:r>
  <x:r>
    <x:x v="1"/>
    <x:n v="11102"/>
    <x:n v="12010"/>
    <x:s v="dbesar"/>
    <x:n v="40"/>
    <x:n v="240"/>
    <x:n v="6274.3294100822"/>
    <x:n v="1505839.0584197282"/>
  </x:r>
  <x:r>
    <x:x v="1"/>
    <x:n v="11103"/>
    <x:n v="12011"/>
    <x:s v="dbesar"/>
    <x:n v="36"/>
    <x:n v="240"/>
    <x:n v="6274.3294100822"/>
    <x:n v="1505839.0584197282"/>
  </x:r>
  <x:r>
    <x:x v="1"/>
    <x:n v="11104"/>
    <x:n v="12012"/>
    <x:s v="dbesar"/>
    <x:n v="37"/>
    <x:n v="240"/>
    <x:n v="6274.3294100822"/>
    <x:n v="1505839.0584197282"/>
  </x:r>
  <x:r>
    <x:x v="1"/>
    <x:n v="11105"/>
    <x:n v="12013"/>
    <x:s v="dbesar"/>
    <x:n v="37"/>
    <x:n v="240"/>
    <x:n v="6274.3294100822"/>
    <x:n v="1505839.0584197282"/>
  </x:r>
  <x:r>
    <x:x v="1"/>
    <x:n v="11106"/>
    <x:n v="12014"/>
    <x:s v="dbesar"/>
    <x:n v="40"/>
    <x:n v="240"/>
    <x:n v="6274.3294100822"/>
    <x:n v="1505839.0584197282"/>
  </x:r>
  <x:r>
    <x:x v="1"/>
    <x:n v="11107"/>
    <x:n v="12015"/>
    <x:s v="dbesar"/>
    <x:n v="40"/>
    <x:n v="240"/>
    <x:n v="6274.3294100822"/>
    <x:n v="1505839.0584197282"/>
  </x:r>
  <x:r>
    <x:x v="1"/>
    <x:n v="11108"/>
    <x:n v="12016"/>
    <x:s v="dbesar"/>
    <x:n v="40"/>
    <x:n v="240"/>
    <x:n v="6274.3294100822"/>
    <x:n v="1505839.0584197282"/>
  </x:r>
  <x:r>
    <x:x v="1"/>
    <x:n v="11109"/>
    <x:n v="12017"/>
    <x:s v="dbesar"/>
    <x:n v="40"/>
    <x:n v="240"/>
    <x:n v="6274.3294100822"/>
    <x:n v="1505839.0584197282"/>
  </x:r>
  <x:r>
    <x:x v="1"/>
    <x:n v="11110"/>
    <x:n v="12018"/>
    <x:s v="dbesar"/>
    <x:n v="40"/>
    <x:n v="240"/>
    <x:n v="6274.3294100822"/>
    <x:n v="1505839.0584197282"/>
  </x:r>
  <x:r>
    <x:x v="1"/>
    <x:n v="11111"/>
    <x:n v="12019"/>
    <x:s v="dbesar"/>
    <x:n v="39"/>
    <x:n v="240"/>
    <x:n v="6274.3294100822"/>
    <x:n v="1505839.0584197282"/>
  </x:r>
  <x:r>
    <x:x v="1"/>
    <x:n v="11112"/>
    <x:n v="12020"/>
    <x:s v="dbesar"/>
    <x:n v="37"/>
    <x:n v="240"/>
    <x:n v="6274.3294100822"/>
    <x:n v="1505839.0584197282"/>
  </x:r>
  <x:r>
    <x:x v="1"/>
    <x:n v="11113"/>
    <x:n v="12021"/>
    <x:s v="dbesar"/>
    <x:n v="37"/>
    <x:n v="240"/>
    <x:n v="6274.3294100822"/>
    <x:n v="1505839.0584197282"/>
  </x:r>
  <x:r>
    <x:x v="1"/>
    <x:n v="11114"/>
    <x:n v="12022"/>
    <x:s v="dbesar"/>
    <x:n v="40"/>
    <x:n v="240"/>
    <x:n v="6274.3294100822"/>
    <x:n v="1505839.0584197282"/>
  </x:r>
  <x:r>
    <x:x v="1"/>
    <x:n v="11115"/>
    <x:n v="12023"/>
    <x:s v="dbesar"/>
    <x:n v="39"/>
    <x:n v="240"/>
    <x:n v="6274.3294100822"/>
    <x:n v="1505839.0584197282"/>
  </x:r>
  <x:r>
    <x:x v="1"/>
    <x:n v="11116"/>
    <x:n v="12024"/>
    <x:s v="dbesar"/>
    <x:n v="37"/>
    <x:n v="240"/>
    <x:n v="6274.3294100822"/>
    <x:n v="1505839.0584197282"/>
  </x:r>
  <x:r>
    <x:x v="1"/>
    <x:n v="11117"/>
    <x:n v="12025"/>
    <x:s v="dbesar"/>
    <x:n v="40"/>
    <x:n v="240"/>
    <x:n v="6274.3294100822"/>
    <x:n v="1505839.0584197282"/>
  </x:r>
  <x:r>
    <x:x v="1"/>
    <x:n v="11118"/>
    <x:n v="12026"/>
    <x:s v="dbesar"/>
    <x:n v="40"/>
    <x:n v="240"/>
    <x:n v="6274.3294100822"/>
    <x:n v="1505839.0584197282"/>
  </x:r>
  <x:r>
    <x:x v="1"/>
    <x:n v="11119"/>
    <x:n v="12027"/>
    <x:s v="dbesar"/>
    <x:n v="38"/>
    <x:n v="240"/>
    <x:n v="6274.3294100822"/>
    <x:n v="1505839.0584197282"/>
  </x:r>
  <x:r>
    <x:x v="1"/>
    <x:n v="11120"/>
    <x:n v="12028"/>
    <x:s v="dbesar"/>
    <x:n v="37"/>
    <x:n v="240"/>
    <x:n v="6274.3294100822"/>
    <x:n v="1505839.0584197282"/>
  </x:r>
  <x:r>
    <x:x v="1"/>
    <x:n v="11121"/>
    <x:n v="12029"/>
    <x:s v="dbesar"/>
    <x:n v="37"/>
    <x:n v="240"/>
    <x:n v="6274.3294100822"/>
    <x:n v="1505839.0584197282"/>
  </x:r>
  <x:r>
    <x:x v="1"/>
    <x:n v="11122"/>
    <x:n v="12030"/>
    <x:s v="dbesar"/>
    <x:n v="38"/>
    <x:n v="240"/>
    <x:n v="6274.3294100822"/>
    <x:n v="1505839.0584197282"/>
  </x:r>
  <x:r>
    <x:x v="1"/>
    <x:n v="11123"/>
    <x:n v="12031"/>
    <x:s v="dbesar"/>
    <x:n v="39"/>
    <x:n v="240"/>
    <x:n v="6274.3294100822"/>
    <x:n v="1505839.0584197282"/>
  </x:r>
  <x:r>
    <x:x v="1"/>
    <x:n v="11124"/>
    <x:n v="12032"/>
    <x:s v="dbesar"/>
    <x:n v="36"/>
    <x:n v="240"/>
    <x:n v="6274.3294100822"/>
    <x:n v="1505839.0584197282"/>
  </x:r>
  <x:r>
    <x:x v="1"/>
    <x:n v="11125"/>
    <x:n v="12033"/>
    <x:s v="dbesar"/>
    <x:n v="39"/>
    <x:n v="240"/>
    <x:n v="6274.3294100822"/>
    <x:n v="1505839.0584197282"/>
  </x:r>
  <x:r>
    <x:x v="1"/>
    <x:n v="11126"/>
    <x:n v="12034"/>
    <x:s v="dbesar"/>
    <x:n v="38"/>
    <x:n v="240"/>
    <x:n v="6274.3294100822"/>
    <x:n v="1505839.0584197282"/>
  </x:r>
  <x:r>
    <x:x v="1"/>
    <x:n v="11127"/>
    <x:n v="12035"/>
    <x:s v="dbesar"/>
    <x:n v="38"/>
    <x:n v="240"/>
    <x:n v="6274.3294100822"/>
    <x:n v="1505839.0584197282"/>
  </x:r>
  <x:r>
    <x:x v="1"/>
    <x:n v="11128"/>
    <x:n v="12036"/>
    <x:s v="dbesar"/>
    <x:n v="36"/>
    <x:n v="240"/>
    <x:n v="6274.3294100822"/>
    <x:n v="1505839.0584197282"/>
  </x:r>
  <x:r>
    <x:x v="1"/>
    <x:n v="11129"/>
    <x:n v="12037"/>
    <x:s v="dbesar"/>
    <x:n v="37"/>
    <x:n v="240"/>
    <x:n v="6274.3294100822"/>
    <x:n v="1505839.0584197282"/>
  </x:r>
  <x:r>
    <x:x v="1"/>
    <x:n v="11130"/>
    <x:n v="12038"/>
    <x:s v="dbesar"/>
    <x:n v="37"/>
    <x:n v="240"/>
    <x:n v="6274.3294100822"/>
    <x:n v="1505839.0584197282"/>
  </x:r>
  <x:r>
    <x:x v="1"/>
    <x:n v="11131"/>
    <x:n v="12039"/>
    <x:s v="dbesar"/>
    <x:n v="36"/>
    <x:n v="240"/>
    <x:n v="6274.3294100822"/>
    <x:n v="1505839.0584197282"/>
  </x:r>
  <x:r>
    <x:x v="1"/>
    <x:n v="11132"/>
    <x:n v="12040"/>
    <x:s v="dbesar"/>
    <x:n v="36"/>
    <x:n v="240"/>
    <x:n v="6274.3294100822"/>
    <x:n v="1505839.0584197282"/>
  </x:r>
  <x:r>
    <x:x v="1"/>
    <x:n v="11133"/>
    <x:n v="12041"/>
    <x:s v="dbesar"/>
    <x:n v="37"/>
    <x:n v="240"/>
    <x:n v="6274.3294100822"/>
    <x:n v="1505839.0584197282"/>
  </x:r>
  <x:r>
    <x:x v="1"/>
    <x:n v="11134"/>
    <x:n v="12042"/>
    <x:s v="dbesar"/>
    <x:n v="35"/>
    <x:n v="240"/>
    <x:n v="6274.3294100822"/>
    <x:n v="1505839.0584197282"/>
  </x:r>
  <x:r>
    <x:x v="1"/>
    <x:n v="11135"/>
    <x:n v="12043"/>
    <x:s v="dbesar"/>
    <x:n v="35"/>
    <x:n v="240"/>
    <x:n v="6274.3294100822"/>
    <x:n v="1505839.0584197282"/>
  </x:r>
  <x:r>
    <x:x v="1"/>
    <x:n v="11136"/>
    <x:n v="12044"/>
    <x:s v="dbesar"/>
    <x:n v="35"/>
    <x:n v="240"/>
    <x:n v="6274.3294100822"/>
    <x:n v="1505839.0584197282"/>
  </x:r>
  <x:r>
    <x:x v="1"/>
    <x:n v="11137"/>
    <x:n v="12045"/>
    <x:s v="dbesar"/>
    <x:n v="37"/>
    <x:n v="240"/>
    <x:n v="6274.3294100822"/>
    <x:n v="1505839.0584197282"/>
  </x:r>
  <x:r>
    <x:x v="1"/>
    <x:n v="11138"/>
    <x:n v="12046"/>
    <x:s v="dbesar"/>
    <x:n v="35"/>
    <x:n v="240"/>
    <x:n v="6274.3294100822"/>
    <x:n v="1505839.0584197282"/>
  </x:r>
  <x:r>
    <x:x v="1"/>
    <x:n v="11139"/>
    <x:n v="12047"/>
    <x:s v="dbesar"/>
    <x:n v="37"/>
    <x:n v="240"/>
    <x:n v="6274.3294100822"/>
    <x:n v="1505839.0584197282"/>
  </x:r>
  <x:r>
    <x:x v="1"/>
    <x:n v="11140"/>
    <x:n v="12048"/>
    <x:s v="dbesar"/>
    <x:n v="37"/>
    <x:n v="240"/>
    <x:n v="6274.3294100822"/>
    <x:n v="1505839.0584197282"/>
  </x:r>
  <x:r>
    <x:x v="1"/>
    <x:n v="11141"/>
    <x:n v="12049"/>
    <x:s v="dbesar"/>
    <x:n v="35"/>
    <x:n v="240"/>
    <x:n v="6274.3294100822"/>
    <x:n v="1505839.0584197282"/>
  </x:r>
  <x:r>
    <x:x v="1"/>
    <x:n v="11142"/>
    <x:n v="12050"/>
    <x:s v="dbesar"/>
    <x:n v="35"/>
    <x:n v="240"/>
    <x:n v="6274.3294100822"/>
    <x:n v="1505839.0584197282"/>
  </x:r>
  <x:r>
    <x:x v="1"/>
    <x:n v="11143"/>
    <x:n v="12051"/>
    <x:s v="dbesar"/>
    <x:n v="37"/>
    <x:n v="240"/>
    <x:n v="6274.3294100822"/>
    <x:n v="1505839.0584197282"/>
  </x:r>
  <x:r>
    <x:x v="1"/>
    <x:n v="11401"/>
    <x:n v="12052"/>
    <x:s v="dbesar"/>
    <x:n v="38"/>
    <x:n v="240"/>
    <x:n v="6274.3294100822"/>
    <x:n v="1505839.0584197282"/>
  </x:r>
  <x:r>
    <x:x v="1"/>
    <x:n v="11402"/>
    <x:n v="12053"/>
    <x:s v="dbesar"/>
    <x:n v="32"/>
    <x:n v="240"/>
    <x:n v="6274.3294100822"/>
    <x:n v="1505839.0584197282"/>
  </x:r>
  <x:r>
    <x:x v="1"/>
    <x:n v="11403"/>
    <x:n v="12054"/>
    <x:s v="dbesar"/>
    <x:n v="34"/>
    <x:n v="240"/>
    <x:n v="6274.3294100822"/>
    <x:n v="1505839.0584197282"/>
  </x:r>
  <x:r>
    <x:x v="1"/>
    <x:n v="11404"/>
    <x:n v="12055"/>
    <x:s v="dbesar"/>
    <x:n v="38"/>
    <x:n v="240"/>
    <x:n v="6274.3294100822"/>
    <x:n v="1505839.0584197282"/>
  </x:r>
  <x:r>
    <x:x v="1"/>
    <x:n v="11405"/>
    <x:n v="12056"/>
    <x:s v="dbesar"/>
    <x:n v="35"/>
    <x:n v="240"/>
    <x:n v="6274.3294100822"/>
    <x:n v="1505839.0584197282"/>
  </x:r>
  <x:r>
    <x:x v="1"/>
    <x:n v="11406"/>
    <x:n v="12057"/>
    <x:s v="dbesar"/>
    <x:n v="33"/>
    <x:n v="240"/>
    <x:n v="6274.3294100822"/>
    <x:n v="1505839.0584197282"/>
  </x:r>
  <x:r>
    <x:x v="1"/>
    <x:n v="11407"/>
    <x:n v="12058"/>
    <x:s v="dbesar"/>
    <x:n v="32"/>
    <x:n v="240"/>
    <x:n v="6274.3294100822"/>
    <x:n v="1505839.0584197282"/>
  </x:r>
  <x:r>
    <x:x v="1"/>
    <x:n v="11408"/>
    <x:n v="12059"/>
    <x:s v="dbesar"/>
    <x:n v="40"/>
    <x:n v="240"/>
    <x:n v="6274.3294100822"/>
    <x:n v="1505839.0584197282"/>
  </x:r>
  <x:r>
    <x:x v="1"/>
    <x:n v="11409"/>
    <x:n v="12060"/>
    <x:s v="dbesar"/>
    <x:n v="36"/>
    <x:n v="240"/>
    <x:n v="6274.3294100822"/>
    <x:n v="1505839.0584197282"/>
  </x:r>
  <x:r>
    <x:x v="1"/>
    <x:n v="11410"/>
    <x:n v="12061"/>
    <x:s v="dbesar"/>
    <x:n v="36"/>
    <x:n v="240"/>
    <x:n v="6274.3294100822"/>
    <x:n v="1505839.0584197282"/>
  </x:r>
  <x:r>
    <x:x v="1"/>
    <x:n v="11411"/>
    <x:n v="12062"/>
    <x:s v="dbesar"/>
    <x:n v="37"/>
    <x:n v="240"/>
    <x:n v="6274.3294100822"/>
    <x:n v="1505839.0584197282"/>
  </x:r>
  <x:r>
    <x:x v="1"/>
    <x:n v="11412"/>
    <x:n v="12063"/>
    <x:s v="dbesar"/>
    <x:n v="39"/>
    <x:n v="240"/>
    <x:n v="6274.3294100822"/>
    <x:n v="1505839.0584197282"/>
  </x:r>
  <x:r>
    <x:x v="1"/>
    <x:n v="11413"/>
    <x:n v="12064"/>
    <x:s v="dbesar"/>
    <x:n v="35"/>
    <x:n v="240"/>
    <x:n v="6274.3294100822"/>
    <x:n v="1505839.0584197282"/>
  </x:r>
  <x:r>
    <x:x v="1"/>
    <x:n v="11414"/>
    <x:n v="12065"/>
    <x:s v="dbesar"/>
    <x:n v="40"/>
    <x:n v="240"/>
    <x:n v="6274.3294100822"/>
    <x:n v="1505839.0584197282"/>
  </x:r>
  <x:r>
    <x:x v="1"/>
    <x:n v="11415"/>
    <x:n v="12066"/>
    <x:s v="dbesar"/>
    <x:n v="42"/>
    <x:n v="240"/>
    <x:n v="6274.3294100822"/>
    <x:n v="1505839.0584197282"/>
  </x:r>
  <x:r>
    <x:x v="1"/>
    <x:n v="11416"/>
    <x:n v="12067"/>
    <x:s v="dbesar"/>
    <x:n v="36"/>
    <x:n v="240"/>
    <x:n v="6274.3294100822"/>
    <x:n v="1505839.0584197282"/>
  </x:r>
  <x:r>
    <x:x v="1"/>
    <x:n v="11417"/>
    <x:n v="12068"/>
    <x:s v="dbesar"/>
    <x:n v="34"/>
    <x:n v="240"/>
    <x:n v="6274.3294100822"/>
    <x:n v="1505839.0584197282"/>
  </x:r>
  <x:r>
    <x:x v="1"/>
    <x:n v="11418"/>
    <x:n v="12069"/>
    <x:s v="dbesar"/>
    <x:n v="37"/>
    <x:n v="240"/>
    <x:n v="6274.3294100822"/>
    <x:n v="1505839.0584197282"/>
  </x:r>
  <x:r>
    <x:x v="1"/>
    <x:n v="11419"/>
    <x:n v="12070"/>
    <x:s v="dbesar"/>
    <x:n v="39"/>
    <x:n v="240"/>
    <x:n v="6274.3294100822"/>
    <x:n v="1505839.0584197282"/>
  </x:r>
  <x:r>
    <x:x v="1"/>
    <x:n v="11420"/>
    <x:n v="12071"/>
    <x:s v="dbesar"/>
    <x:n v="41"/>
    <x:n v="240"/>
    <x:n v="6274.3294100822"/>
    <x:n v="1505839.0584197282"/>
  </x:r>
  <x:r>
    <x:x v="1"/>
    <x:n v="11421"/>
    <x:n v="12072"/>
    <x:s v="dbesar"/>
    <x:n v="37"/>
    <x:n v="240"/>
    <x:n v="6274.3294100822"/>
    <x:n v="1505839.0584197282"/>
  </x:r>
  <x:r>
    <x:x v="1"/>
    <x:n v="11422"/>
    <x:n v="12073"/>
    <x:s v="dbesar"/>
    <x:n v="38"/>
    <x:n v="240"/>
    <x:n v="6274.3294100822"/>
    <x:n v="1505839.0584197282"/>
  </x:r>
  <x:r>
    <x:x v="1"/>
    <x:n v="11423"/>
    <x:n v="12074"/>
    <x:s v="dbesar"/>
    <x:n v="39"/>
    <x:n v="240"/>
    <x:n v="6274.3294100822"/>
    <x:n v="1505839.0584197282"/>
  </x:r>
  <x:r>
    <x:x v="1"/>
    <x:n v="11424"/>
    <x:n v="12075"/>
    <x:s v="dbesar"/>
    <x:n v="38"/>
    <x:n v="240"/>
    <x:n v="6274.3294100822"/>
    <x:n v="1505839.0584197282"/>
  </x:r>
  <x:r>
    <x:x v="1"/>
    <x:n v="11425"/>
    <x:n v="12076"/>
    <x:s v="dbesar"/>
    <x:n v="35"/>
    <x:n v="240"/>
    <x:n v="6274.3294100822"/>
    <x:n v="1505839.0584197282"/>
  </x:r>
  <x:r>
    <x:x v="1"/>
    <x:n v="11426"/>
    <x:n v="12077"/>
    <x:s v="dbesar"/>
    <x:n v="40"/>
    <x:n v="240"/>
    <x:n v="6274.3294100822"/>
    <x:n v="1505839.0584197282"/>
  </x:r>
  <x:r>
    <x:x v="1"/>
    <x:n v="11427"/>
    <x:n v="12078"/>
    <x:s v="dbesar"/>
    <x:n v="38"/>
    <x:n v="240"/>
    <x:n v="6274.3294100822"/>
    <x:n v="1505839.0584197282"/>
  </x:r>
  <x:r>
    <x:x v="1"/>
    <x:n v="11428"/>
    <x:n v="12079"/>
    <x:s v="dbesar"/>
    <x:n v="41"/>
    <x:n v="240"/>
    <x:n v="6274.3294100822"/>
    <x:n v="1505839.0584197282"/>
  </x:r>
  <x:r>
    <x:x v="1"/>
    <x:n v="11429"/>
    <x:n v="12080"/>
    <x:s v="dbesar"/>
    <x:n v="39"/>
    <x:n v="240"/>
    <x:n v="6274.3294100822"/>
    <x:n v="1505839.0584197282"/>
  </x:r>
  <x:r>
    <x:x v="1"/>
    <x:n v="11430"/>
    <x:n v="12081"/>
    <x:s v="dbesar"/>
    <x:n v="40"/>
    <x:n v="240"/>
    <x:n v="6274.3294100822"/>
    <x:n v="1505839.0584197282"/>
  </x:r>
  <x:r>
    <x:x v="1"/>
    <x:n v="11431"/>
    <x:n v="12082"/>
    <x:s v="dbesar"/>
    <x:n v="39"/>
    <x:n v="240"/>
    <x:n v="6274.3294100822"/>
    <x:n v="1505839.0584197282"/>
  </x:r>
  <x:r>
    <x:x v="1"/>
    <x:n v="11432"/>
    <x:n v="12083"/>
    <x:s v="dsuper"/>
    <x:n v="31"/>
    <x:n v="218"/>
    <x:n v="6274.3294100822"/>
    <x:n v="1367803.8113979197"/>
  </x:r>
  <x:r>
    <x:x v="1"/>
    <x:n v="11433"/>
    <x:n v="12084"/>
    <x:s v="pth34"/>
    <x:n v="45"/>
    <x:n v="240"/>
    <x:n v="6274.3294100822"/>
    <x:n v="1505839.0584197282"/>
  </x:r>
  <x:r>
    <x:x v="1"/>
    <x:n v="11434"/>
    <x:n v="12085"/>
    <x:s v="kaki"/>
    <x:n v="0"/>
    <x:n v="120"/>
    <x:n v="6274.3294100822"/>
    <x:n v="752919.5292098641"/>
  </x:r>
  <x:r>
    <x:x v="1"/>
    <x:n v="11435"/>
    <x:n v="12086"/>
    <x:s v="hcr"/>
    <x:n v="0"/>
    <x:n v="300"/>
    <x:n v="6274.3294100822"/>
    <x:n v="1882298.82302466"/>
  </x:r>
  <x:r>
    <x:x v="2"/>
    <x:n v="6828"/>
    <x:n v="11753"/>
    <x:s v="dbesar"/>
    <x:n v="30"/>
    <x:n v="240"/>
    <x:n v="7272.382924803"/>
    <x:n v="1745371.90195272"/>
  </x:r>
  <x:r>
    <x:x v="2"/>
    <x:n v="10630"/>
    <x:n v="11754"/>
    <x:s v="dbesarkuning"/>
    <x:n v="30"/>
    <x:n v="240"/>
    <x:n v="5691.0353520252"/>
    <x:n v="1365848.484486048"/>
  </x:r>
  <x:r>
    <x:x v="2"/>
    <x:n v="10631"/>
    <x:n v="11755"/>
    <x:s v="dbesarkuning"/>
    <x:n v="28"/>
    <x:n v="240"/>
    <x:n v="5691.0353520252"/>
    <x:n v="1365848.484486048"/>
  </x:r>
  <x:r>
    <x:x v="2"/>
    <x:n v="10632"/>
    <x:n v="11756"/>
    <x:s v="dbesarkuning"/>
    <x:n v="29"/>
    <x:n v="240"/>
    <x:n v="5691.0353520252"/>
    <x:n v="1365848.484486048"/>
  </x:r>
  <x:r>
    <x:x v="2"/>
    <x:n v="10633"/>
    <x:n v="11757"/>
    <x:s v="dbesarkuning"/>
    <x:n v="30"/>
    <x:n v="240"/>
    <x:n v="5691.0353520252"/>
    <x:n v="1365848.484486048"/>
  </x:r>
  <x:r>
    <x:x v="2"/>
    <x:n v="10634"/>
    <x:n v="11758"/>
    <x:s v="dbesarkuning"/>
    <x:n v="25"/>
    <x:n v="240"/>
    <x:n v="5691.0353520252"/>
    <x:n v="1365848.484486048"/>
  </x:r>
  <x:r>
    <x:x v="2"/>
    <x:n v="10635"/>
    <x:n v="11759"/>
    <x:s v="dbesarkuning"/>
    <x:n v="26"/>
    <x:n v="240"/>
    <x:n v="5691.0353520252"/>
    <x:n v="1365848.484486048"/>
  </x:r>
  <x:r>
    <x:x v="2"/>
    <x:n v="10636"/>
    <x:n v="11760"/>
    <x:s v="dbesarkuning"/>
    <x:n v="28"/>
    <x:n v="240"/>
    <x:n v="5691.0353520252"/>
    <x:n v="1365848.484486048"/>
  </x:r>
  <x:r>
    <x:x v="2"/>
    <x:n v="10637"/>
    <x:n v="11761"/>
    <x:s v="dbesarkuning"/>
    <x:n v="21"/>
    <x:n v="240"/>
    <x:n v="5691.0353520252"/>
    <x:n v="1365848.484486048"/>
  </x:r>
  <x:r>
    <x:x v="2"/>
    <x:n v="10638"/>
    <x:n v="11762"/>
    <x:s v="dbesarkuning"/>
    <x:n v="29"/>
    <x:n v="240"/>
    <x:n v="5691.0353520252"/>
    <x:n v="1365848.484486048"/>
  </x:r>
  <x:r>
    <x:x v="2"/>
    <x:n v="10639"/>
    <x:n v="11763"/>
    <x:s v="dbesarkuning"/>
    <x:n v="21"/>
    <x:n v="240"/>
    <x:n v="5691.0353520252"/>
    <x:n v="1365848.484486048"/>
  </x:r>
  <x:r>
    <x:x v="2"/>
    <x:n v="10640"/>
    <x:n v="11764"/>
    <x:s v="dbesarkuning"/>
    <x:n v="31"/>
    <x:n v="240"/>
    <x:n v="5691.0353520252"/>
    <x:n v="1365848.484486048"/>
  </x:r>
  <x:r>
    <x:x v="2"/>
    <x:n v="10641"/>
    <x:n v="11765"/>
    <x:s v="dbesarkuning"/>
    <x:n v="35"/>
    <x:n v="240"/>
    <x:n v="5691.0353520252"/>
    <x:n v="1365848.484486048"/>
  </x:r>
  <x:r>
    <x:x v="2"/>
    <x:n v="10642"/>
    <x:n v="11766"/>
    <x:s v="dbesarkuning"/>
    <x:n v="33"/>
    <x:n v="240"/>
    <x:n v="5691.0353520252"/>
    <x:n v="1365848.484486048"/>
  </x:r>
  <x:r>
    <x:x v="2"/>
    <x:n v="10643"/>
    <x:n v="11767"/>
    <x:s v="dbesarkuning"/>
    <x:n v="28"/>
    <x:n v="240"/>
    <x:n v="5691.0353520252"/>
    <x:n v="1365848.484486048"/>
  </x:r>
  <x:r>
    <x:x v="2"/>
    <x:n v="10644"/>
    <x:n v="11768"/>
    <x:s v="dbesarkuning"/>
    <x:n v="25"/>
    <x:n v="240"/>
    <x:n v="5691.0353520252"/>
    <x:n v="1365848.484486048"/>
  </x:r>
  <x:r>
    <x:x v="2"/>
    <x:n v="10698"/>
    <x:n v="11769"/>
    <x:s v="plbputih"/>
    <x:n v="42"/>
    <x:n v="240"/>
    <x:n v="5691.0353520252"/>
    <x:n v="1365848.484486048"/>
  </x:r>
  <x:r>
    <x:x v="2"/>
    <x:n v="10699"/>
    <x:n v="11770"/>
    <x:s v="plbputih"/>
    <x:n v="42"/>
    <x:n v="240"/>
    <x:n v="5691.0353520252"/>
    <x:n v="1365848.484486048"/>
  </x:r>
  <x:r>
    <x:x v="2"/>
    <x:n v="10704"/>
    <x:n v="11771"/>
    <x:s v="plbputih"/>
    <x:n v="42"/>
    <x:n v="240"/>
    <x:n v="5691.0353520252"/>
    <x:n v="1365848.484486048"/>
  </x:r>
  <x:r>
    <x:x v="2"/>
    <x:n v="10708"/>
    <x:n v="11772"/>
    <x:s v="plbputih"/>
    <x:n v="40"/>
    <x:n v="240"/>
    <x:n v="5691.0353520252"/>
    <x:n v="1365848.484486048"/>
  </x:r>
  <x:r>
    <x:x v="2"/>
    <x:n v="10709"/>
    <x:n v="11773"/>
    <x:s v="plbputih"/>
    <x:n v="41"/>
    <x:n v="240"/>
    <x:n v="5691.0353520252"/>
    <x:n v="1365848.484486048"/>
  </x:r>
  <x:r>
    <x:x v="2"/>
    <x:n v="10710"/>
    <x:n v="11774"/>
    <x:s v="plbputih"/>
    <x:n v="42"/>
    <x:n v="240"/>
    <x:n v="5691.0353520252"/>
    <x:n v="1365848.484486048"/>
  </x:r>
  <x:r>
    <x:x v="2"/>
    <x:n v="10711"/>
    <x:n v="11775"/>
    <x:s v="plbputih"/>
    <x:n v="40"/>
    <x:n v="240"/>
    <x:n v="5691.0353520252"/>
    <x:n v="1365848.484486048"/>
  </x:r>
  <x:r>
    <x:x v="2"/>
    <x:n v="10712"/>
    <x:n v="11776"/>
    <x:s v="plbputih"/>
    <x:n v="40"/>
    <x:n v="240"/>
    <x:n v="5691.0353520252"/>
    <x:n v="1365848.484486048"/>
  </x:r>
  <x:r>
    <x:x v="2"/>
    <x:n v="10713"/>
    <x:n v="11777"/>
    <x:s v="plbputih"/>
    <x:n v="40"/>
    <x:n v="240"/>
    <x:n v="5691.0353520252"/>
    <x:n v="1365848.484486048"/>
  </x:r>
  <x:r>
    <x:x v="2"/>
    <x:n v="10714"/>
    <x:n v="11778"/>
    <x:s v="plbputih"/>
    <x:n v="40"/>
    <x:n v="240"/>
    <x:n v="5691.0353520252"/>
    <x:n v="1365848.484486048"/>
  </x:r>
  <x:r>
    <x:x v="2"/>
    <x:n v="10715"/>
    <x:n v="11779"/>
    <x:s v="plbputih"/>
    <x:n v="40"/>
    <x:n v="240"/>
    <x:n v="5691.0353520252"/>
    <x:n v="1365848.484486048"/>
  </x:r>
  <x:r>
    <x:x v="2"/>
    <x:n v="10716"/>
    <x:n v="11780"/>
    <x:s v="plbkuning"/>
    <x:n v="34"/>
    <x:n v="240"/>
    <x:n v="5691.0353520252"/>
    <x:n v="1365848.484486048"/>
  </x:r>
  <x:r>
    <x:x v="2"/>
    <x:n v="10717"/>
    <x:n v="11781"/>
    <x:s v="plbkuning"/>
    <x:n v="36"/>
    <x:n v="240"/>
    <x:n v="5691.0353520252"/>
    <x:n v="1365848.484486048"/>
  </x:r>
  <x:r>
    <x:x v="2"/>
    <x:n v="10718"/>
    <x:n v="11782"/>
    <x:s v="plbkuning"/>
    <x:n v="25"/>
    <x:n v="150"/>
    <x:n v="5691.0353520252"/>
    <x:n v="853655.3028037801"/>
  </x:r>
  <x:r>
    <x:x v="2"/>
    <x:n v="10720"/>
    <x:n v="11783"/>
    <x:s v="pth3/4putih"/>
    <x:n v="52"/>
    <x:n v="240"/>
    <x:n v="5691.0353520252"/>
    <x:n v="1365848.484486048"/>
  </x:r>
  <x:r>
    <x:x v="2"/>
    <x:n v="10721"/>
    <x:n v="11784"/>
    <x:s v="pth3/4putih"/>
    <x:n v="49"/>
    <x:n v="240"/>
    <x:n v="5691.0353520252"/>
    <x:n v="1365848.484486048"/>
  </x:r>
  <x:r>
    <x:x v="2"/>
    <x:n v="10723"/>
    <x:n v="11785"/>
    <x:s v="pth3/4putih"/>
    <x:n v="44"/>
    <x:n v="240"/>
    <x:n v="5691.0353520252"/>
    <x:n v="1365848.484486048"/>
  </x:r>
  <x:r>
    <x:x v="2"/>
    <x:n v="10724"/>
    <x:n v="11786"/>
    <x:s v="pth3/4putih"/>
    <x:n v="45"/>
    <x:n v="240"/>
    <x:n v="5691.0353520252"/>
    <x:n v="1365848.484486048"/>
  </x:r>
  <x:r>
    <x:x v="2"/>
    <x:n v="10725"/>
    <x:n v="11787"/>
    <x:s v="pth3/4putih"/>
    <x:n v="46"/>
    <x:n v="240"/>
    <x:n v="5691.0353520252"/>
    <x:n v="1365848.484486048"/>
  </x:r>
  <x:r>
    <x:x v="2"/>
    <x:n v="10726"/>
    <x:n v="11788"/>
    <x:s v="pth3/4putih"/>
    <x:n v="47"/>
    <x:n v="240"/>
    <x:n v="5691.0353520252"/>
    <x:n v="1365848.484486048"/>
  </x:r>
  <x:r>
    <x:x v="2"/>
    <x:n v="10727"/>
    <x:n v="11789"/>
    <x:s v="pth3/4putih"/>
    <x:n v="47"/>
    <x:n v="240"/>
    <x:n v="5691.0353520252"/>
    <x:n v="1365848.484486048"/>
  </x:r>
  <x:r>
    <x:x v="2"/>
    <x:n v="10728"/>
    <x:n v="11790"/>
    <x:s v="pth3/4putih"/>
    <x:n v="45"/>
    <x:n v="240"/>
    <x:n v="5691.0353520252"/>
    <x:n v="1365848.484486048"/>
  </x:r>
  <x:r>
    <x:x v="2"/>
    <x:n v="10729"/>
    <x:n v="11791"/>
    <x:s v="pth3/4putih"/>
    <x:n v="42"/>
    <x:n v="240"/>
    <x:n v="5691.0353520252"/>
    <x:n v="1365848.484486048"/>
  </x:r>
  <x:r>
    <x:x v="2"/>
    <x:n v="10731"/>
    <x:n v="11792"/>
    <x:s v="pth3/4putih"/>
    <x:n v="46"/>
    <x:n v="240"/>
    <x:n v="5691.0353520252"/>
    <x:n v="1365848.484486048"/>
  </x:r>
  <x:r>
    <x:x v="2"/>
    <x:n v="10735"/>
    <x:n v="11793"/>
    <x:s v="vbrsputih"/>
    <x:n v="58"/>
    <x:n v="304"/>
    <x:n v="5691.0353520252"/>
    <x:n v="1730074.7470156609"/>
  </x:r>
  <x:r>
    <x:x v="2"/>
    <x:n v="10736"/>
    <x:n v="11794"/>
    <x:s v="vbelangsamar"/>
    <x:n v="40"/>
    <x:n v="280"/>
    <x:n v="5691.0353520252"/>
    <x:n v="1593489.898567056"/>
  </x:r>
  <x:r>
    <x:x v="2"/>
    <x:n v="10737"/>
    <x:n v="11795"/>
    <x:s v="vbelangsamar"/>
    <x:n v="40"/>
    <x:n v="240"/>
    <x:n v="5691.0353520252"/>
    <x:n v="1365848.484486048"/>
  </x:r>
  <x:r>
    <x:x v="2"/>
    <x:n v="10738"/>
    <x:n v="11796"/>
    <x:s v="vbelangsamar"/>
    <x:n v="43"/>
    <x:n v="240"/>
    <x:n v="5691.0353520252"/>
    <x:n v="1365848.484486048"/>
  </x:r>
  <x:r>
    <x:x v="2"/>
    <x:n v="10739"/>
    <x:n v="11797"/>
    <x:s v="vbelangsamar"/>
    <x:n v="40"/>
    <x:n v="240"/>
    <x:n v="5691.0353520252"/>
    <x:n v="1365848.484486048"/>
  </x:r>
  <x:r>
    <x:x v="2"/>
    <x:n v="10740"/>
    <x:n v="11798"/>
    <x:s v="vbelangsamar"/>
    <x:n v="36"/>
    <x:n v="240"/>
    <x:n v="5691.0353520252"/>
    <x:n v="1365848.484486048"/>
  </x:r>
  <x:r>
    <x:x v="2"/>
    <x:n v="10741"/>
    <x:n v="11799"/>
    <x:s v="pthtg"/>
    <x:n v="0"/>
    <x:n v="329"/>
    <x:n v="5691.0353520252"/>
    <x:n v="1872350.6308162909"/>
  </x:r>
  <x:r>
    <x:x v="2"/>
    <x:n v="10742"/>
    <x:n v="11800"/>
    <x:s v="pthtg"/>
    <x:n v="0"/>
    <x:n v="240"/>
    <x:n v="5691.0353520252"/>
    <x:n v="1365848.484486048"/>
  </x:r>
  <x:r>
    <x:x v="2"/>
    <x:n v="10743"/>
    <x:n v="11801"/>
    <x:s v="pthtg"/>
    <x:n v="0"/>
    <x:n v="240"/>
    <x:n v="5691.0353520252"/>
    <x:n v="1365848.484486048"/>
  </x:r>
  <x:r>
    <x:x v="2"/>
    <x:n v="10744"/>
    <x:n v="11802"/>
    <x:s v="pthtg"/>
    <x:n v="0"/>
    <x:n v="240"/>
    <x:n v="5691.0353520252"/>
    <x:n v="1365848.484486048"/>
  </x:r>
  <x:r>
    <x:x v="2"/>
    <x:n v="10745"/>
    <x:n v="11803"/>
    <x:s v="pthtg"/>
    <x:n v="0"/>
    <x:n v="240"/>
    <x:n v="5691.0353520252"/>
    <x:n v="1365848.484486048"/>
  </x:r>
  <x:r>
    <x:x v="2"/>
    <x:n v="10746"/>
    <x:n v="11804"/>
    <x:s v="pthtg"/>
    <x:n v="0"/>
    <x:n v="240"/>
    <x:n v="5691.0353520252"/>
    <x:n v="1365848.484486048"/>
  </x:r>
  <x:r>
    <x:x v="2"/>
    <x:n v="10754"/>
    <x:n v="11805"/>
    <x:s v="dkclovalputih"/>
    <x:n v="42"/>
    <x:n v="240"/>
    <x:n v="5691.0353520252"/>
    <x:n v="1365848.484486048"/>
  </x:r>
  <x:r>
    <x:x v="2"/>
    <x:n v="10755"/>
    <x:n v="11806"/>
    <x:s v="dkclovalputih"/>
    <x:n v="41"/>
    <x:n v="240"/>
    <x:n v="5691.0353520252"/>
    <x:n v="1365848.484486048"/>
  </x:r>
  <x:r>
    <x:x v="2"/>
    <x:n v="10779"/>
    <x:n v="11807"/>
    <x:s v="pth3/4putih"/>
    <x:n v="50"/>
    <x:n v="240"/>
    <x:n v="5691.0353520252"/>
    <x:n v="1365848.484486048"/>
  </x:r>
  <x:r>
    <x:x v="2"/>
    <x:n v="10782"/>
    <x:n v="11808"/>
    <x:s v="pth3/4putih"/>
    <x:n v="52"/>
    <x:n v="240"/>
    <x:n v="5691.0353520252"/>
    <x:n v="1365848.484486048"/>
  </x:r>
  <x:r>
    <x:x v="2"/>
    <x:n v="11225"/>
    <x:n v="11809"/>
    <x:s v="dbesar"/>
    <x:n v="37"/>
    <x:n v="240"/>
    <x:n v="6274.3294100822"/>
    <x:n v="1505839.0584197282"/>
  </x:r>
  <x:r>
    <x:x v="2"/>
    <x:n v="11226"/>
    <x:n v="11810"/>
    <x:s v="dbesar"/>
    <x:n v="35"/>
    <x:n v="240"/>
    <x:n v="6274.3294100822"/>
    <x:n v="1505839.0584197282"/>
  </x:r>
  <x:r>
    <x:x v="2"/>
    <x:n v="11227"/>
    <x:n v="11811"/>
    <x:s v="dbesar"/>
    <x:n v="40"/>
    <x:n v="240"/>
    <x:n v="6274.3294100822"/>
    <x:n v="1505839.0584197282"/>
  </x:r>
  <x:r>
    <x:x v="2"/>
    <x:n v="11228"/>
    <x:n v="11812"/>
    <x:s v="dbesar"/>
    <x:n v="36"/>
    <x:n v="240"/>
    <x:n v="6274.3294100822"/>
    <x:n v="1505839.0584197282"/>
  </x:r>
  <x:r>
    <x:x v="2"/>
    <x:n v="11229"/>
    <x:n v="11813"/>
    <x:s v="dbesar"/>
    <x:n v="37"/>
    <x:n v="240"/>
    <x:n v="6274.3294100822"/>
    <x:n v="1505839.0584197282"/>
  </x:r>
  <x:r>
    <x:x v="2"/>
    <x:n v="11230"/>
    <x:n v="11814"/>
    <x:s v="dbesar"/>
    <x:n v="35"/>
    <x:n v="240"/>
    <x:n v="6274.3294100822"/>
    <x:n v="1505839.0584197282"/>
  </x:r>
  <x:r>
    <x:x v="2"/>
    <x:n v="11231"/>
    <x:n v="11815"/>
    <x:s v="dbesar"/>
    <x:n v="38"/>
    <x:n v="240"/>
    <x:n v="6274.3294100822"/>
    <x:n v="1505839.0584197282"/>
  </x:r>
  <x:r>
    <x:x v="2"/>
    <x:n v="11232"/>
    <x:n v="11816"/>
    <x:s v="dbesar"/>
    <x:n v="40"/>
    <x:n v="240"/>
    <x:n v="6274.3294100822"/>
    <x:n v="1505839.0584197282"/>
  </x:r>
  <x:r>
    <x:x v="2"/>
    <x:n v="11233"/>
    <x:n v="11817"/>
    <x:s v="dbesar"/>
    <x:n v="39"/>
    <x:n v="240"/>
    <x:n v="6274.3294100822"/>
    <x:n v="1505839.0584197282"/>
  </x:r>
  <x:r>
    <x:x v="2"/>
    <x:n v="11234"/>
    <x:n v="11818"/>
    <x:s v="dbesar"/>
    <x:n v="40"/>
    <x:n v="240"/>
    <x:n v="6274.3294100822"/>
    <x:n v="1505839.0584197282"/>
  </x:r>
  <x:r>
    <x:x v="2"/>
    <x:n v="11235"/>
    <x:n v="11819"/>
    <x:s v="dbesar"/>
    <x:n v="40"/>
    <x:n v="240"/>
    <x:n v="6274.3294100822"/>
    <x:n v="1505839.0584197282"/>
  </x:r>
  <x:r>
    <x:x v="2"/>
    <x:n v="11236"/>
    <x:n v="11820"/>
    <x:s v="dbesar"/>
    <x:n v="39"/>
    <x:n v="240"/>
    <x:n v="6274.3294100822"/>
    <x:n v="1505839.0584197282"/>
  </x:r>
  <x:r>
    <x:x v="2"/>
    <x:n v="11237"/>
    <x:n v="11821"/>
    <x:s v="dbesar"/>
    <x:n v="37"/>
    <x:n v="240"/>
    <x:n v="6274.3294100822"/>
    <x:n v="1505839.0584197282"/>
  </x:r>
  <x:r>
    <x:x v="2"/>
    <x:n v="11238"/>
    <x:n v="11822"/>
    <x:s v="dbesar"/>
    <x:n v="40"/>
    <x:n v="240"/>
    <x:n v="6274.3294100822"/>
    <x:n v="1505839.0584197282"/>
  </x:r>
  <x:r>
    <x:x v="2"/>
    <x:n v="11239"/>
    <x:n v="11823"/>
    <x:s v="dbesar"/>
    <x:n v="37"/>
    <x:n v="240"/>
    <x:n v="6274.3294100822"/>
    <x:n v="1505839.0584197282"/>
  </x:r>
  <x:r>
    <x:x v="2"/>
    <x:n v="11240"/>
    <x:n v="11824"/>
    <x:s v="dbesar"/>
    <x:n v="37"/>
    <x:n v="240"/>
    <x:n v="6274.3294100822"/>
    <x:n v="1505839.0584197282"/>
  </x:r>
  <x:r>
    <x:x v="2"/>
    <x:n v="11241"/>
    <x:n v="11825"/>
    <x:s v="dbesar"/>
    <x:n v="35"/>
    <x:n v="240"/>
    <x:n v="6274.3294100822"/>
    <x:n v="1505839.0584197282"/>
  </x:r>
  <x:r>
    <x:x v="2"/>
    <x:n v="11242"/>
    <x:n v="11826"/>
    <x:s v="dbesar"/>
    <x:n v="35"/>
    <x:n v="240"/>
    <x:n v="6274.3294100822"/>
    <x:n v="1505839.0584197282"/>
  </x:r>
  <x:r>
    <x:x v="2"/>
    <x:n v="11243"/>
    <x:n v="11827"/>
    <x:s v="dbesar"/>
    <x:n v="36"/>
    <x:n v="240"/>
    <x:n v="6274.3294100822"/>
    <x:n v="1505839.0584197282"/>
  </x:r>
  <x:r>
    <x:x v="2"/>
    <x:n v="11244"/>
    <x:n v="11828"/>
    <x:s v="dbesar"/>
    <x:n v="36"/>
    <x:n v="240"/>
    <x:n v="6274.3294100822"/>
    <x:n v="1505839.0584197282"/>
  </x:r>
  <x:r>
    <x:x v="2"/>
    <x:n v="11245"/>
    <x:n v="11829"/>
    <x:s v="dbesar"/>
    <x:n v="37"/>
    <x:n v="240"/>
    <x:n v="6274.3294100822"/>
    <x:n v="1505839.0584197282"/>
  </x:r>
  <x:r>
    <x:x v="2"/>
    <x:n v="11246"/>
    <x:n v="11830"/>
    <x:s v="dbesar"/>
    <x:n v="35"/>
    <x:n v="240"/>
    <x:n v="6274.3294100822"/>
    <x:n v="1505839.0584197282"/>
  </x:r>
  <x:r>
    <x:x v="2"/>
    <x:n v="11247"/>
    <x:n v="11831"/>
    <x:s v="dbesar"/>
    <x:n v="39"/>
    <x:n v="240"/>
    <x:n v="6274.3294100822"/>
    <x:n v="1505839.0584197282"/>
  </x:r>
  <x:r>
    <x:x v="2"/>
    <x:n v="11248"/>
    <x:n v="11832"/>
    <x:s v="dbesar"/>
    <x:n v="36"/>
    <x:n v="240"/>
    <x:n v="6274.3294100822"/>
    <x:n v="1505839.0584197282"/>
  </x:r>
  <x:r>
    <x:x v="2"/>
    <x:n v="11249"/>
    <x:n v="11833"/>
    <x:s v="dbesar"/>
    <x:n v="40"/>
    <x:n v="240"/>
    <x:n v="6274.3294100822"/>
    <x:n v="1505839.0584197282"/>
  </x:r>
  <x:r>
    <x:x v="2"/>
    <x:n v="11250"/>
    <x:n v="11834"/>
    <x:s v="dbesar"/>
    <x:n v="40"/>
    <x:n v="240"/>
    <x:n v="6274.3294100822"/>
    <x:n v="1505839.0584197282"/>
  </x:r>
  <x:r>
    <x:x v="2"/>
    <x:n v="11251"/>
    <x:n v="11835"/>
    <x:s v="dbesar"/>
    <x:n v="40"/>
    <x:n v="240"/>
    <x:n v="6274.3294100822"/>
    <x:n v="1505839.0584197282"/>
  </x:r>
  <x:r>
    <x:x v="2"/>
    <x:n v="11252"/>
    <x:n v="11836"/>
    <x:s v="dbesar"/>
    <x:n v="40"/>
    <x:n v="240"/>
    <x:n v="6274.3294100822"/>
    <x:n v="1505839.0584197282"/>
  </x:r>
  <x:r>
    <x:x v="2"/>
    <x:n v="11253"/>
    <x:n v="11837"/>
    <x:s v="dbesar"/>
    <x:n v="37"/>
    <x:n v="240"/>
    <x:n v="6274.3294100822"/>
    <x:n v="1505839.0584197282"/>
  </x:r>
  <x:r>
    <x:x v="2"/>
    <x:n v="11254"/>
    <x:n v="11838"/>
    <x:s v="dbesar"/>
    <x:n v="37"/>
    <x:n v="240"/>
    <x:n v="6274.3294100822"/>
    <x:n v="1505839.0584197282"/>
  </x:r>
  <x:r>
    <x:x v="2"/>
    <x:n v="11255"/>
    <x:n v="11839"/>
    <x:s v="dbesar"/>
    <x:n v="38"/>
    <x:n v="240"/>
    <x:n v="6274.3294100822"/>
    <x:n v="1505839.0584197282"/>
  </x:r>
  <x:r>
    <x:x v="2"/>
    <x:n v="11256"/>
    <x:n v="11840"/>
    <x:s v="dbesar"/>
    <x:n v="39"/>
    <x:n v="240"/>
    <x:n v="6274.3294100822"/>
    <x:n v="1505839.0584197282"/>
  </x:r>
  <x:r>
    <x:x v="2"/>
    <x:n v="11257"/>
    <x:n v="11841"/>
    <x:s v="dbesar"/>
    <x:n v="37"/>
    <x:n v="240"/>
    <x:n v="6274.3294100822"/>
    <x:n v="1505839.0584197282"/>
  </x:r>
  <x:r>
    <x:x v="2"/>
    <x:n v="11258"/>
    <x:n v="11842"/>
    <x:s v="dbesar"/>
    <x:n v="40"/>
    <x:n v="240"/>
    <x:n v="6274.3294100822"/>
    <x:n v="1505839.0584197282"/>
  </x:r>
  <x:r>
    <x:x v="2"/>
    <x:n v="11259"/>
    <x:n v="11843"/>
    <x:s v="dbesar"/>
    <x:n v="38"/>
    <x:n v="240"/>
    <x:n v="6274.3294100822"/>
    <x:n v="1505839.0584197282"/>
  </x:r>
  <x:r>
    <x:x v="2"/>
    <x:n v="11260"/>
    <x:n v="11844"/>
    <x:s v="dbesar"/>
    <x:n v="38"/>
    <x:n v="240"/>
    <x:n v="6274.3294100822"/>
    <x:n v="1505839.0584197282"/>
  </x:r>
  <x:r>
    <x:x v="2"/>
    <x:n v="11261"/>
    <x:n v="11845"/>
    <x:s v="dbesar"/>
    <x:n v="35"/>
    <x:n v="240"/>
    <x:n v="6274.3294100822"/>
    <x:n v="1505839.0584197282"/>
  </x:r>
  <x:r>
    <x:x v="2"/>
    <x:n v="11262"/>
    <x:n v="11846"/>
    <x:s v="dbesar"/>
    <x:n v="35"/>
    <x:n v="240"/>
    <x:n v="6274.3294100822"/>
    <x:n v="1505839.0584197282"/>
  </x:r>
  <x:r>
    <x:x v="2"/>
    <x:n v="11263"/>
    <x:n v="11847"/>
    <x:s v="dbesar"/>
    <x:n v="35"/>
    <x:n v="240"/>
    <x:n v="6274.3294100822"/>
    <x:n v="1505839.0584197282"/>
  </x:r>
  <x:r>
    <x:x v="2"/>
    <x:n v="11264"/>
    <x:n v="11848"/>
    <x:s v="dbesar"/>
    <x:n v="35"/>
    <x:n v="240"/>
    <x:n v="6274.3294100822"/>
    <x:n v="1505839.0584197282"/>
  </x:r>
  <x:r>
    <x:x v="2"/>
    <x:n v="11265"/>
    <x:n v="11849"/>
    <x:s v="dbesar"/>
    <x:n v="35"/>
    <x:n v="240"/>
    <x:n v="6274.3294100822"/>
    <x:n v="1505839.0584197282"/>
  </x:r>
  <x:r>
    <x:x v="2"/>
    <x:n v="11266"/>
    <x:n v="11850"/>
    <x:s v="dbesar"/>
    <x:n v="35"/>
    <x:n v="240"/>
    <x:n v="6274.3294100822"/>
    <x:n v="1505839.0584197282"/>
  </x:r>
  <x:r>
    <x:x v="2"/>
    <x:n v="11267"/>
    <x:n v="11851"/>
    <x:s v="dbesar"/>
    <x:n v="37"/>
    <x:n v="240"/>
    <x:n v="6274.3294100822"/>
    <x:n v="1505839.0584197282"/>
  </x:r>
  <x:r>
    <x:x v="2"/>
    <x:n v="11268"/>
    <x:n v="11852"/>
    <x:s v="dbesar"/>
    <x:n v="36"/>
    <x:n v="240"/>
    <x:n v="6274.3294100822"/>
    <x:n v="1505839.0584197282"/>
  </x:r>
  <x:r>
    <x:x v="2"/>
    <x:n v="11269"/>
    <x:n v="11853"/>
    <x:s v="dbesar"/>
    <x:n v="35"/>
    <x:n v="240"/>
    <x:n v="6274.3294100822"/>
    <x:n v="1505839.0584197282"/>
  </x:r>
  <x:r>
    <x:x v="2"/>
    <x:n v="11270"/>
    <x:n v="11854"/>
    <x:s v="dbesar"/>
    <x:n v="35"/>
    <x:n v="240"/>
    <x:n v="6274.3294100822"/>
    <x:n v="1505839.0584197282"/>
  </x:r>
  <x:r>
    <x:x v="2"/>
    <x:n v="11271"/>
    <x:n v="11855"/>
    <x:s v="dbesar"/>
    <x:n v="35"/>
    <x:n v="240"/>
    <x:n v="6274.3294100822"/>
    <x:n v="1505839.0584197282"/>
  </x:r>
  <x:r>
    <x:x v="2"/>
    <x:n v="11272"/>
    <x:n v="11856"/>
    <x:s v="dbesar"/>
    <x:n v="35"/>
    <x:n v="240"/>
    <x:n v="6274.3294100822"/>
    <x:n v="1505839.0584197282"/>
  </x:r>
  <x:r>
    <x:x v="2"/>
    <x:n v="11273"/>
    <x:n v="11857"/>
    <x:s v="dbesar"/>
    <x:n v="35"/>
    <x:n v="240"/>
    <x:n v="6274.3294100822"/>
    <x:n v="1505839.0584197282"/>
  </x:r>
  <x:r>
    <x:x v="2"/>
    <x:n v="11274"/>
    <x:n v="11858"/>
    <x:s v="dsuper"/>
    <x:n v="22"/>
    <x:n v="150"/>
    <x:n v="6274.3294100822"/>
    <x:n v="941149.41151233"/>
  </x:r>
  <x:r>
    <x:x v="2"/>
    <x:n v="11275"/>
    <x:n v="11859"/>
    <x:s v="dsuper"/>
    <x:n v="23"/>
    <x:n v="150"/>
    <x:n v="6274.3294100822"/>
    <x:n v="941149.41151233"/>
  </x:r>
  <x:r>
    <x:x v="2"/>
    <x:n v="11276"/>
    <x:n v="11860"/>
    <x:s v="dsuper"/>
    <x:n v="24"/>
    <x:n v="150"/>
    <x:n v="6274.3294100822"/>
    <x:n v="941149.41151233"/>
  </x:r>
  <x:r>
    <x:x v="2"/>
    <x:n v="11277"/>
    <x:n v="11861"/>
    <x:s v="dsuper"/>
    <x:n v="23"/>
    <x:n v="150"/>
    <x:n v="6274.3294100822"/>
    <x:n v="941149.41151233"/>
  </x:r>
  <x:r>
    <x:x v="2"/>
    <x:n v="11278"/>
    <x:n v="11862"/>
    <x:s v="dsuper"/>
    <x:n v="22"/>
    <x:n v="150"/>
    <x:n v="6274.3294100822"/>
    <x:n v="941149.41151233"/>
  </x:r>
  <x:r>
    <x:x v="2"/>
    <x:n v="11279"/>
    <x:n v="11863"/>
    <x:s v="dsuper"/>
    <x:n v="23"/>
    <x:n v="150"/>
    <x:n v="6274.3294100822"/>
    <x:n v="941149.41151233"/>
  </x:r>
  <x:r>
    <x:x v="2"/>
    <x:n v="11280"/>
    <x:n v="11864"/>
    <x:s v="pth34"/>
    <x:n v="48"/>
    <x:n v="240"/>
    <x:n v="6274.3294100822"/>
    <x:n v="1505839.0584197282"/>
  </x:r>
  <x:r>
    <x:x v="2"/>
    <x:n v="11281"/>
    <x:n v="11865"/>
    <x:s v="pth34"/>
    <x:n v="43"/>
    <x:n v="240"/>
    <x:n v="6274.3294100822"/>
    <x:n v="1505839.0584197282"/>
  </x:r>
  <x:r>
    <x:x v="2"/>
    <x:n v="11282"/>
    <x:n v="11866"/>
    <x:s v="pth34"/>
    <x:n v="46"/>
    <x:n v="240"/>
    <x:n v="6274.3294100822"/>
    <x:n v="1505839.0584197282"/>
  </x:r>
  <x:r>
    <x:x v="2"/>
    <x:n v="11283"/>
    <x:n v="11867"/>
    <x:s v="pth34"/>
    <x:n v="46"/>
    <x:n v="240"/>
    <x:n v="6274.3294100822"/>
    <x:n v="1505839.0584197282"/>
  </x:r>
  <x:r>
    <x:x v="2"/>
    <x:n v="11284"/>
    <x:n v="11868"/>
    <x:s v="pth34"/>
    <x:n v="45"/>
    <x:n v="240"/>
    <x:n v="6274.3294100822"/>
    <x:n v="1505839.0584197282"/>
  </x:r>
  <x:r>
    <x:x v="2"/>
    <x:n v="11285"/>
    <x:n v="11869"/>
    <x:s v="pth34"/>
    <x:n v="46"/>
    <x:n v="240"/>
    <x:n v="6274.3294100822"/>
    <x:n v="1505839.0584197282"/>
  </x:r>
  <x:r>
    <x:x v="2"/>
    <x:n v="11286"/>
    <x:n v="11870"/>
    <x:s v="pth34"/>
    <x:n v="45"/>
    <x:n v="240"/>
    <x:n v="6274.3294100822"/>
    <x:n v="1505839.0584197282"/>
  </x:r>
  <x:r>
    <x:x v="2"/>
    <x:n v="11287"/>
    <x:n v="11871"/>
    <x:s v="pth34"/>
    <x:n v="50"/>
    <x:n v="240"/>
    <x:n v="6274.3294100822"/>
    <x:n v="1505839.0584197282"/>
  </x:r>
  <x:r>
    <x:x v="2"/>
    <x:n v="11288"/>
    <x:n v="11872"/>
    <x:s v="pth34"/>
    <x:n v="46"/>
    <x:n v="240"/>
    <x:n v="6274.3294100822"/>
    <x:n v="1505839.0584197282"/>
  </x:r>
  <x:r>
    <x:x v="2"/>
    <x:n v="11289"/>
    <x:n v="11873"/>
    <x:s v="pth34"/>
    <x:n v="49"/>
    <x:n v="240"/>
    <x:n v="6274.3294100822"/>
    <x:n v="1505839.0584197282"/>
  </x:r>
  <x:r>
    <x:x v="2"/>
    <x:n v="11290"/>
    <x:n v="11874"/>
    <x:s v="pth34"/>
    <x:n v="48"/>
    <x:n v="240"/>
    <x:n v="6274.3294100822"/>
    <x:n v="1505839.0584197282"/>
  </x:r>
  <x:r>
    <x:x v="2"/>
    <x:n v="11291"/>
    <x:n v="11875"/>
    <x:s v="pth34"/>
    <x:n v="48"/>
    <x:n v="240"/>
    <x:n v="6274.3294100822"/>
    <x:n v="1505839.0584197282"/>
  </x:r>
  <x:r>
    <x:x v="2"/>
    <x:n v="11292"/>
    <x:n v="11876"/>
    <x:s v="pth34"/>
    <x:n v="45"/>
    <x:n v="240"/>
    <x:n v="6274.3294100822"/>
    <x:n v="1505839.0584197282"/>
  </x:r>
  <x:r>
    <x:x v="2"/>
    <x:n v="11293"/>
    <x:n v="11877"/>
    <x:s v="pth34"/>
    <x:n v="43"/>
    <x:n v="240"/>
    <x:n v="6274.3294100822"/>
    <x:n v="1505839.0584197282"/>
  </x:r>
  <x:r>
    <x:x v="2"/>
    <x:n v="11294"/>
    <x:n v="11878"/>
    <x:s v="pth34"/>
    <x:n v="44"/>
    <x:n v="240"/>
    <x:n v="6274.3294100822"/>
    <x:n v="1505839.0584197282"/>
  </x:r>
  <x:r>
    <x:x v="2"/>
    <x:n v="11295"/>
    <x:n v="11879"/>
    <x:s v="pth34"/>
    <x:n v="47"/>
    <x:n v="240"/>
    <x:n v="6274.3294100822"/>
    <x:n v="1505839.0584197282"/>
  </x:r>
  <x:r>
    <x:x v="2"/>
    <x:n v="11296"/>
    <x:n v="11880"/>
    <x:s v="pth34"/>
    <x:n v="49"/>
    <x:n v="240"/>
    <x:n v="6274.3294100822"/>
    <x:n v="1505839.0584197282"/>
  </x:r>
  <x:r>
    <x:x v="2"/>
    <x:n v="11297"/>
    <x:n v="11881"/>
    <x:s v="pth34"/>
    <x:n v="45"/>
    <x:n v="240"/>
    <x:n v="6274.3294100822"/>
    <x:n v="1505839.0584197282"/>
  </x:r>
  <x:r>
    <x:x v="2"/>
    <x:n v="11298"/>
    <x:n v="11882"/>
    <x:s v="pth34"/>
    <x:n v="44"/>
    <x:n v="240"/>
    <x:n v="6274.3294100822"/>
    <x:n v="1505839.0584197282"/>
  </x:r>
  <x:r>
    <x:x v="2"/>
    <x:n v="11299"/>
    <x:n v="11883"/>
    <x:s v="pth34"/>
    <x:n v="43"/>
    <x:n v="240"/>
    <x:n v="6274.3294100822"/>
    <x:n v="1505839.0584197282"/>
  </x:r>
  <x:r>
    <x:x v="2"/>
    <x:n v="11300"/>
    <x:n v="11884"/>
    <x:s v="pth34"/>
    <x:n v="46"/>
    <x:n v="240"/>
    <x:n v="6274.3294100822"/>
    <x:n v="1505839.0584197282"/>
  </x:r>
  <x:r>
    <x:x v="2"/>
    <x:n v="11301"/>
    <x:n v="11885"/>
    <x:s v="pth34"/>
    <x:n v="46"/>
    <x:n v="240"/>
    <x:n v="6274.3294100822"/>
    <x:n v="1505839.0584197282"/>
  </x:r>
  <x:r>
    <x:x v="2"/>
    <x:n v="11302"/>
    <x:n v="11886"/>
    <x:s v="pth34"/>
    <x:n v="49"/>
    <x:n v="240"/>
    <x:n v="6274.3294100822"/>
    <x:n v="1505839.0584197282"/>
  </x:r>
  <x:r>
    <x:x v="2"/>
    <x:n v="11303"/>
    <x:n v="11887"/>
    <x:s v="pth34"/>
    <x:n v="50"/>
    <x:n v="240"/>
    <x:n v="6274.3294100822"/>
    <x:n v="1505839.0584197282"/>
  </x:r>
  <x:r>
    <x:x v="2"/>
    <x:n v="11304"/>
    <x:n v="11888"/>
    <x:s v="pth34"/>
    <x:n v="48"/>
    <x:n v="240"/>
    <x:n v="6274.3294100822"/>
    <x:n v="1505839.0584197282"/>
  </x:r>
  <x:r>
    <x:x v="2"/>
    <x:n v="11305"/>
    <x:n v="11889"/>
    <x:s v="pth34"/>
    <x:n v="47"/>
    <x:n v="240"/>
    <x:n v="6274.3294100822"/>
    <x:n v="1505839.0584197282"/>
  </x:r>
  <x:r>
    <x:x v="2"/>
    <x:n v="11306"/>
    <x:n v="11890"/>
    <x:s v="pth34"/>
    <x:n v="50"/>
    <x:n v="240"/>
    <x:n v="6274.3294100822"/>
    <x:n v="1505839.0584197282"/>
  </x:r>
  <x:r>
    <x:x v="2"/>
    <x:n v="11307"/>
    <x:n v="11891"/>
    <x:s v="pth34"/>
    <x:n v="51"/>
    <x:n v="240"/>
    <x:n v="6274.3294100822"/>
    <x:n v="1505839.0584197282"/>
  </x:r>
  <x:r>
    <x:x v="2"/>
    <x:n v="11366"/>
    <x:n v="11892"/>
    <x:s v="dbesar"/>
    <x:n v="37"/>
    <x:n v="240"/>
    <x:n v="6274.3294100822"/>
    <x:n v="1505839.0584197282"/>
  </x:r>
  <x:r>
    <x:x v="2"/>
    <x:n v="11367"/>
    <x:n v="11893"/>
    <x:s v="dbesar"/>
    <x:n v="35"/>
    <x:n v="240"/>
    <x:n v="6274.3294100822"/>
    <x:n v="1505839.0584197282"/>
  </x:r>
  <x:r>
    <x:x v="2"/>
    <x:n v="11368"/>
    <x:n v="11894"/>
    <x:s v="dbesar"/>
    <x:n v="36"/>
    <x:n v="240"/>
    <x:n v="6274.3294100822"/>
    <x:n v="1505839.0584197282"/>
  </x:r>
  <x:r>
    <x:x v="2"/>
    <x:n v="11369"/>
    <x:n v="11895"/>
    <x:s v="dbesar"/>
    <x:n v="38"/>
    <x:n v="240"/>
    <x:n v="6274.3294100822"/>
    <x:n v="1505839.0584197282"/>
  </x:r>
  <x:r>
    <x:x v="2"/>
    <x:n v="11370"/>
    <x:n v="11896"/>
    <x:s v="dbesar"/>
    <x:n v="38"/>
    <x:n v="240"/>
    <x:n v="6274.3294100822"/>
    <x:n v="1505839.0584197282"/>
  </x:r>
  <x:r>
    <x:x v="2"/>
    <x:n v="11371"/>
    <x:n v="11897"/>
    <x:s v="dbesar"/>
    <x:n v="39"/>
    <x:n v="240"/>
    <x:n v="6274.3294100822"/>
    <x:n v="1505839.0584197282"/>
  </x:r>
  <x:r>
    <x:x v="2"/>
    <x:n v="11372"/>
    <x:n v="11898"/>
    <x:s v="dbesar"/>
    <x:n v="35"/>
    <x:n v="240"/>
    <x:n v="6274.3294100822"/>
    <x:n v="1505839.0584197282"/>
  </x:r>
  <x:r>
    <x:x v="2"/>
    <x:n v="11373"/>
    <x:n v="11899"/>
    <x:s v="dbesar"/>
    <x:n v="40"/>
    <x:n v="240"/>
    <x:n v="6274.3294100822"/>
    <x:n v="1505839.0584197282"/>
  </x:r>
  <x:r>
    <x:x v="2"/>
    <x:n v="11374"/>
    <x:n v="11900"/>
    <x:s v="dbesar"/>
    <x:n v="38"/>
    <x:n v="240"/>
    <x:n v="6274.3294100822"/>
    <x:n v="1505839.0584197282"/>
  </x:r>
  <x:r>
    <x:x v="2"/>
    <x:n v="11375"/>
    <x:n v="11901"/>
    <x:s v="dbesar"/>
    <x:n v="37"/>
    <x:n v="240"/>
    <x:n v="6274.3294100822"/>
    <x:n v="1505839.0584197282"/>
  </x:r>
  <x:r>
    <x:x v="2"/>
    <x:n v="11376"/>
    <x:n v="11902"/>
    <x:s v="dbesar"/>
    <x:n v="41"/>
    <x:n v="240"/>
    <x:n v="6274.3294100822"/>
    <x:n v="1505839.0584197282"/>
  </x:r>
  <x:r>
    <x:x v="2"/>
    <x:n v="11377"/>
    <x:n v="11903"/>
    <x:s v="dbesar"/>
    <x:n v="42"/>
    <x:n v="240"/>
    <x:n v="6274.3294100822"/>
    <x:n v="1505839.0584197282"/>
  </x:r>
  <x:r>
    <x:x v="2"/>
    <x:n v="11378"/>
    <x:n v="11904"/>
    <x:s v="dbesar"/>
    <x:n v="40"/>
    <x:n v="240"/>
    <x:n v="6274.3294100822"/>
    <x:n v="1505839.0584197282"/>
  </x:r>
  <x:r>
    <x:x v="2"/>
    <x:n v="11379"/>
    <x:n v="11905"/>
    <x:s v="dbesar"/>
    <x:n v="37"/>
    <x:n v="240"/>
    <x:n v="6274.3294100822"/>
    <x:n v="1505839.0584197282"/>
  </x:r>
  <x:r>
    <x:x v="2"/>
    <x:n v="11380"/>
    <x:n v="11906"/>
    <x:s v="dbesar"/>
    <x:n v="41"/>
    <x:n v="240"/>
    <x:n v="6274.3294100822"/>
    <x:n v="1505839.0584197282"/>
  </x:r>
  <x:r>
    <x:x v="2"/>
    <x:n v="11381"/>
    <x:n v="11907"/>
    <x:s v="dbesar"/>
    <x:n v="41"/>
    <x:n v="240"/>
    <x:n v="6274.3294100822"/>
    <x:n v="1505839.0584197282"/>
  </x:r>
  <x:r>
    <x:x v="2"/>
    <x:n v="11382"/>
    <x:n v="11908"/>
    <x:s v="dbesar"/>
    <x:n v="35"/>
    <x:n v="240"/>
    <x:n v="6274.3294100822"/>
    <x:n v="1505839.0584197282"/>
  </x:r>
  <x:r>
    <x:x v="2"/>
    <x:n v="11383"/>
    <x:n v="11909"/>
    <x:s v="dbesar"/>
    <x:n v="34"/>
    <x:n v="240"/>
    <x:n v="6274.3294100822"/>
    <x:n v="1505839.0584197282"/>
  </x:r>
  <x:r>
    <x:x v="2"/>
    <x:n v="11384"/>
    <x:n v="11910"/>
    <x:s v="dbesar"/>
    <x:n v="37"/>
    <x:n v="240"/>
    <x:n v="6274.3294100822"/>
    <x:n v="1505839.0584197282"/>
  </x:r>
  <x:r>
    <x:x v="2"/>
    <x:n v="11385"/>
    <x:n v="11911"/>
    <x:s v="dbesar"/>
    <x:n v="36"/>
    <x:n v="240"/>
    <x:n v="6274.3294100822"/>
    <x:n v="1505839.0584197282"/>
  </x:r>
  <x:r>
    <x:x v="2"/>
    <x:n v="11386"/>
    <x:n v="11912"/>
    <x:s v="dbesar"/>
    <x:n v="34"/>
    <x:n v="240"/>
    <x:n v="6274.3294100822"/>
    <x:n v="1505839.0584197282"/>
  </x:r>
  <x:r>
    <x:x v="2"/>
    <x:n v="11387"/>
    <x:n v="11913"/>
    <x:s v="dbesar"/>
    <x:n v="38"/>
    <x:n v="240"/>
    <x:n v="6274.3294100822"/>
    <x:n v="1505839.0584197282"/>
  </x:r>
  <x:r>
    <x:x v="2"/>
    <x:n v="11388"/>
    <x:n v="11914"/>
    <x:s v="dbesar"/>
    <x:n v="36"/>
    <x:n v="240"/>
    <x:n v="6274.3294100822"/>
    <x:n v="1505839.0584197282"/>
  </x:r>
  <x:r>
    <x:x v="2"/>
    <x:n v="11389"/>
    <x:n v="11915"/>
    <x:s v="dbesar"/>
    <x:n v="41"/>
    <x:n v="240"/>
    <x:n v="6274.3294100822"/>
    <x:n v="1505839.0584197282"/>
  </x:r>
  <x:r>
    <x:x v="2"/>
    <x:n v="11390"/>
    <x:n v="11916"/>
    <x:s v="dbesar"/>
    <x:n v="36"/>
    <x:n v="240"/>
    <x:n v="6274.3294100822"/>
    <x:n v="1505839.0584197282"/>
  </x:r>
  <x:r>
    <x:x v="2"/>
    <x:n v="11391"/>
    <x:n v="11917"/>
    <x:s v="dbesar"/>
    <x:n v="39"/>
    <x:n v="240"/>
    <x:n v="6274.3294100822"/>
    <x:n v="1505839.0584197282"/>
  </x:r>
  <x:r>
    <x:x v="2"/>
    <x:n v="11392"/>
    <x:n v="11918"/>
    <x:s v="dbesar"/>
    <x:n v="37"/>
    <x:n v="240"/>
    <x:n v="6274.3294100822"/>
    <x:n v="1505839.0584197282"/>
  </x:r>
  <x:r>
    <x:x v="2"/>
    <x:n v="11393"/>
    <x:n v="11919"/>
    <x:s v="dbesar"/>
    <x:n v="40"/>
    <x:n v="240"/>
    <x:n v="6274.3294100822"/>
    <x:n v="1505839.0584197282"/>
  </x:r>
  <x:r>
    <x:x v="2"/>
    <x:n v="11394"/>
    <x:n v="11920"/>
    <x:s v="dbesar"/>
    <x:n v="41"/>
    <x:n v="240"/>
    <x:n v="6274.3294100822"/>
    <x:n v="1505839.0584197282"/>
  </x:r>
  <x:r>
    <x:x v="2"/>
    <x:n v="11395"/>
    <x:n v="11921"/>
    <x:s v="dbesar"/>
    <x:n v="38"/>
    <x:n v="240"/>
    <x:n v="6274.3294100822"/>
    <x:n v="1505839.0584197282"/>
  </x:r>
  <x:r>
    <x:x v="2"/>
    <x:n v="11396"/>
    <x:n v="11922"/>
    <x:s v="dbesar"/>
    <x:n v="39"/>
    <x:n v="240"/>
    <x:n v="6274.3294100822"/>
    <x:n v="1505839.0584197282"/>
  </x:r>
  <x:r>
    <x:x v="2"/>
    <x:n v="11397"/>
    <x:n v="11923"/>
    <x:s v="plb"/>
    <x:n v="33"/>
    <x:n v="240"/>
    <x:n v="6274.3294100822"/>
    <x:n v="1505839.0584197282"/>
  </x:r>
  <x:r>
    <x:x v="2"/>
    <x:n v="11398"/>
    <x:n v="11924"/>
    <x:s v="pth34"/>
    <x:n v="53"/>
    <x:n v="240"/>
    <x:n v="6274.3294100822"/>
    <x:n v="1505839.0584197282"/>
  </x:r>
  <x:r>
    <x:x v="2"/>
    <x:n v="11399"/>
    <x:n v="11925"/>
    <x:s v="kaki"/>
    <x:n v="0"/>
    <x:n v="120"/>
    <x:n v="6274.3294100822"/>
    <x:n v="752919.5292098641"/>
  </x:r>
  <x:r>
    <x:x v="2"/>
    <x:n v="11400"/>
    <x:n v="11926"/>
    <x:s v="hcr"/>
    <x:n v="0"/>
    <x:n v="300"/>
    <x:n v="6274.3294100822"/>
    <x:n v="1882298.82302466"/>
  </x:r>
  <x:r>
    <x:x v="3"/>
    <x:n v="11308"/>
    <x:n v="12325"/>
    <x:s v="vbrsbelangsamar"/>
    <x:n v="92"/>
    <x:n v="600"/>
    <x:n v="6274.3294100822"/>
    <x:n v="3764597.64604932"/>
  </x:r>
  <x:r>
    <x:x v="3"/>
    <x:n v="11309"/>
    <x:n v="12326"/>
    <x:s v="vbrsputih"/>
    <x:n v="96"/>
    <x:n v="600"/>
    <x:n v="6274.3294100822"/>
    <x:n v="3764597.64604932"/>
  </x:r>
  <x:r>
    <x:x v="3"/>
    <x:n v="11310"/>
    <x:n v="12327"/>
    <x:s v="vmnsputih"/>
    <x:n v="92"/>
    <x:n v="600"/>
    <x:n v="6274.3294100822"/>
    <x:n v="3764597.64604932"/>
  </x:r>
  <x:r>
    <x:x v="3"/>
    <x:n v="11311"/>
    <x:n v="12328"/>
    <x:s v="vmnsputih"/>
    <x:n v="94"/>
    <x:n v="600"/>
    <x:n v="6274.3294100822"/>
    <x:n v="3764597.64604932"/>
  </x:r>
  <x:r>
    <x:x v="3"/>
    <x:n v="11312"/>
    <x:n v="12329"/>
    <x:s v="plbputih"/>
    <x:n v="96"/>
    <x:n v="600"/>
    <x:n v="6274.3294100822"/>
    <x:n v="3764597.64604932"/>
  </x:r>
  <x:r>
    <x:x v="3"/>
    <x:n v="11313"/>
    <x:n v="12330"/>
    <x:s v="plbputih"/>
    <x:n v="94"/>
    <x:n v="600"/>
    <x:n v="6274.3294100822"/>
    <x:n v="3764597.64604932"/>
  </x:r>
  <x:r>
    <x:x v="3"/>
    <x:n v="11314"/>
    <x:n v="12331"/>
    <x:s v="plbputih"/>
    <x:n v="97"/>
    <x:n v="600"/>
    <x:n v="6274.3294100822"/>
    <x:n v="3764597.64604932"/>
  </x:r>
  <x:r>
    <x:x v="3"/>
    <x:n v="11315"/>
    <x:n v="12332"/>
    <x:s v="plbputih"/>
    <x:n v="108"/>
    <x:n v="600"/>
    <x:n v="6274.3294100822"/>
    <x:n v="3764597.64604932"/>
  </x:r>
  <x:r>
    <x:x v="3"/>
    <x:n v="11316"/>
    <x:n v="12333"/>
    <x:s v="plbputih"/>
    <x:n v="101"/>
    <x:n v="600"/>
    <x:n v="6274.3294100822"/>
    <x:n v="3764597.64604932"/>
  </x:r>
  <x:r>
    <x:x v="3"/>
    <x:n v="11317"/>
    <x:n v="12334"/>
    <x:s v="plbputih"/>
    <x:n v="84"/>
    <x:n v="600"/>
    <x:n v="6274.3294100822"/>
    <x:n v="3764597.64604932"/>
  </x:r>
  <x:r>
    <x:x v="3"/>
    <x:n v="11318"/>
    <x:n v="12335"/>
    <x:s v="dberas"/>
    <x:n v="80"/>
    <x:n v="600"/>
    <x:n v="6274.3294100822"/>
    <x:n v="3764597.64604932"/>
  </x:r>
  <x:r>
    <x:x v="3"/>
    <x:n v="11319"/>
    <x:n v="12336"/>
    <x:s v="dberas"/>
    <x:n v="83"/>
    <x:n v="600"/>
    <x:n v="6274.3294100822"/>
    <x:n v="3764597.64604932"/>
  </x:r>
  <x:r>
    <x:x v="3"/>
    <x:n v="11320"/>
    <x:n v="12337"/>
    <x:s v="dberas"/>
    <x:n v="88"/>
    <x:n v="600"/>
    <x:n v="6274.3294100822"/>
    <x:n v="3764597.64604932"/>
  </x:r>
  <x:r>
    <x:x v="3"/>
    <x:n v="11321"/>
    <x:n v="12338"/>
    <x:s v="dberas"/>
    <x:n v="82"/>
    <x:n v="600"/>
    <x:n v="6274.3294100822"/>
    <x:n v="3764597.64604932"/>
  </x:r>
  <x:r>
    <x:x v="3"/>
    <x:n v="11322"/>
    <x:n v="12339"/>
    <x:s v="dberas"/>
    <x:n v="89"/>
    <x:n v="600"/>
    <x:n v="6274.3294100822"/>
    <x:n v="3764597.64604932"/>
  </x:r>
  <x:r>
    <x:x v="3"/>
    <x:n v="11323"/>
    <x:n v="12340"/>
    <x:s v="dberas"/>
    <x:n v="79"/>
    <x:n v="600"/>
    <x:n v="6274.3294100822"/>
    <x:n v="3764597.64604932"/>
  </x:r>
  <x:r>
    <x:x v="3"/>
    <x:n v="11324"/>
    <x:n v="12341"/>
    <x:s v="dberas"/>
    <x:n v="88"/>
    <x:n v="600"/>
    <x:n v="6274.3294100822"/>
    <x:n v="3764597.64604932"/>
  </x:r>
  <x:r>
    <x:x v="3"/>
    <x:n v="11325"/>
    <x:n v="12342"/>
    <x:s v="dberas"/>
    <x:n v="86"/>
    <x:n v="600"/>
    <x:n v="6274.3294100822"/>
    <x:n v="3764597.64604932"/>
  </x:r>
  <x:r>
    <x:x v="3"/>
    <x:n v="11326"/>
    <x:n v="12343"/>
    <x:s v="dberas"/>
    <x:n v="74"/>
    <x:n v="600"/>
    <x:n v="6274.3294100822"/>
    <x:n v="3764597.64604932"/>
  </x:r>
  <x:r>
    <x:x v="3"/>
    <x:n v="11327"/>
    <x:n v="12344"/>
    <x:s v="dberas"/>
    <x:n v="82"/>
    <x:n v="600"/>
    <x:n v="6274.3294100822"/>
    <x:n v="3764597.64604932"/>
  </x:r>
  <x:r>
    <x:x v="3"/>
    <x:n v="11328"/>
    <x:n v="12345"/>
    <x:s v="dkcloval"/>
    <x:n v="114"/>
    <x:n v="600"/>
    <x:n v="6274.3294100822"/>
    <x:n v="3764597.64604932"/>
  </x:r>
  <x:r>
    <x:x v="3"/>
    <x:n v="11329"/>
    <x:n v="12346"/>
    <x:s v="dkcloval"/>
    <x:n v="110"/>
    <x:n v="600"/>
    <x:n v="6274.3294100822"/>
    <x:n v="3764597.64604932"/>
  </x:r>
  <x:r>
    <x:x v="3"/>
    <x:n v="11330"/>
    <x:n v="12347"/>
    <x:s v="dkcloval"/>
    <x:n v="111"/>
    <x:n v="600"/>
    <x:n v="6274.3294100822"/>
    <x:n v="3764597.64604932"/>
  </x:r>
  <x:r>
    <x:x v="3"/>
    <x:n v="11331"/>
    <x:n v="12348"/>
    <x:s v="dovalbelangsamar"/>
    <x:n v="83"/>
    <x:n v="600"/>
    <x:n v="6274.3294100822"/>
    <x:n v="3764597.64604932"/>
  </x:r>
  <x:r>
    <x:x v="3"/>
    <x:n v="11332"/>
    <x:n v="12349"/>
    <x:s v="dovalbelangsamar"/>
    <x:n v="93"/>
    <x:n v="600"/>
    <x:n v="6274.3294100822"/>
    <x:n v="3764597.64604932"/>
  </x:r>
  <x:r>
    <x:x v="3"/>
    <x:n v="11333"/>
    <x:n v="12350"/>
    <x:s v="dovalbelangsamar"/>
    <x:n v="90"/>
    <x:n v="600"/>
    <x:n v="6274.3294100822"/>
    <x:n v="3764597.64604932"/>
  </x:r>
  <x:r>
    <x:x v="3"/>
    <x:n v="11334"/>
    <x:n v="12351"/>
    <x:s v="dovalbelangsamar"/>
    <x:n v="85"/>
    <x:n v="600"/>
    <x:n v="6274.3294100822"/>
    <x:n v="3764597.64604932"/>
  </x:r>
  <x:r>
    <x:x v="3"/>
    <x:n v="11335"/>
    <x:n v="12352"/>
    <x:s v="dovalbelangsamar"/>
    <x:n v="79"/>
    <x:n v="600"/>
    <x:n v="6274.3294100822"/>
    <x:n v="3764597.64604932"/>
  </x:r>
  <x:r>
    <x:x v="3"/>
    <x:n v="11336"/>
    <x:n v="12353"/>
    <x:s v="dovalbelangsamar"/>
    <x:n v="89"/>
    <x:n v="600"/>
    <x:n v="6274.3294100822"/>
    <x:n v="3764597.64604932"/>
  </x:r>
  <x:r>
    <x:x v="3"/>
    <x:n v="3485"/>
    <x:n v="12354"/>
    <x:s v="VMNS"/>
    <x:n v="20"/>
    <x:n v="120"/>
    <x:n v="8522.382924803"/>
    <x:n v="1022685.95097636"/>
  </x:r>
  <x:r>
    <x:x v="3"/>
    <x:n v="3488"/>
    <x:n v="12355"/>
    <x:s v="VMNS"/>
    <x:n v="12"/>
    <x:n v="75"/>
    <x:n v="8522.382924803"/>
    <x:n v="639178.719360225"/>
  </x:r>
  <x:r>
    <x:x v="3"/>
    <x:n v="3501"/>
    <x:n v="12356"/>
    <x:s v="VBRS"/>
    <x:n v="18"/>
    <x:n v="120"/>
    <x:n v="8522.382924803"/>
    <x:n v="1022685.95097636"/>
  </x:r>
  <x:r>
    <x:x v="3"/>
    <x:n v="3502"/>
    <x:n v="12357"/>
    <x:s v="VBRS"/>
    <x:n v="18"/>
    <x:n v="120"/>
    <x:n v="8522.382924803"/>
    <x:n v="1022685.95097636"/>
  </x:r>
  <x:r>
    <x:x v="3"/>
    <x:n v="3503"/>
    <x:n v="12358"/>
    <x:s v="VBRS"/>
    <x:n v="18"/>
    <x:n v="120"/>
    <x:n v="8522.382924803"/>
    <x:n v="1022685.95097636"/>
  </x:r>
  <x:r>
    <x:x v="3"/>
    <x:n v="3504"/>
    <x:n v="12359"/>
    <x:s v="VBRS"/>
    <x:n v="18"/>
    <x:n v="120"/>
    <x:n v="8397.382924803"/>
    <x:n v="1007685.95097636"/>
  </x:r>
  <x:r>
    <x:x v="3"/>
    <x:n v="3506"/>
    <x:n v="12360"/>
    <x:s v="VBRS"/>
    <x:n v="18"/>
    <x:n v="120"/>
    <x:n v="8397.382924803"/>
    <x:n v="1007685.95097636"/>
  </x:r>
  <x:r>
    <x:x v="3"/>
    <x:n v="3514"/>
    <x:n v="12361"/>
    <x:s v="VBRS"/>
    <x:n v="19"/>
    <x:n v="120"/>
    <x:n v="8522.382924803"/>
    <x:n v="1022685.95097636"/>
  </x:r>
  <x:r>
    <x:x v="3"/>
    <x:n v="3515"/>
    <x:n v="12362"/>
    <x:s v="VBRS"/>
    <x:n v="19"/>
    <x:n v="120"/>
    <x:n v="8522.382924803"/>
    <x:n v="1022685.95097636"/>
  </x:r>
  <x:r>
    <x:x v="3"/>
    <x:n v="3518"/>
    <x:n v="12363"/>
    <x:s v="VBRS"/>
    <x:n v="19"/>
    <x:n v="120"/>
    <x:n v="8397.382924803"/>
    <x:n v="1007685.95097636"/>
  </x:r>
  <x:r>
    <x:x v="3"/>
    <x:n v="3524"/>
    <x:n v="12364"/>
    <x:s v="VBRS"/>
    <x:n v="19"/>
    <x:n v="120"/>
    <x:n v="8522.382924803"/>
    <x:n v="1022685.95097636"/>
  </x:r>
  <x:r>
    <x:x v="3"/>
    <x:n v="3528"/>
    <x:n v="12365"/>
    <x:s v="VBRS"/>
    <x:n v="19"/>
    <x:n v="120"/>
    <x:n v="8522.382924803"/>
    <x:n v="1022685.95097636"/>
  </x:r>
  <x:r>
    <x:x v="3"/>
    <x:n v="3529"/>
    <x:n v="12366"/>
    <x:s v="VBRS"/>
    <x:n v="19"/>
    <x:n v="120"/>
    <x:n v="8522.382924803"/>
    <x:n v="1022685.95097636"/>
  </x:r>
  <x:r>
    <x:x v="3"/>
    <x:n v="3531"/>
    <x:n v="12367"/>
    <x:s v="VBRS"/>
    <x:n v="19"/>
    <x:n v="120"/>
    <x:n v="8355.7162581363"/>
    <x:n v="1002685.9509763562"/>
  </x:r>
  <x:r>
    <x:x v="3"/>
    <x:n v="3546"/>
    <x:n v="12368"/>
    <x:s v="VBRS"/>
    <x:n v="19"/>
    <x:n v="120"/>
    <x:n v="8522.382924803"/>
    <x:n v="1022685.95097636"/>
  </x:r>
  <x:r>
    <x:x v="3"/>
    <x:n v="3547"/>
    <x:n v="12369"/>
    <x:s v="VBRS"/>
    <x:n v="19"/>
    <x:n v="120"/>
    <x:n v="8397.382924803"/>
    <x:n v="1007685.95097636"/>
  </x:r>
  <x:r>
    <x:x v="3"/>
    <x:n v="3550"/>
    <x:n v="12370"/>
    <x:s v="VBRS"/>
    <x:n v="19"/>
    <x:n v="120"/>
    <x:n v="8522.382924803"/>
    <x:n v="1022685.95097636"/>
  </x:r>
  <x:r>
    <x:x v="3"/>
    <x:n v="3553"/>
    <x:n v="12371"/>
    <x:s v="VBRS"/>
    <x:n v="20"/>
    <x:n v="120"/>
    <x:n v="8522.382924803"/>
    <x:n v="1022685.95097636"/>
  </x:r>
  <x:r>
    <x:x v="3"/>
    <x:n v="3555"/>
    <x:n v="12372"/>
    <x:s v="VBRS"/>
    <x:n v="20"/>
    <x:n v="120"/>
    <x:n v="8522.382924803"/>
    <x:n v="1022685.95097636"/>
  </x:r>
  <x:r>
    <x:x v="3"/>
    <x:n v="3556"/>
    <x:n v="12373"/>
    <x:s v="VBRS"/>
    <x:n v="20"/>
    <x:n v="120"/>
    <x:n v="8522.382924803"/>
    <x:n v="1022685.95097636"/>
  </x:r>
  <x:r>
    <x:x v="3"/>
    <x:n v="3559"/>
    <x:n v="12374"/>
    <x:s v="VBRS"/>
    <x:n v="20"/>
    <x:n v="120"/>
    <x:n v="8522.382924803"/>
    <x:n v="1022685.95097636"/>
  </x:r>
  <x:r>
    <x:x v="3"/>
    <x:n v="3568"/>
    <x:n v="12375"/>
    <x:s v="VBRS"/>
    <x:n v="20"/>
    <x:n v="120"/>
    <x:n v="8522.382924803"/>
    <x:n v="1022685.95097636"/>
  </x:r>
  <x:r>
    <x:x v="3"/>
    <x:n v="3569"/>
    <x:n v="12376"/>
    <x:s v="VBRS"/>
    <x:n v="20"/>
    <x:n v="120"/>
    <x:n v="8522.382924803"/>
    <x:n v="1022685.95097636"/>
  </x:r>
  <x:r>
    <x:x v="3"/>
    <x:n v="3572"/>
    <x:n v="12377"/>
    <x:s v="VBRS"/>
    <x:n v="20"/>
    <x:n v="120"/>
    <x:n v="8397.382924803"/>
    <x:n v="1007685.95097636"/>
  </x:r>
  <x:r>
    <x:x v="3"/>
    <x:n v="3573"/>
    <x:n v="12378"/>
    <x:s v="VBRS"/>
    <x:n v="20"/>
    <x:n v="120"/>
    <x:n v="8397.382924803"/>
    <x:n v="1007685.95097636"/>
  </x:r>
  <x:r>
    <x:x v="3"/>
    <x:n v="3575"/>
    <x:n v="12379"/>
    <x:s v="VBRS"/>
    <x:n v="20"/>
    <x:n v="120"/>
    <x:n v="8397.382924803"/>
    <x:n v="1007685.95097636"/>
  </x:r>
  <x:r>
    <x:x v="3"/>
    <x:n v="3576"/>
    <x:n v="12380"/>
    <x:s v="VBRS"/>
    <x:n v="25"/>
    <x:n v="175"/>
    <x:n v="8397.382924803"/>
    <x:n v="1469542.0118405249"/>
  </x:r>
  <x:r>
    <x:x v="3"/>
    <x:n v="3577"/>
    <x:n v="12381"/>
    <x:s v="plb"/>
    <x:n v="19"/>
    <x:n v="120"/>
    <x:n v="8522.382924803"/>
    <x:n v="1022685.95097636"/>
  </x:r>
  <x:r>
    <x:x v="3"/>
    <x:n v="3578"/>
    <x:n v="12382"/>
    <x:s v="plb"/>
    <x:n v="20"/>
    <x:n v="120"/>
    <x:n v="8522.382924803"/>
    <x:n v="1022685.95097636"/>
  </x:r>
  <x:r>
    <x:x v="3"/>
    <x:n v="3579"/>
    <x:n v="12383"/>
    <x:s v="plb"/>
    <x:n v="20"/>
    <x:n v="120"/>
    <x:n v="8397.382924803"/>
    <x:n v="1007685.95097636"/>
  </x:r>
  <x:r>
    <x:x v="3"/>
    <x:n v="3582"/>
    <x:n v="12384"/>
    <x:s v="plb"/>
    <x:n v="20"/>
    <x:n v="120"/>
    <x:n v="8522.382924803"/>
    <x:n v="1022685.95097636"/>
  </x:r>
  <x:r>
    <x:x v="3"/>
    <x:n v="3583"/>
    <x:n v="12385"/>
    <x:s v="plb"/>
    <x:n v="20"/>
    <x:n v="120"/>
    <x:n v="8522.382924803"/>
    <x:n v="1022685.95097636"/>
  </x:r>
  <x:r>
    <x:x v="3"/>
    <x:n v="3586"/>
    <x:n v="12386"/>
    <x:s v="plb"/>
    <x:n v="14"/>
    <x:n v="103"/>
    <x:n v="8522.382924803"/>
    <x:n v="877805.4412547089"/>
  </x:r>
  <x:r>
    <x:x v="3"/>
    <x:n v="3588"/>
    <x:n v="12387"/>
    <x:s v="VSUPER"/>
    <x:n v="25"/>
    <x:n v="150"/>
    <x:n v="8272.382924803"/>
    <x:n v="1240857.43872045"/>
  </x:r>
  <x:r>
    <x:x v="3"/>
    <x:n v="3590"/>
    <x:n v="12388"/>
    <x:s v="VSUPER"/>
    <x:n v="26"/>
    <x:n v="150"/>
    <x:n v="8172.382924803"/>
    <x:n v="1225857.43872045"/>
  </x:r>
  <x:r>
    <x:x v="3"/>
    <x:n v="3591"/>
    <x:n v="12389"/>
    <x:s v="VSUPER"/>
    <x:n v="26"/>
    <x:n v="150"/>
    <x:n v="8272.382924803"/>
    <x:n v="1240857.43872045"/>
  </x:r>
  <x:r>
    <x:x v="3"/>
    <x:n v="3592"/>
    <x:n v="12390"/>
    <x:s v="VSUPER"/>
    <x:n v="24"/>
    <x:n v="150"/>
    <x:n v="8272.382924803"/>
    <x:n v="1240857.43872045"/>
  </x:r>
  <x:r>
    <x:x v="3"/>
    <x:n v="3593"/>
    <x:n v="12391"/>
    <x:s v="VSUPER"/>
    <x:n v="23"/>
    <x:n v="150"/>
    <x:n v="8272.382924803"/>
    <x:n v="1240857.43872045"/>
  </x:r>
  <x:r>
    <x:x v="3"/>
    <x:n v="3594"/>
    <x:n v="12392"/>
    <x:s v="VSUPER"/>
    <x:n v="25"/>
    <x:n v="150"/>
    <x:n v="8272.382924803"/>
    <x:n v="1240857.43872045"/>
  </x:r>
  <x:r>
    <x:x v="3"/>
    <x:n v="3595"/>
    <x:n v="12393"/>
    <x:s v="PTH3/4"/>
    <x:n v="0"/>
    <x:n v="120"/>
    <x:n v="8397.382924803"/>
    <x:n v="1007685.95097636"/>
  </x:r>
  <x:r>
    <x:x v="3"/>
    <x:n v="3597"/>
    <x:n v="12394"/>
    <x:s v="PTH3/4"/>
    <x:n v="0"/>
    <x:n v="120"/>
    <x:n v="8522.382924803"/>
    <x:n v="1022685.95097636"/>
  </x:r>
  <x:r>
    <x:x v="3"/>
    <x:n v="3601"/>
    <x:n v="12395"/>
    <x:s v="PTH3/4"/>
    <x:n v="0"/>
    <x:n v="120"/>
    <x:n v="8397.382924803"/>
    <x:n v="1007685.95097636"/>
  </x:r>
  <x:r>
    <x:x v="3"/>
    <x:n v="6547"/>
    <x:n v="12396"/>
    <x:s v="vmnsputihcrem"/>
    <x:n v="19"/>
    <x:n v="120"/>
    <x:n v="8522.382924803"/>
    <x:n v="1022685.95097636"/>
  </x:r>
  <x:r>
    <x:x v="3"/>
    <x:n v="6552"/>
    <x:n v="12397"/>
    <x:s v="vmnsputihcrem"/>
    <x:n v="19"/>
    <x:n v="120"/>
    <x:n v="8522.382924803"/>
    <x:n v="1022685.95097636"/>
  </x:r>
  <x:r>
    <x:x v="3"/>
    <x:n v="6553"/>
    <x:n v="12398"/>
    <x:s v="vmnsputihcrem"/>
    <x:n v="19"/>
    <x:n v="120"/>
    <x:n v="8522.382924803"/>
    <x:n v="1022685.95097636"/>
  </x:r>
  <x:r>
    <x:x v="3"/>
    <x:n v="6554"/>
    <x:n v="12399"/>
    <x:s v="vmnsputihcrem"/>
    <x:n v="19"/>
    <x:n v="120"/>
    <x:n v="8522.382924803"/>
    <x:n v="1022685.95097636"/>
  </x:r>
  <x:r>
    <x:x v="3"/>
    <x:n v="6555"/>
    <x:n v="12400"/>
    <x:s v="vmnsputihcrem"/>
    <x:n v="19"/>
    <x:n v="120"/>
    <x:n v="8522.382924803"/>
    <x:n v="1022685.95097636"/>
  </x:r>
  <x:r>
    <x:x v="3"/>
    <x:n v="6560"/>
    <x:n v="12401"/>
    <x:s v="vmnsputihcrem"/>
    <x:n v="19"/>
    <x:n v="120"/>
    <x:n v="8397.382924803"/>
    <x:n v="1007685.95097636"/>
  </x:r>
  <x:r>
    <x:x v="3"/>
    <x:n v="6565"/>
    <x:n v="12402"/>
    <x:s v="vmnsputihcrem"/>
    <x:n v="19"/>
    <x:n v="120"/>
    <x:n v="8522.382924803"/>
    <x:n v="1022685.95097636"/>
  </x:r>
  <x:r>
    <x:x v="3"/>
    <x:n v="6566"/>
    <x:n v="12403"/>
    <x:s v="vmnsputihcrem"/>
    <x:n v="19"/>
    <x:n v="120"/>
    <x:n v="8522.382924803"/>
    <x:n v="1022685.95097636"/>
  </x:r>
  <x:r>
    <x:x v="3"/>
    <x:n v="6567"/>
    <x:n v="12404"/>
    <x:s v="vmnsputihcrem"/>
    <x:n v="19"/>
    <x:n v="120"/>
    <x:n v="8397.382924803"/>
    <x:n v="1007685.95097636"/>
  </x:r>
  <x:r>
    <x:x v="3"/>
    <x:n v="6568"/>
    <x:n v="12405"/>
    <x:s v="vmnsputihcrem"/>
    <x:n v="19"/>
    <x:n v="120"/>
    <x:n v="8522.382924803"/>
    <x:n v="1022685.95097636"/>
  </x:r>
  <x:r>
    <x:x v="3"/>
    <x:n v="6569"/>
    <x:n v="12406"/>
    <x:s v="vmnsputihcrem"/>
    <x:n v="19"/>
    <x:n v="120"/>
    <x:n v="8522.382924803"/>
    <x:n v="1022685.95097636"/>
  </x:r>
  <x:r>
    <x:x v="3"/>
    <x:n v="6570"/>
    <x:n v="12407"/>
    <x:s v="vmnsputihcrem"/>
    <x:n v="19"/>
    <x:n v="120"/>
    <x:n v="8397.382924803"/>
    <x:n v="1007685.95097636"/>
  </x:r>
  <x:r>
    <x:x v="3"/>
    <x:n v="6571"/>
    <x:n v="12408"/>
    <x:s v="vmnsputihcrem"/>
    <x:n v="19"/>
    <x:n v="120"/>
    <x:n v="8397.382924803"/>
    <x:n v="1007685.95097636"/>
  </x:r>
  <x:r>
    <x:x v="3"/>
    <x:n v="6572"/>
    <x:n v="12409"/>
    <x:s v="vmnsputihcrem"/>
    <x:n v="19"/>
    <x:n v="120"/>
    <x:n v="8397.382924803"/>
    <x:n v="1007685.95097636"/>
  </x:r>
  <x:r>
    <x:x v="3"/>
    <x:n v="6573"/>
    <x:n v="12410"/>
    <x:s v="vmnsputihcrem"/>
    <x:n v="19"/>
    <x:n v="120"/>
    <x:n v="8355.7162581363"/>
    <x:n v="1002685.9509763562"/>
  </x:r>
  <x:r>
    <x:x v="3"/>
    <x:n v="6574"/>
    <x:n v="12411"/>
    <x:s v="vmnsputihcrem"/>
    <x:n v="19"/>
    <x:n v="120"/>
    <x:n v="8522.382924803"/>
    <x:n v="1022685.95097636"/>
  </x:r>
  <x:r>
    <x:x v="3"/>
    <x:n v="6577"/>
    <x:n v="12412"/>
    <x:s v="vmnsputihcrem"/>
    <x:n v="19"/>
    <x:n v="120"/>
    <x:n v="8522.382924803"/>
    <x:n v="1022685.95097636"/>
  </x:r>
  <x:r>
    <x:x v="3"/>
    <x:n v="6579"/>
    <x:n v="12413"/>
    <x:s v="vmnsputihcrem"/>
    <x:n v="19"/>
    <x:n v="120"/>
    <x:n v="8522.382924803"/>
    <x:n v="1022685.95097636"/>
  </x:r>
  <x:r>
    <x:x v="3"/>
    <x:n v="6580"/>
    <x:n v="12414"/>
    <x:s v="vmnsputihcrem"/>
    <x:n v="19"/>
    <x:n v="120"/>
    <x:n v="8522.382924803"/>
    <x:n v="1022685.95097636"/>
  </x:r>
  <x:r>
    <x:x v="3"/>
    <x:n v="6584"/>
    <x:n v="12415"/>
    <x:s v="vmnsputihcrem"/>
    <x:n v="19"/>
    <x:n v="120"/>
    <x:n v="8522.382924803"/>
    <x:n v="1022685.95097636"/>
  </x:r>
  <x:r>
    <x:x v="3"/>
    <x:n v="6585"/>
    <x:n v="12416"/>
    <x:s v="vmnsputihcrem"/>
    <x:n v="19"/>
    <x:n v="120"/>
    <x:n v="8522.382924803"/>
    <x:n v="1022685.95097636"/>
  </x:r>
  <x:r>
    <x:x v="3"/>
    <x:n v="6586"/>
    <x:n v="12417"/>
    <x:s v="vmnsputihcrem"/>
    <x:n v="19"/>
    <x:n v="120"/>
    <x:n v="8522.382924803"/>
    <x:n v="1022685.95097636"/>
  </x:r>
  <x:r>
    <x:x v="3"/>
    <x:n v="6587"/>
    <x:n v="12418"/>
    <x:s v="vmnsputihcrem"/>
    <x:n v="19"/>
    <x:n v="120"/>
    <x:n v="8522.382924803"/>
    <x:n v="1022685.95097636"/>
  </x:r>
  <x:r>
    <x:x v="3"/>
    <x:n v="6588"/>
    <x:n v="12419"/>
    <x:s v="vmnsputihcrem"/>
    <x:n v="19"/>
    <x:n v="120"/>
    <x:n v="8522.382924803"/>
    <x:n v="1022685.95097636"/>
  </x:r>
  <x:r>
    <x:x v="3"/>
    <x:n v="6589"/>
    <x:n v="12420"/>
    <x:s v="vmnsputihcrem"/>
    <x:n v="19"/>
    <x:n v="120"/>
    <x:n v="8397.382924803"/>
    <x:n v="1007685.95097636"/>
  </x:r>
  <x:r>
    <x:x v="3"/>
    <x:n v="6590"/>
    <x:n v="12421"/>
    <x:s v="vmnsputihcrem"/>
    <x:n v="19"/>
    <x:n v="120"/>
    <x:n v="8522.382924803"/>
    <x:n v="1022685.95097636"/>
  </x:r>
  <x:r>
    <x:x v="3"/>
    <x:n v="6591"/>
    <x:n v="12422"/>
    <x:s v="vmnsputihcrem"/>
    <x:n v="19"/>
    <x:n v="120"/>
    <x:n v="8480.7162581363"/>
    <x:n v="1017685.9509763562"/>
  </x:r>
  <x:r>
    <x:x v="3"/>
    <x:n v="6594"/>
    <x:n v="12423"/>
    <x:s v="vmnsputihcrem"/>
    <x:n v="19"/>
    <x:n v="120"/>
    <x:n v="8397.382924803"/>
    <x:n v="1007685.95097636"/>
  </x:r>
  <x:r>
    <x:x v="3"/>
    <x:n v="6595"/>
    <x:n v="12424"/>
    <x:s v="vmnsputihcrem"/>
    <x:n v="19"/>
    <x:n v="120"/>
    <x:n v="8397.382924803"/>
    <x:n v="1007685.95097636"/>
  </x:r>
  <x:r>
    <x:x v="3"/>
    <x:n v="6596"/>
    <x:n v="12425"/>
    <x:s v="vmnsputihcrem"/>
    <x:n v="19"/>
    <x:n v="120"/>
    <x:n v="8397.382924803"/>
    <x:n v="1007685.95097636"/>
  </x:r>
  <x:r>
    <x:x v="3"/>
    <x:n v="6597"/>
    <x:n v="12426"/>
    <x:s v="vmnsputihcrem"/>
    <x:n v="19"/>
    <x:n v="120"/>
    <x:n v="8522.382924803"/>
    <x:n v="1022685.95097636"/>
  </x:r>
  <x:r>
    <x:x v="3"/>
    <x:n v="6598"/>
    <x:n v="12427"/>
    <x:s v="vmnsputihcrem"/>
    <x:n v="19"/>
    <x:n v="120"/>
    <x:n v="8397.382924803"/>
    <x:n v="1007685.95097636"/>
  </x:r>
  <x:r>
    <x:x v="3"/>
    <x:n v="6599"/>
    <x:n v="12428"/>
    <x:s v="vmnsputihcrem"/>
    <x:n v="19"/>
    <x:n v="120"/>
    <x:n v="8522.382924803"/>
    <x:n v="1022685.95097636"/>
  </x:r>
  <x:r>
    <x:x v="3"/>
    <x:n v="6600"/>
    <x:n v="12429"/>
    <x:s v="vmnsputihcrem"/>
    <x:n v="19"/>
    <x:n v="120"/>
    <x:n v="8397.382924803"/>
    <x:n v="1007685.95097636"/>
  </x:r>
  <x:r>
    <x:x v="3"/>
    <x:n v="6601"/>
    <x:n v="12430"/>
    <x:s v="vmnsputihcrem"/>
    <x:n v="19"/>
    <x:n v="120"/>
    <x:n v="8397.382924803"/>
    <x:n v="1007685.95097636"/>
  </x:r>
  <x:r>
    <x:x v="3"/>
    <x:n v="6602"/>
    <x:n v="12431"/>
    <x:s v="vmnsputihcrem"/>
    <x:n v="19"/>
    <x:n v="120"/>
    <x:n v="8522.382924803"/>
    <x:n v="1022685.95097636"/>
  </x:r>
  <x:r>
    <x:x v="3"/>
    <x:n v="6603"/>
    <x:n v="12432"/>
    <x:s v="vmnsputihcrem"/>
    <x:n v="19"/>
    <x:n v="120"/>
    <x:n v="8522.382924803"/>
    <x:n v="1022685.95097636"/>
  </x:r>
  <x:r>
    <x:x v="3"/>
    <x:n v="6604"/>
    <x:n v="12433"/>
    <x:s v="vmnsputihcrem"/>
    <x:n v="19"/>
    <x:n v="120"/>
    <x:n v="8480.7162581363"/>
    <x:n v="1017685.9509763562"/>
  </x:r>
  <x:r>
    <x:x v="3"/>
    <x:n v="6606"/>
    <x:n v="12434"/>
    <x:s v="vmnsputihcrem"/>
    <x:n v="19"/>
    <x:n v="120"/>
    <x:n v="8522.382924803"/>
    <x:n v="1022685.95097636"/>
  </x:r>
  <x:r>
    <x:x v="3"/>
    <x:n v="6607"/>
    <x:n v="12435"/>
    <x:s v="vmnsputihcrem"/>
    <x:n v="19"/>
    <x:n v="120"/>
    <x:n v="8397.382924803"/>
    <x:n v="1007685.95097636"/>
  </x:r>
  <x:r>
    <x:x v="3"/>
    <x:n v="6608"/>
    <x:n v="12436"/>
    <x:s v="vmnsputihcrem"/>
    <x:n v="19"/>
    <x:n v="120"/>
    <x:n v="8522.382924803"/>
    <x:n v="1022685.95097636"/>
  </x:r>
  <x:r>
    <x:x v="3"/>
    <x:n v="6610"/>
    <x:n v="12437"/>
    <x:s v="vmnsputihcrem"/>
    <x:n v="19"/>
    <x:n v="120"/>
    <x:n v="8522.382924803"/>
    <x:n v="1022685.95097636"/>
  </x:r>
  <x:r>
    <x:x v="3"/>
    <x:n v="6611"/>
    <x:n v="12438"/>
    <x:s v="vmnsputihcrem"/>
    <x:n v="19"/>
    <x:n v="120"/>
    <x:n v="8522.382924803"/>
    <x:n v="1022685.95097636"/>
  </x:r>
  <x:r>
    <x:x v="3"/>
    <x:n v="6612"/>
    <x:n v="12439"/>
    <x:s v="vmnsputihcrem"/>
    <x:n v="19"/>
    <x:n v="120"/>
    <x:n v="8522.382924803"/>
    <x:n v="1022685.95097636"/>
  </x:r>
  <x:r>
    <x:x v="3"/>
    <x:n v="6613"/>
    <x:n v="12440"/>
    <x:s v="vmnsputihcrem"/>
    <x:n v="19"/>
    <x:n v="120"/>
    <x:n v="8522.382924803"/>
    <x:n v="1022685.95097636"/>
  </x:r>
  <x:r>
    <x:x v="3"/>
    <x:n v="6614"/>
    <x:n v="12441"/>
    <x:s v="vmnsputihcrem"/>
    <x:n v="19"/>
    <x:n v="120"/>
    <x:n v="8522.382924803"/>
    <x:n v="1022685.95097636"/>
  </x:r>
  <x:r>
    <x:x v="3"/>
    <x:n v="6615"/>
    <x:n v="12442"/>
    <x:s v="vmnsputihcrem"/>
    <x:n v="19"/>
    <x:n v="120"/>
    <x:n v="8522.382924803"/>
    <x:n v="1022685.95097636"/>
  </x:r>
  <x:r>
    <x:x v="3"/>
    <x:n v="6616"/>
    <x:n v="12443"/>
    <x:s v="vmnsputihcrem"/>
    <x:n v="19"/>
    <x:n v="120"/>
    <x:n v="8522.382924803"/>
    <x:n v="1022685.95097636"/>
  </x:r>
  <x:r>
    <x:x v="3"/>
    <x:n v="6617"/>
    <x:n v="12444"/>
    <x:s v="vmnsputihcrem"/>
    <x:n v="19"/>
    <x:n v="120"/>
    <x:n v="8522.382924803"/>
    <x:n v="1022685.95097636"/>
  </x:r>
  <x:r>
    <x:x v="3"/>
    <x:n v="6618"/>
    <x:n v="12445"/>
    <x:s v="vmnsputihcrem"/>
    <x:n v="19"/>
    <x:n v="120"/>
    <x:n v="8397.382924803"/>
    <x:n v="1007685.95097636"/>
  </x:r>
  <x:r>
    <x:x v="3"/>
    <x:n v="6619"/>
    <x:n v="12446"/>
    <x:s v="vmnsputihcrem"/>
    <x:n v="20"/>
    <x:n v="120"/>
    <x:n v="8397.382924803"/>
    <x:n v="1007685.95097636"/>
  </x:r>
  <x:r>
    <x:x v="3"/>
    <x:n v="6620"/>
    <x:n v="12447"/>
    <x:s v="vmnsputihcrem"/>
    <x:n v="14"/>
    <x:n v="95"/>
    <x:n v="8397.382924803"/>
    <x:n v="797751.377856285"/>
  </x:r>
  <x:r>
    <x:x v="3"/>
    <x:n v="10391"/>
    <x:n v="12448"/>
    <x:s v="plb"/>
    <x:n v="67"/>
    <x:n v="600"/>
    <x:n v="6932.7020186919"/>
    <x:n v="4159621.21121514"/>
  </x:r>
  <x:r>
    <x:x v="3"/>
    <x:n v="10392"/>
    <x:n v="12449"/>
    <x:s v="plb"/>
    <x:n v="62"/>
    <x:n v="600"/>
    <x:n v="6941.0353520252"/>
    <x:n v="4164621.2112151203"/>
  </x:r>
  <x:r>
    <x:x v="3"/>
    <x:n v="10393"/>
    <x:n v="12450"/>
    <x:s v="plb"/>
    <x:n v="91"/>
    <x:n v="600"/>
    <x:n v="6932.7020186919"/>
    <x:n v="4159621.21121514"/>
  </x:r>
  <x:r>
    <x:x v="3"/>
    <x:n v="10394"/>
    <x:n v="12451"/>
    <x:s v="plb"/>
    <x:n v="80"/>
    <x:n v="600"/>
    <x:n v="6941.0353520252"/>
    <x:n v="4164621.2112151203"/>
  </x:r>
  <x:r>
    <x:x v="3"/>
    <x:n v="10395"/>
    <x:n v="12452"/>
    <x:s v="plb"/>
    <x:n v="73"/>
    <x:n v="600"/>
    <x:n v="6816.0353520252"/>
    <x:n v="4089621.2112151203"/>
  </x:r>
  <x:r>
    <x:x v="3"/>
    <x:n v="10400"/>
    <x:n v="12453"/>
    <x:s v="VBRS"/>
    <x:n v="20"/>
    <x:n v="120"/>
    <x:n v="6941.0353520252"/>
    <x:n v="832924.242243024"/>
  </x:r>
  <x:r>
    <x:x v="3"/>
    <x:n v="10405"/>
    <x:n v="12454"/>
    <x:s v="VBRS"/>
    <x:n v="24"/>
    <x:n v="120"/>
    <x:n v="6941.0353520252"/>
    <x:n v="832924.242243024"/>
  </x:r>
  <x:r>
    <x:x v="3"/>
    <x:n v="10406"/>
    <x:n v="12455"/>
    <x:s v="VBRS"/>
    <x:n v="23"/>
    <x:n v="120"/>
    <x:n v="6816.0353520252"/>
    <x:n v="817924.242243024"/>
  </x:r>
  <x:r>
    <x:x v="3"/>
    <x:n v="10410"/>
    <x:n v="12456"/>
    <x:s v="VBRS"/>
    <x:n v="101"/>
    <x:n v="600"/>
    <x:n v="6807.7020186919"/>
    <x:n v="4084621.21121514"/>
  </x:r>
  <x:r>
    <x:x v="3"/>
    <x:n v="10411"/>
    <x:n v="12457"/>
    <x:s v="VBRS"/>
    <x:n v="109"/>
    <x:n v="600"/>
    <x:n v="6799.3686853585"/>
    <x:n v="4079621.2112151003"/>
  </x:r>
  <x:r>
    <x:x v="3"/>
    <x:n v="10412"/>
    <x:n v="12458"/>
    <x:s v="VBRS"/>
    <x:n v="110"/>
    <x:n v="600"/>
    <x:n v="6941.0353520252"/>
    <x:n v="4164621.2112151203"/>
  </x:r>
  <x:r>
    <x:x v="3"/>
    <x:n v="10413"/>
    <x:n v="12459"/>
    <x:s v="VBRS"/>
    <x:n v="101"/>
    <x:n v="600"/>
    <x:n v="6941.0353520252"/>
    <x:n v="4164621.2112151203"/>
  </x:r>
  <x:r>
    <x:x v="3"/>
    <x:n v="10414"/>
    <x:n v="12460"/>
    <x:s v="VMNS"/>
    <x:n v="101"/>
    <x:n v="600"/>
    <x:n v="6941.0353520252"/>
    <x:n v="4164621.2112151203"/>
  </x:r>
  <x:r>
    <x:x v="3"/>
    <x:n v="10415"/>
    <x:n v="12461"/>
    <x:s v="VBRS"/>
    <x:n v="117"/>
    <x:n v="600"/>
    <x:n v="6941.0353520252"/>
    <x:n v="4164621.2112151203"/>
  </x:r>
  <x:r>
    <x:x v="3"/>
    <x:n v="10416"/>
    <x:n v="12462"/>
    <x:s v="VBRS"/>
    <x:n v="113"/>
    <x:n v="600"/>
    <x:n v="6932.7020186919"/>
    <x:n v="4159621.21121514"/>
  </x:r>
  <x:r>
    <x:x v="3"/>
    <x:n v="10417"/>
    <x:n v="12463"/>
    <x:s v="VBRS"/>
    <x:n v="80"/>
    <x:n v="600"/>
    <x:n v="6941.0353520252"/>
    <x:n v="4164621.2112151203"/>
  </x:r>
  <x:r>
    <x:x v="3"/>
    <x:n v="10418"/>
    <x:n v="12464"/>
    <x:s v="VBRS"/>
    <x:n v="111"/>
    <x:n v="600"/>
    <x:n v="6807.7020186919"/>
    <x:n v="4084621.21121514"/>
  </x:r>
  <x:r>
    <x:x v="3"/>
    <x:n v="10419"/>
    <x:n v="12465"/>
    <x:s v="VBRS"/>
    <x:n v="121"/>
    <x:n v="600"/>
    <x:n v="6799.3686853585"/>
    <x:n v="4079621.2112151003"/>
  </x:r>
  <x:r>
    <x:x v="3"/>
    <x:n v="10420"/>
    <x:n v="12466"/>
    <x:s v="VBRS"/>
    <x:n v="118"/>
    <x:n v="600"/>
    <x:n v="6916.0353520252"/>
    <x:n v="4149621.2112151203"/>
  </x:r>
  <x:r>
    <x:x v="3"/>
    <x:n v="10421"/>
    <x:n v="12467"/>
    <x:s v="VBRS"/>
    <x:n v="111"/>
    <x:n v="600"/>
    <x:n v="6916.0353520252"/>
    <x:n v="4149621.2112151203"/>
  </x:r>
  <x:r>
    <x:x v="3"/>
    <x:n v="10422"/>
    <x:n v="12468"/>
    <x:s v="VBRS"/>
    <x:n v="97"/>
    <x:n v="600"/>
    <x:n v="6807.7020186919"/>
    <x:n v="4084621.21121514"/>
  </x:r>
  <x:r>
    <x:x v="3"/>
    <x:n v="10423"/>
    <x:n v="12469"/>
    <x:s v="VBRS"/>
    <x:n v="106"/>
    <x:n v="600"/>
    <x:n v="6807.7020186919"/>
    <x:n v="4084621.21121514"/>
  </x:r>
  <x:r>
    <x:x v="3"/>
    <x:n v="10424"/>
    <x:n v="12470"/>
    <x:s v="VMNS"/>
    <x:n v="95"/>
    <x:n v="600"/>
    <x:n v="6941.0353520252"/>
    <x:n v="4164621.2112151203"/>
  </x:r>
  <x:r>
    <x:x v="3"/>
    <x:n v="10425"/>
    <x:n v="12471"/>
    <x:s v="VMNS"/>
    <x:n v="99"/>
    <x:n v="600"/>
    <x:n v="6816.0353520252"/>
    <x:n v="4089621.2112151203"/>
  </x:r>
  <x:r>
    <x:x v="3"/>
    <x:n v="10426"/>
    <x:n v="12472"/>
    <x:s v="VMNS"/>
    <x:n v="90"/>
    <x:n v="600"/>
    <x:n v="6941.0353520252"/>
    <x:n v="4164621.2112151203"/>
  </x:r>
  <x:r>
    <x:x v="3"/>
    <x:n v="10427"/>
    <x:n v="12473"/>
    <x:s v="VMNS"/>
    <x:n v="75"/>
    <x:n v="600"/>
    <x:n v="6941.0353520252"/>
    <x:n v="4164621.2112151203"/>
  </x:r>
  <x:r>
    <x:x v="3"/>
    <x:n v="10428"/>
    <x:n v="12474"/>
    <x:s v="VMNS"/>
    <x:n v="98"/>
    <x:n v="600"/>
    <x:n v="6941.0353520252"/>
    <x:n v="4164621.2112151203"/>
  </x:r>
  <x:r>
    <x:x v="3"/>
    <x:n v="10429"/>
    <x:n v="12475"/>
    <x:s v="VMNS"/>
    <x:n v="102"/>
    <x:n v="600"/>
    <x:n v="6924.3686853585"/>
    <x:n v="4154621.2112151003"/>
  </x:r>
  <x:r>
    <x:x v="3"/>
    <x:n v="10430"/>
    <x:n v="12476"/>
    <x:s v="VMNS"/>
    <x:n v="85"/>
    <x:n v="600"/>
    <x:n v="6816.0353520252"/>
    <x:n v="4089621.2112151203"/>
  </x:r>
  <x:r>
    <x:x v="3"/>
    <x:n v="10431"/>
    <x:n v="12477"/>
    <x:s v="VMNS"/>
    <x:n v="100"/>
    <x:n v="600"/>
    <x:n v="6816.0353520252"/>
    <x:n v="4089621.2112151203"/>
  </x:r>
  <x:r>
    <x:x v="3"/>
    <x:n v="10432"/>
    <x:n v="12478"/>
    <x:s v="VMNS"/>
    <x:n v="94"/>
    <x:n v="600"/>
    <x:n v="6941.0353520252"/>
    <x:n v="4164621.2112151203"/>
  </x:r>
  <x:r>
    <x:x v="3"/>
    <x:n v="10433"/>
    <x:n v="12479"/>
    <x:s v="VMNS"/>
    <x:n v="91"/>
    <x:n v="600"/>
    <x:n v="6941.0353520252"/>
    <x:n v="4164621.2112151203"/>
  </x:r>
  <x:r>
    <x:x v="3"/>
    <x:n v="10434"/>
    <x:n v="12480"/>
    <x:s v="VMNS"/>
    <x:n v="96"/>
    <x:n v="600"/>
    <x:n v="6807.7020186919"/>
    <x:n v="4084621.21121514"/>
  </x:r>
  <x:r>
    <x:x v="3"/>
    <x:n v="10435"/>
    <x:n v="12481"/>
    <x:s v="VMNS"/>
    <x:n v="109"/>
    <x:n v="600"/>
    <x:n v="6941.0353520252"/>
    <x:n v="4164621.2112151203"/>
  </x:r>
  <x:r>
    <x:x v="3"/>
    <x:n v="10436"/>
    <x:n v="12482"/>
    <x:s v="VMNS"/>
    <x:n v="96"/>
    <x:n v="600"/>
    <x:n v="6941.0353520252"/>
    <x:n v="4164621.2112151203"/>
  </x:r>
  <x:r>
    <x:x v="3"/>
    <x:n v="10437"/>
    <x:n v="12483"/>
    <x:s v="VMNS"/>
    <x:n v="105"/>
    <x:n v="600"/>
    <x:n v="6816.0353520252"/>
    <x:n v="4089621.2112151203"/>
  </x:r>
  <x:r>
    <x:x v="3"/>
    <x:n v="10438"/>
    <x:n v="12484"/>
    <x:s v="plb"/>
    <x:n v="86"/>
    <x:n v="600"/>
    <x:n v="6924.3686853585"/>
    <x:n v="4154621.2112151003"/>
  </x:r>
  <x:r>
    <x:x v="3"/>
    <x:n v="10439"/>
    <x:n v="12485"/>
    <x:s v="plb"/>
    <x:n v="83"/>
    <x:n v="600"/>
    <x:n v="6807.7020186919"/>
    <x:n v="4084621.21121514"/>
  </x:r>
  <x:r>
    <x:x v="3"/>
    <x:n v="10440"/>
    <x:n v="12486"/>
    <x:s v="plb"/>
    <x:n v="94"/>
    <x:n v="600"/>
    <x:n v="6816.0353520252"/>
    <x:n v="4089621.2112151203"/>
  </x:r>
  <x:r>
    <x:x v="3"/>
    <x:n v="10441"/>
    <x:n v="12487"/>
    <x:s v="plb"/>
    <x:n v="78"/>
    <x:n v="600"/>
    <x:n v="6941.0353520252"/>
    <x:n v="4164621.2112151203"/>
  </x:r>
  <x:r>
    <x:x v="3"/>
    <x:n v="10442"/>
    <x:n v="12488"/>
    <x:s v="plb"/>
    <x:n v="79"/>
    <x:n v="600"/>
    <x:n v="6941.0353520252"/>
    <x:n v="4164621.2112151203"/>
  </x:r>
  <x:r>
    <x:x v="3"/>
    <x:n v="10443"/>
    <x:n v="12489"/>
    <x:s v="plb"/>
    <x:n v="81"/>
    <x:n v="600"/>
    <x:n v="6924.3686853585"/>
    <x:n v="4154621.2112151003"/>
  </x:r>
  <x:r>
    <x:x v="3"/>
    <x:n v="10444"/>
    <x:n v="12490"/>
    <x:s v="plb"/>
    <x:n v="70"/>
    <x:n v="600"/>
    <x:n v="6941.0353520252"/>
    <x:n v="4164621.2112151203"/>
  </x:r>
  <x:r>
    <x:x v="3"/>
    <x:n v="10445"/>
    <x:n v="12491"/>
    <x:s v="plb"/>
    <x:n v="77"/>
    <x:n v="600"/>
    <x:n v="6924.3686853585"/>
    <x:n v="4154621.2112151003"/>
  </x:r>
  <x:r>
    <x:x v="3"/>
    <x:n v="10446"/>
    <x:n v="12492"/>
    <x:s v="plb"/>
    <x:n v="81"/>
    <x:n v="600"/>
    <x:n v="6932.7020186919"/>
    <x:n v="4159621.21121514"/>
  </x:r>
  <x:r>
    <x:x v="3"/>
    <x:n v="10447"/>
    <x:n v="12493"/>
    <x:s v="plb"/>
    <x:n v="67"/>
    <x:n v="600"/>
    <x:n v="6941.0353520252"/>
    <x:n v="4164621.2112151203"/>
  </x:r>
  <x:r>
    <x:x v="3"/>
    <x:n v="10448"/>
    <x:n v="12494"/>
    <x:s v="plb"/>
    <x:n v="97"/>
    <x:n v="600"/>
    <x:n v="6807.7020186919"/>
    <x:n v="4084621.21121514"/>
  </x:r>
  <x:r>
    <x:x v="3"/>
    <x:n v="10449"/>
    <x:n v="12495"/>
    <x:s v="plb"/>
    <x:n v="69"/>
    <x:n v="600"/>
    <x:n v="6932.7020186919"/>
    <x:n v="4159621.21121514"/>
  </x:r>
  <x:r>
    <x:x v="3"/>
    <x:n v="10450"/>
    <x:n v="12496"/>
    <x:s v="plb"/>
    <x:n v="62"/>
    <x:n v="600"/>
    <x:n v="6941.0353520252"/>
    <x:n v="4164621.2112151203"/>
  </x:r>
  <x:r>
    <x:x v="3"/>
    <x:n v="10451"/>
    <x:n v="12497"/>
    <x:s v="plb"/>
    <x:n v="65"/>
    <x:n v="600"/>
    <x:n v="6941.0353520252"/>
    <x:n v="4164621.2112151203"/>
  </x:r>
  <x:r>
    <x:x v="3"/>
    <x:n v="10452"/>
    <x:n v="12498"/>
    <x:s v="plb"/>
    <x:n v="65"/>
    <x:n v="600"/>
    <x:n v="6816.0353520252"/>
    <x:n v="4089621.2112151203"/>
  </x:r>
  <x:r>
    <x:x v="3"/>
    <x:n v="10453"/>
    <x:n v="12499"/>
    <x:s v="plb"/>
    <x:n v="71"/>
    <x:n v="600"/>
    <x:n v="6807.7020186919"/>
    <x:n v="4084621.21121514"/>
  </x:r>
  <x:r>
    <x:x v="3"/>
    <x:n v="10454"/>
    <x:n v="12500"/>
    <x:s v="plb"/>
    <x:n v="96"/>
    <x:n v="600"/>
    <x:n v="6816.0353520252"/>
    <x:n v="4089621.2112151203"/>
  </x:r>
  <x:r>
    <x:x v="3"/>
    <x:n v="10455"/>
    <x:n v="12501"/>
    <x:s v="plb"/>
    <x:n v="88"/>
    <x:n v="600"/>
    <x:n v="6807.7020186919"/>
    <x:n v="4084621.21121514"/>
  </x:r>
  <x:r>
    <x:x v="3"/>
    <x:n v="10456"/>
    <x:n v="12502"/>
    <x:s v="plb"/>
    <x:n v="64"/>
    <x:n v="600"/>
    <x:n v="6807.7020186919"/>
    <x:n v="4084621.21121514"/>
  </x:r>
  <x:r>
    <x:x v="4"/>
    <x:n v="10346"/>
    <x:n v="12503"/>
    <x:s v="plb"/>
    <x:n v="105"/>
    <x:n v="600"/>
    <x:n v="5691.0353520252"/>
    <x:n v="3414621.2112151203"/>
  </x:r>
  <x:r>
    <x:x v="4"/>
    <x:n v="10347"/>
    <x:n v="12504"/>
    <x:s v="plb"/>
    <x:n v="95"/>
    <x:n v="600"/>
    <x:n v="5691.0353520252"/>
    <x:n v="3414621.2112151203"/>
  </x:r>
  <x:r>
    <x:x v="4"/>
    <x:n v="10348"/>
    <x:n v="12505"/>
    <x:s v="plb"/>
    <x:n v="68"/>
    <x:n v="600"/>
    <x:n v="5691.0353520252"/>
    <x:n v="3414621.2112151203"/>
  </x:r>
  <x:r>
    <x:x v="4"/>
    <x:n v="10349"/>
    <x:n v="12506"/>
    <x:s v="plb"/>
    <x:n v="59"/>
    <x:n v="600"/>
    <x:n v="5691.0353520252"/>
    <x:n v="3414621.2112151203"/>
  </x:r>
  <x:r>
    <x:x v="4"/>
    <x:n v="10350"/>
    <x:n v="12507"/>
    <x:s v="plb"/>
    <x:n v="89"/>
    <x:n v="600"/>
    <x:n v="5691.0353520252"/>
    <x:n v="3414621.2112151203"/>
  </x:r>
  <x:r>
    <x:x v="4"/>
    <x:n v="10351"/>
    <x:n v="12508"/>
    <x:s v="plb"/>
    <x:n v="91"/>
    <x:n v="600"/>
    <x:n v="5691.0353520252"/>
    <x:n v="3414621.2112151203"/>
  </x:r>
  <x:r>
    <x:x v="4"/>
    <x:n v="10352"/>
    <x:n v="12509"/>
    <x:s v="plb"/>
    <x:n v="73"/>
    <x:n v="600"/>
    <x:n v="5691.0353520252"/>
    <x:n v="3414621.2112151203"/>
  </x:r>
  <x:r>
    <x:x v="4"/>
    <x:n v="10353"/>
    <x:n v="12510"/>
    <x:s v="plb"/>
    <x:n v="78"/>
    <x:n v="600"/>
    <x:n v="5691.0353520252"/>
    <x:n v="3414621.2112151203"/>
  </x:r>
  <x:r>
    <x:x v="4"/>
    <x:n v="10354"/>
    <x:n v="12511"/>
    <x:s v="plb"/>
    <x:n v="76"/>
    <x:n v="583"/>
    <x:n v="5691.0353520252"/>
    <x:n v="3317873.6102306917"/>
  </x:r>
  <x:r>
    <x:x v="4"/>
    <x:n v="11034"/>
    <x:n v="12512"/>
    <x:s v="dkcloval"/>
    <x:n v="107"/>
    <x:n v="600"/>
    <x:n v="6274.3294100822"/>
    <x:n v="3764597.64604932"/>
  </x:r>
  <x:r>
    <x:x v="4"/>
    <x:n v="11035"/>
    <x:n v="12513"/>
    <x:s v="dkcloval"/>
    <x:n v="115"/>
    <x:n v="600"/>
    <x:n v="6274.3294100822"/>
    <x:n v="3764597.64604932"/>
  </x:r>
  <x:r>
    <x:x v="4"/>
    <x:n v="11036"/>
    <x:n v="12514"/>
    <x:s v="VBRS"/>
    <x:n v="93"/>
    <x:n v="600"/>
    <x:n v="6274.3294100822"/>
    <x:n v="3764597.64604932"/>
  </x:r>
  <x:r>
    <x:x v="4"/>
    <x:n v="11037"/>
    <x:n v="12515"/>
    <x:s v="VBRS"/>
    <x:n v="103"/>
    <x:n v="600"/>
    <x:n v="6274.3294100822"/>
    <x:n v="3764597.64604932"/>
  </x:r>
  <x:r>
    <x:x v="4"/>
    <x:n v="11038"/>
    <x:n v="12516"/>
    <x:s v="VBRS"/>
    <x:n v="113"/>
    <x:n v="600"/>
    <x:n v="6274.3294100822"/>
    <x:n v="3764597.64604932"/>
  </x:r>
  <x:r>
    <x:x v="4"/>
    <x:n v="11039"/>
    <x:n v="12517"/>
    <x:s v="VBRS"/>
    <x:n v="101"/>
    <x:n v="600"/>
    <x:n v="6274.3294100822"/>
    <x:n v="3764597.64604932"/>
  </x:r>
  <x:r>
    <x:x v="4"/>
    <x:n v="11040"/>
    <x:n v="12518"/>
    <x:s v="VMNS"/>
    <x:n v="100"/>
    <x:n v="600"/>
    <x:n v="6274.3294100822"/>
    <x:n v="3764597.64604932"/>
  </x:r>
  <x:r>
    <x:x v="4"/>
    <x:n v="11041"/>
    <x:n v="12519"/>
    <x:s v="VMNS"/>
    <x:n v="99"/>
    <x:n v="600"/>
    <x:n v="6274.3294100822"/>
    <x:n v="3764597.64604932"/>
  </x:r>
  <x:r>
    <x:x v="4"/>
    <x:n v="11042"/>
    <x:n v="12520"/>
    <x:s v="VMNS"/>
    <x:n v="95"/>
    <x:n v="600"/>
    <x:n v="6274.3294100822"/>
    <x:n v="3764597.64604932"/>
  </x:r>
  <x:r>
    <x:x v="4"/>
    <x:n v="11043"/>
    <x:n v="12521"/>
    <x:s v="VMNS"/>
    <x:n v="98"/>
    <x:n v="600"/>
    <x:n v="6274.3294100822"/>
    <x:n v="3764597.64604932"/>
  </x:r>
  <x:r>
    <x:x v="4"/>
    <x:n v="11044"/>
    <x:n v="12522"/>
    <x:s v="plb"/>
    <x:n v="110"/>
    <x:n v="600"/>
    <x:n v="6274.3294100822"/>
    <x:n v="3764597.64604932"/>
  </x:r>
  <x:r>
    <x:x v="4"/>
    <x:n v="11045"/>
    <x:n v="12523"/>
    <x:s v="plb"/>
    <x:n v="86"/>
    <x:n v="600"/>
    <x:n v="6274.3294100822"/>
    <x:n v="3764597.64604932"/>
  </x:r>
  <x:r>
    <x:x v="4"/>
    <x:n v="11046"/>
    <x:n v="12524"/>
    <x:s v="plb"/>
    <x:n v="109"/>
    <x:n v="600"/>
    <x:n v="6274.3294100822"/>
    <x:n v="3764597.64604932"/>
  </x:r>
  <x:r>
    <x:x v="4"/>
    <x:n v="11047"/>
    <x:n v="12525"/>
    <x:s v="plb"/>
    <x:n v="106"/>
    <x:n v="600"/>
    <x:n v="6274.3294100822"/>
    <x:n v="3764597.64604932"/>
  </x:r>
  <x:r>
    <x:x v="4"/>
    <x:n v="11048"/>
    <x:n v="12526"/>
    <x:s v="plb"/>
    <x:n v="98"/>
    <x:n v="600"/>
    <x:n v="6274.3294100822"/>
    <x:n v="3764597.64604932"/>
  </x:r>
  <x:r>
    <x:x v="4"/>
    <x:n v="11049"/>
    <x:n v="12527"/>
    <x:s v="dberas"/>
    <x:n v="85"/>
    <x:n v="600"/>
    <x:n v="6274.3294100822"/>
    <x:n v="3764597.64604932"/>
  </x:r>
  <x:r>
    <x:x v="4"/>
    <x:n v="11050"/>
    <x:n v="12528"/>
    <x:s v="dberas"/>
    <x:n v="77"/>
    <x:n v="600"/>
    <x:n v="6274.3294100822"/>
    <x:n v="3764597.64604932"/>
  </x:r>
  <x:r>
    <x:x v="4"/>
    <x:n v="11051"/>
    <x:n v="12529"/>
    <x:s v="dberas"/>
    <x:n v="78"/>
    <x:n v="600"/>
    <x:n v="6274.3294100822"/>
    <x:n v="3764597.64604932"/>
  </x:r>
  <x:r>
    <x:x v="4"/>
    <x:n v="11052"/>
    <x:n v="12530"/>
    <x:s v="dberas"/>
    <x:n v="89"/>
    <x:n v="600"/>
    <x:n v="6274.3294100822"/>
    <x:n v="3764597.64604932"/>
  </x:r>
  <x:r>
    <x:x v="4"/>
    <x:n v="11053"/>
    <x:n v="12531"/>
    <x:s v="dberas"/>
    <x:n v="75"/>
    <x:n v="600"/>
    <x:n v="6274.3294100822"/>
    <x:n v="3764597.64604932"/>
  </x:r>
  <x:r>
    <x:x v="4"/>
    <x:n v="11054"/>
    <x:n v="12532"/>
    <x:s v="dberas"/>
    <x:n v="70"/>
    <x:n v="600"/>
    <x:n v="6274.3294100822"/>
    <x:n v="3764597.64604932"/>
  </x:r>
  <x:r>
    <x:x v="4"/>
    <x:n v="11055"/>
    <x:n v="12533"/>
    <x:s v="dberas"/>
    <x:n v="88"/>
    <x:n v="600"/>
    <x:n v="6274.3294100822"/>
    <x:n v="3764597.64604932"/>
  </x:r>
  <x:r>
    <x:x v="4"/>
    <x:n v="11056"/>
    <x:n v="12534"/>
    <x:s v="dberas"/>
    <x:n v="78"/>
    <x:n v="600"/>
    <x:n v="6274.3294100822"/>
    <x:n v="3764597.64604932"/>
  </x:r>
  <x:r>
    <x:x v="4"/>
    <x:n v="11057"/>
    <x:n v="12535"/>
    <x:s v="dberas"/>
    <x:n v="81"/>
    <x:n v="600"/>
    <x:n v="6274.3294100822"/>
    <x:n v="3764597.64604932"/>
  </x:r>
  <x:r>
    <x:x v="4"/>
    <x:n v="11058"/>
    <x:n v="12536"/>
    <x:s v="dovalbelangsamar"/>
    <x:n v="89"/>
    <x:n v="600"/>
    <x:n v="6274.3294100822"/>
    <x:n v="3764597.64604932"/>
  </x:r>
  <x:r>
    <x:x v="4"/>
    <x:n v="11059"/>
    <x:n v="12537"/>
    <x:s v="dovalbelangsamar"/>
    <x:n v="87"/>
    <x:n v="600"/>
    <x:n v="6274.3294100822"/>
    <x:n v="3764597.64604932"/>
  </x:r>
  <x:r>
    <x:x v="4"/>
    <x:n v="11060"/>
    <x:n v="12538"/>
    <x:s v="dovalbelangsamar"/>
    <x:n v="79"/>
    <x:n v="600"/>
    <x:n v="6274.3294100822"/>
    <x:n v="3764597.64604932"/>
  </x:r>
  <x:r>
    <x:x v="4"/>
    <x:n v="11061"/>
    <x:n v="12539"/>
    <x:s v="dovalbelangsamar"/>
    <x:n v="90"/>
    <x:n v="600"/>
    <x:n v="6274.3294100822"/>
    <x:n v="3764597.64604932"/>
  </x:r>
  <x:r>
    <x:x v="4"/>
    <x:n v="11062"/>
    <x:n v="12540"/>
    <x:s v="dovalbelangsamar"/>
    <x:n v="92"/>
    <x:n v="600"/>
    <x:n v="6274.3294100822"/>
    <x:n v="3764597.64604932"/>
  </x:r>
  <x:r>
    <x:x v="4"/>
    <x:n v="11471"/>
    <x:n v="12541"/>
    <x:s v="VBRS"/>
    <x:n v="80"/>
    <x:n v="600"/>
    <x:n v="6274.3294100822"/>
    <x:n v="3764597.64604932"/>
  </x:r>
  <x:r>
    <x:x v="4"/>
    <x:n v="3383"/>
    <x:n v="12542"/>
    <x:s v="VBRS"/>
    <x:n v="17"/>
    <x:n v="120"/>
    <x:n v="8397.382924803"/>
    <x:n v="1007685.95097636"/>
  </x:r>
  <x:r>
    <x:x v="4"/>
    <x:n v="3435"/>
    <x:n v="12543"/>
    <x:s v="VSUPER"/>
    <x:n v="21"/>
    <x:n v="150"/>
    <x:n v="8272.382924803"/>
    <x:n v="1240857.43872045"/>
  </x:r>
  <x:r>
    <x:x v="4"/>
    <x:n v="3436"/>
    <x:n v="12544"/>
    <x:s v="VSUPER"/>
    <x:n v="25"/>
    <x:n v="150"/>
    <x:n v="8272.382924803"/>
    <x:n v="1240857.43872045"/>
  </x:r>
  <x:r>
    <x:x v="4"/>
    <x:n v="3437"/>
    <x:n v="12545"/>
    <x:s v="VSUPER"/>
    <x:n v="25"/>
    <x:n v="150"/>
    <x:n v="8272.382924803"/>
    <x:n v="1240857.43872045"/>
  </x:r>
  <x:r>
    <x:x v="4"/>
    <x:n v="3438"/>
    <x:n v="12546"/>
    <x:s v="VSUPER"/>
    <x:n v="25"/>
    <x:n v="150"/>
    <x:n v="8172.382924803"/>
    <x:n v="1225857.43872045"/>
  </x:r>
  <x:r>
    <x:x v="4"/>
    <x:n v="3439"/>
    <x:n v="12547"/>
    <x:s v="VSUPER"/>
    <x:n v="22"/>
    <x:n v="150"/>
    <x:n v="8172.382924803"/>
    <x:n v="1225857.43872045"/>
  </x:r>
  <x:r>
    <x:x v="4"/>
    <x:n v="3440"/>
    <x:n v="12548"/>
    <x:s v="VSUPER"/>
    <x:n v="25"/>
    <x:n v="150"/>
    <x:n v="8172.382924803"/>
    <x:n v="1225857.43872045"/>
  </x:r>
  <x:r>
    <x:x v="4"/>
    <x:n v="3441"/>
    <x:n v="12549"/>
    <x:s v="VSUPER"/>
    <x:n v="25"/>
    <x:n v="150"/>
    <x:n v="8272.382924803"/>
    <x:n v="1240857.43872045"/>
  </x:r>
  <x:r>
    <x:x v="4"/>
    <x:n v="3442"/>
    <x:n v="12550"/>
    <x:s v="VSUPER"/>
    <x:n v="25"/>
    <x:n v="150"/>
    <x:n v="8172.382924803"/>
    <x:n v="1225857.43872045"/>
  </x:r>
  <x:r>
    <x:x v="4"/>
    <x:n v="6488"/>
    <x:n v="12551"/>
    <x:s v="vmnsputihcrem"/>
    <x:n v="17"/>
    <x:n v="120"/>
    <x:n v="8397.382924803"/>
    <x:n v="1007685.95097636"/>
  </x:r>
  <x:r>
    <x:x v="4"/>
    <x:n v="6492"/>
    <x:n v="12552"/>
    <x:s v="vmnsputihcrem"/>
    <x:n v="18"/>
    <x:n v="120"/>
    <x:n v="8397.382924803"/>
    <x:n v="1007685.95097636"/>
  </x:r>
  <x:r>
    <x:x v="4"/>
    <x:n v="6494"/>
    <x:n v="12553"/>
    <x:s v="vmnsputihcrem"/>
    <x:n v="18"/>
    <x:n v="120"/>
    <x:n v="8522.382924803"/>
    <x:n v="1022685.95097636"/>
  </x:r>
  <x:r>
    <x:x v="4"/>
    <x:n v="6495"/>
    <x:n v="12554"/>
    <x:s v="vmnsputihcrem"/>
    <x:n v="18"/>
    <x:n v="120"/>
    <x:n v="8522.382924803"/>
    <x:n v="1022685.95097636"/>
  </x:r>
  <x:r>
    <x:x v="4"/>
    <x:n v="6499"/>
    <x:n v="12555"/>
    <x:s v="vmnsputihcrem"/>
    <x:n v="18"/>
    <x:n v="120"/>
    <x:n v="8397.382924803"/>
    <x:n v="1007685.95097636"/>
  </x:r>
  <x:r>
    <x:x v="4"/>
    <x:n v="6500"/>
    <x:n v="12556"/>
    <x:s v="vmnsputihcrem"/>
    <x:n v="18"/>
    <x:n v="120"/>
    <x:n v="8522.382924803"/>
    <x:n v="1022685.95097636"/>
  </x:r>
  <x:r>
    <x:x v="4"/>
    <x:n v="6501"/>
    <x:n v="12557"/>
    <x:s v="vmnsputihcrem"/>
    <x:n v="18"/>
    <x:n v="120"/>
    <x:n v="8397.382924803"/>
    <x:n v="1007685.95097636"/>
  </x:r>
  <x:r>
    <x:x v="4"/>
    <x:n v="6502"/>
    <x:n v="12558"/>
    <x:s v="vmnsputihcrem"/>
    <x:n v="18"/>
    <x:n v="120"/>
    <x:n v="8522.382924803"/>
    <x:n v="1022685.95097636"/>
  </x:r>
  <x:r>
    <x:x v="4"/>
    <x:n v="6503"/>
    <x:n v="12559"/>
    <x:s v="vmnsputihcrem"/>
    <x:n v="18"/>
    <x:n v="120"/>
    <x:n v="8522.382924803"/>
    <x:n v="1022685.95097636"/>
  </x:r>
  <x:r>
    <x:x v="4"/>
    <x:n v="6504"/>
    <x:n v="12560"/>
    <x:s v="vmnsputihcrem"/>
    <x:n v="18"/>
    <x:n v="120"/>
    <x:n v="8397.382924803"/>
    <x:n v="1007685.95097636"/>
  </x:r>
  <x:r>
    <x:x v="4"/>
    <x:n v="6505"/>
    <x:n v="12561"/>
    <x:s v="vmnsputihcrem"/>
    <x:n v="18"/>
    <x:n v="120"/>
    <x:n v="8355.7162581363"/>
    <x:n v="1002685.9509763562"/>
  </x:r>
  <x:r>
    <x:x v="4"/>
    <x:n v="6510"/>
    <x:n v="12562"/>
    <x:s v="vmnsputihcrem"/>
    <x:n v="19"/>
    <x:n v="120"/>
    <x:n v="8522.382924803"/>
    <x:n v="1022685.95097636"/>
  </x:r>
  <x:r>
    <x:x v="4"/>
    <x:n v="6518"/>
    <x:n v="12563"/>
    <x:s v="vmnsputihcrem"/>
    <x:n v="19"/>
    <x:n v="120"/>
    <x:n v="8397.382924803"/>
    <x:n v="1007685.95097636"/>
  </x:r>
  <x:r>
    <x:x v="4"/>
    <x:n v="6519"/>
    <x:n v="12564"/>
    <x:s v="vmnsputihcrem"/>
    <x:n v="19"/>
    <x:n v="120"/>
    <x:n v="8397.382924803"/>
    <x:n v="1007685.95097636"/>
  </x:r>
  <x:r>
    <x:x v="4"/>
    <x:n v="6520"/>
    <x:n v="12565"/>
    <x:s v="vmnsputihcrem"/>
    <x:n v="19"/>
    <x:n v="120"/>
    <x:n v="8397.382924803"/>
    <x:n v="1007685.95097636"/>
  </x:r>
  <x:r>
    <x:x v="4"/>
    <x:n v="6521"/>
    <x:n v="12566"/>
    <x:s v="vmnsputihcrem"/>
    <x:n v="19"/>
    <x:n v="120"/>
    <x:n v="8397.382924803"/>
    <x:n v="1007685.95097636"/>
  </x:r>
  <x:r>
    <x:x v="4"/>
    <x:n v="6524"/>
    <x:n v="12567"/>
    <x:s v="vmnsputihcrem"/>
    <x:n v="19"/>
    <x:n v="120"/>
    <x:n v="8522.382924803"/>
    <x:n v="1022685.95097636"/>
  </x:r>
  <x:r>
    <x:x v="4"/>
    <x:n v="6525"/>
    <x:n v="12568"/>
    <x:s v="vmnsputihcrem"/>
    <x:n v="19"/>
    <x:n v="120"/>
    <x:n v="8522.382924803"/>
    <x:n v="1022685.95097636"/>
  </x:r>
  <x:r>
    <x:x v="4"/>
    <x:n v="6526"/>
    <x:n v="12569"/>
    <x:s v="vmnsputihcrem"/>
    <x:n v="19"/>
    <x:n v="120"/>
    <x:n v="8397.382924803"/>
    <x:n v="1007685.95097636"/>
  </x:r>
  <x:r>
    <x:x v="4"/>
    <x:n v="6527"/>
    <x:n v="12570"/>
    <x:s v="vmnsputihcrem"/>
    <x:n v="19"/>
    <x:n v="120"/>
    <x:n v="8522.382924803"/>
    <x:n v="1022685.95097636"/>
  </x:r>
  <x:r>
    <x:x v="4"/>
    <x:n v="6528"/>
    <x:n v="12571"/>
    <x:s v="vmnsputihcrem"/>
    <x:n v="19"/>
    <x:n v="120"/>
    <x:n v="8397.382924803"/>
    <x:n v="1007685.95097636"/>
  </x:r>
  <x:r>
    <x:x v="4"/>
    <x:n v="6529"/>
    <x:n v="12572"/>
    <x:s v="vmnsputihcrem"/>
    <x:n v="19"/>
    <x:n v="120"/>
    <x:n v="8522.382924803"/>
    <x:n v="1022685.95097636"/>
  </x:r>
  <x:r>
    <x:x v="4"/>
    <x:n v="6530"/>
    <x:n v="12573"/>
    <x:s v="vmnsputihcrem"/>
    <x:n v="19"/>
    <x:n v="120"/>
    <x:n v="8522.382924803"/>
    <x:n v="1022685.95097636"/>
  </x:r>
  <x:r>
    <x:x v="4"/>
    <x:n v="6531"/>
    <x:n v="12574"/>
    <x:s v="vmnsputihcrem"/>
    <x:n v="19"/>
    <x:n v="120"/>
    <x:n v="8522.382924803"/>
    <x:n v="1022685.95097636"/>
  </x:r>
  <x:r>
    <x:x v="4"/>
    <x:n v="6532"/>
    <x:n v="12575"/>
    <x:s v="vmnsputihcrem"/>
    <x:n v="20"/>
    <x:n v="120"/>
    <x:n v="8397.382924803"/>
    <x:n v="1007685.95097636"/>
  </x:r>
  <x:r>
    <x:x v="4"/>
    <x:n v="6533"/>
    <x:n v="12576"/>
    <x:s v="vmnsputihcrem"/>
    <x:n v="20"/>
    <x:n v="120"/>
    <x:n v="8397.382924803"/>
    <x:n v="1007685.95097636"/>
  </x:r>
  <x:r>
    <x:x v="4"/>
    <x:n v="6534"/>
    <x:n v="12577"/>
    <x:s v="vmnsputihcrem"/>
    <x:n v="20"/>
    <x:n v="120"/>
    <x:n v="8397.382924803"/>
    <x:n v="1007685.95097636"/>
  </x:r>
  <x:r>
    <x:x v="4"/>
    <x:n v="6535"/>
    <x:n v="12578"/>
    <x:s v="vmnsputihcrem"/>
    <x:n v="20"/>
    <x:n v="120"/>
    <x:n v="8397.382924803"/>
    <x:n v="1007685.95097636"/>
  </x:r>
  <x:r>
    <x:x v="4"/>
    <x:n v="6536"/>
    <x:n v="12579"/>
    <x:s v="vmnsputihcrem"/>
    <x:n v="20"/>
    <x:n v="120"/>
    <x:n v="8522.382924803"/>
    <x:n v="1022685.95097636"/>
  </x:r>
  <x:r>
    <x:x v="4"/>
    <x:n v="6537"/>
    <x:n v="12580"/>
    <x:s v="vmnsputihcrem"/>
    <x:n v="20"/>
    <x:n v="120"/>
    <x:n v="8397.382924803"/>
    <x:n v="1007685.95097636"/>
  </x:r>
  <x:r>
    <x:x v="4"/>
    <x:n v="6538"/>
    <x:n v="12581"/>
    <x:s v="vmnsputihcrem"/>
    <x:n v="20"/>
    <x:n v="120"/>
    <x:n v="8397.382924803"/>
    <x:n v="1007685.95097636"/>
  </x:r>
  <x:r>
    <x:x v="4"/>
    <x:n v="6539"/>
    <x:n v="12582"/>
    <x:s v="vmnsputihcrem"/>
    <x:n v="20"/>
    <x:n v="120"/>
    <x:n v="8397.382924803"/>
    <x:n v="1007685.95097636"/>
  </x:r>
  <x:r>
    <x:x v="4"/>
    <x:n v="6540"/>
    <x:n v="12583"/>
    <x:s v="vmnsputihcrem"/>
    <x:n v="20"/>
    <x:n v="120"/>
    <x:n v="8522.382924803"/>
    <x:n v="1022685.95097636"/>
  </x:r>
  <x:r>
    <x:x v="4"/>
    <x:n v="6541"/>
    <x:n v="12584"/>
    <x:s v="vmnsputihcrem"/>
    <x:n v="20"/>
    <x:n v="120"/>
    <x:n v="8522.382924803"/>
    <x:n v="1022685.95097636"/>
  </x:r>
  <x:r>
    <x:x v="4"/>
    <x:n v="6542"/>
    <x:n v="12585"/>
    <x:s v="vmnsputihcrem"/>
    <x:n v="20"/>
    <x:n v="120"/>
    <x:n v="8522.382924803"/>
    <x:n v="1022685.95097636"/>
  </x:r>
  <x:r>
    <x:x v="4"/>
    <x:n v="6543"/>
    <x:n v="12586"/>
    <x:s v="vmnsputihcrem"/>
    <x:n v="21"/>
    <x:n v="120"/>
    <x:n v="8522.382924803"/>
    <x:n v="1022685.95097636"/>
  </x:r>
  <x:r>
    <x:x v="4"/>
    <x:n v="6544"/>
    <x:n v="12587"/>
    <x:s v="vmnsputihcrem"/>
    <x:n v="21"/>
    <x:n v="120"/>
    <x:n v="8522.382924803"/>
    <x:n v="1022685.95097636"/>
  </x:r>
  <x:r>
    <x:x v="4"/>
    <x:n v="6545"/>
    <x:n v="12588"/>
    <x:s v="vmnsputihcrem"/>
    <x:n v="18"/>
    <x:n v="120"/>
    <x:n v="8397.382924803"/>
    <x:n v="1007685.95097636"/>
  </x:r>
  <x:r>
    <x:x v="4"/>
    <x:n v="6546"/>
    <x:n v="12589"/>
    <x:s v="vmnsputihcrem"/>
    <x:n v="14"/>
    <x:n v="90"/>
    <x:n v="8397.382924803"/>
    <x:n v="755764.46323227"/>
  </x:r>
  <x:r>
    <x:x v="4"/>
    <x:n v="10317"/>
    <x:n v="12590"/>
    <x:s v="VBRS"/>
    <x:n v="98"/>
    <x:n v="600"/>
    <x:n v="6941.0353520252"/>
    <x:n v="4164621.2112151203"/>
  </x:r>
  <x:r>
    <x:x v="4"/>
    <x:n v="10318"/>
    <x:n v="12591"/>
    <x:s v="VBRS"/>
    <x:n v="102"/>
    <x:n v="600"/>
    <x:n v="6816.0353520252"/>
    <x:n v="4089621.2112151203"/>
  </x:r>
  <x:r>
    <x:x v="4"/>
    <x:n v="10319"/>
    <x:n v="12592"/>
    <x:s v="VBRS"/>
    <x:n v="92"/>
    <x:n v="600"/>
    <x:n v="6816.0353520252"/>
    <x:n v="4089621.2112151203"/>
  </x:r>
  <x:r>
    <x:x v="4"/>
    <x:n v="10320"/>
    <x:n v="12593"/>
    <x:s v="VBRS"/>
    <x:n v="117"/>
    <x:n v="600"/>
    <x:n v="6782.7020186919"/>
    <x:n v="4069621.21121514"/>
  </x:r>
  <x:r>
    <x:x v="4"/>
    <x:n v="10321"/>
    <x:n v="12594"/>
    <x:s v="VBRS"/>
    <x:n v="102"/>
    <x:n v="600"/>
    <x:n v="6791.0353520252"/>
    <x:n v="4074621.2112151203"/>
  </x:r>
  <x:r>
    <x:x v="4"/>
    <x:n v="10322"/>
    <x:n v="12595"/>
    <x:s v="VBRS"/>
    <x:n v="110"/>
    <x:n v="600"/>
    <x:n v="6799.3686853585"/>
    <x:n v="4079621.2112151003"/>
  </x:r>
  <x:r>
    <x:x v="4"/>
    <x:n v="10323"/>
    <x:n v="12596"/>
    <x:s v="VBRS"/>
    <x:n v="107"/>
    <x:n v="600"/>
    <x:n v="6791.0353520252"/>
    <x:n v="4074621.2112151203"/>
  </x:r>
  <x:r>
    <x:x v="4"/>
    <x:n v="10324"/>
    <x:n v="12597"/>
    <x:s v="VBRS"/>
    <x:n v="107"/>
    <x:n v="600"/>
    <x:n v="6807.7020186919"/>
    <x:n v="4084621.21121514"/>
  </x:r>
  <x:r>
    <x:x v="4"/>
    <x:n v="10325"/>
    <x:n v="12598"/>
    <x:s v="VBRS"/>
    <x:n v="117"/>
    <x:n v="600"/>
    <x:n v="6816.0353520252"/>
    <x:n v="4089621.2112151203"/>
  </x:r>
  <x:r>
    <x:x v="4"/>
    <x:n v="10326"/>
    <x:n v="12599"/>
    <x:s v="VBRS"/>
    <x:n v="88"/>
    <x:n v="600"/>
    <x:n v="6932.7020186919"/>
    <x:n v="4159621.21121514"/>
  </x:r>
  <x:r>
    <x:x v="4"/>
    <x:n v="10327"/>
    <x:n v="12600"/>
    <x:s v="VBRS"/>
    <x:n v="120"/>
    <x:n v="600"/>
    <x:n v="6941.0353520252"/>
    <x:n v="4164621.2112151203"/>
  </x:r>
  <x:r>
    <x:x v="4"/>
    <x:n v="10328"/>
    <x:n v="12601"/>
    <x:s v="VBRS"/>
    <x:n v="107"/>
    <x:n v="600"/>
    <x:n v="6941.0353520252"/>
    <x:n v="4164621.2112151203"/>
  </x:r>
  <x:r>
    <x:x v="4"/>
    <x:n v="10329"/>
    <x:n v="12602"/>
    <x:s v="VBRS"/>
    <x:n v="106"/>
    <x:n v="600"/>
    <x:n v="6941.0353520252"/>
    <x:n v="4164621.2112151203"/>
  </x:r>
  <x:r>
    <x:x v="4"/>
    <x:n v="10330"/>
    <x:n v="12603"/>
    <x:s v="VBRS"/>
    <x:n v="116"/>
    <x:n v="600"/>
    <x:n v="6816.0353520252"/>
    <x:n v="4089621.2112151203"/>
  </x:r>
  <x:r>
    <x:x v="4"/>
    <x:n v="10331"/>
    <x:n v="12604"/>
    <x:s v="VMNS"/>
    <x:n v="90"/>
    <x:n v="600"/>
    <x:n v="6816.0353520252"/>
    <x:n v="4089621.2112151203"/>
  </x:r>
  <x:r>
    <x:x v="4"/>
    <x:n v="10332"/>
    <x:n v="12605"/>
    <x:s v="VMNS"/>
    <x:n v="97"/>
    <x:n v="600"/>
    <x:n v="6816.0353520252"/>
    <x:n v="4089621.2112151203"/>
  </x:r>
  <x:r>
    <x:x v="4"/>
    <x:n v="10333"/>
    <x:n v="12606"/>
    <x:s v="VMNS"/>
    <x:n v="98"/>
    <x:n v="600"/>
    <x:n v="6816.0353520252"/>
    <x:n v="4089621.2112151203"/>
  </x:r>
  <x:r>
    <x:x v="4"/>
    <x:n v="10334"/>
    <x:n v="12607"/>
    <x:s v="VMNS"/>
    <x:n v="89"/>
    <x:n v="600"/>
    <x:n v="6941.0353520252"/>
    <x:n v="4164621.2112151203"/>
  </x:r>
  <x:r>
    <x:x v="4"/>
    <x:n v="10335"/>
    <x:n v="12608"/>
    <x:s v="VMNS"/>
    <x:n v="103"/>
    <x:n v="600"/>
    <x:n v="6807.7020186919"/>
    <x:n v="4084621.21121514"/>
  </x:r>
  <x:r>
    <x:x v="4"/>
    <x:n v="10336"/>
    <x:n v="12609"/>
    <x:s v="VMNS"/>
    <x:n v="81"/>
    <x:n v="600"/>
    <x:n v="6941.0353520252"/>
    <x:n v="4164621.2112151203"/>
  </x:r>
  <x:r>
    <x:x v="4"/>
    <x:n v="10337"/>
    <x:n v="12610"/>
    <x:s v="VMNS"/>
    <x:n v="100"/>
    <x:n v="600"/>
    <x:n v="6932.7020186919"/>
    <x:n v="4159621.21121514"/>
  </x:r>
  <x:r>
    <x:x v="4"/>
    <x:n v="10338"/>
    <x:n v="12611"/>
    <x:s v="VMNS"/>
    <x:n v="100"/>
    <x:n v="600"/>
    <x:n v="6807.7020186919"/>
    <x:n v="4084621.21121514"/>
  </x:r>
  <x:r>
    <x:x v="4"/>
    <x:n v="10339"/>
    <x:n v="12612"/>
    <x:s v="VMNS"/>
    <x:n v="96"/>
    <x:n v="600"/>
    <x:n v="6807.7020186919"/>
    <x:n v="4084621.21121514"/>
  </x:r>
  <x:r>
    <x:x v="4"/>
    <x:n v="10340"/>
    <x:n v="12613"/>
    <x:s v="VMNS"/>
    <x:n v="87"/>
    <x:n v="600"/>
    <x:n v="6799.3686853585"/>
    <x:n v="4079621.2112151003"/>
  </x:r>
  <x:r>
    <x:x v="4"/>
    <x:n v="10341"/>
    <x:n v="12614"/>
    <x:s v="plb"/>
    <x:n v="69"/>
    <x:n v="600"/>
    <x:n v="6782.7020186919"/>
    <x:n v="4069621.21121514"/>
  </x:r>
  <x:r>
    <x:x v="4"/>
    <x:n v="10342"/>
    <x:n v="12615"/>
    <x:s v="plb"/>
    <x:n v="84"/>
    <x:n v="600"/>
    <x:n v="6941.0353520252"/>
    <x:n v="4164621.2112151203"/>
  </x:r>
  <x:r>
    <x:x v="4"/>
    <x:n v="10343"/>
    <x:n v="12616"/>
    <x:s v="plb"/>
    <x:n v="84"/>
    <x:n v="600"/>
    <x:n v="6932.7020186919"/>
    <x:n v="4159621.21121514"/>
  </x:r>
  <x:r>
    <x:x v="4"/>
    <x:n v="10344"/>
    <x:n v="12617"/>
    <x:s v="plb"/>
    <x:n v="80"/>
    <x:n v="600"/>
    <x:n v="6941.0353520252"/>
    <x:n v="4164621.2112151203"/>
  </x:r>
  <x:r>
    <x:x v="4"/>
    <x:n v="10345"/>
    <x:n v="12618"/>
    <x:s v="plb"/>
    <x:n v="86"/>
    <x:n v="600"/>
    <x:n v="6807.7020186919"/>
    <x:n v="4084621.21121514"/>
  </x:r>
  <x:r>
    <x:x v="5"/>
    <x:n v="2229"/>
    <x:n v="12619"/>
    <x:s v="pth bb"/>
    <x:n v="0"/>
    <x:n v="363"/>
    <x:n v="8000"/>
    <x:n v="2904000"/>
  </x:r>
  <x:r>
    <x:x v="5"/>
    <x:n v="10375"/>
    <x:n v="12620"/>
    <x:s v="PTH3/4"/>
    <x:n v="105"/>
    <x:n v="600"/>
    <x:n v="5691.0353520252"/>
    <x:n v="3414621.2112151203"/>
  </x:r>
  <x:r>
    <x:x v="5"/>
    <x:n v="10376"/>
    <x:n v="12621"/>
    <x:s v="PTH3/4"/>
    <x:n v="94"/>
    <x:n v="600"/>
    <x:n v="5691.0353520252"/>
    <x:n v="3414621.2112151203"/>
  </x:r>
  <x:r>
    <x:x v="5"/>
    <x:n v="10377"/>
    <x:n v="12622"/>
    <x:s v="PTH3/4"/>
    <x:n v="91"/>
    <x:n v="600"/>
    <x:n v="5691.0353520252"/>
    <x:n v="3414621.2112151203"/>
  </x:r>
  <x:r>
    <x:x v="5"/>
    <x:n v="10378"/>
    <x:n v="12623"/>
    <x:s v="PTH3/4"/>
    <x:n v="99"/>
    <x:n v="600"/>
    <x:n v="5691.0353520252"/>
    <x:n v="3414621.2112151203"/>
  </x:r>
  <x:r>
    <x:x v="5"/>
    <x:n v="10379"/>
    <x:n v="12624"/>
    <x:s v="PTH3/4"/>
    <x:n v="100"/>
    <x:n v="600"/>
    <x:n v="5691.0353520252"/>
    <x:n v="3414621.2112151203"/>
  </x:r>
  <x:r>
    <x:x v="5"/>
    <x:n v="10380"/>
    <x:n v="12625"/>
    <x:s v="PTH3/4"/>
    <x:n v="109"/>
    <x:n v="600"/>
    <x:n v="5691.0353520252"/>
    <x:n v="3414621.2112151203"/>
  </x:r>
  <x:r>
    <x:x v="5"/>
    <x:n v="10381"/>
    <x:n v="12626"/>
    <x:s v="PTH3/4"/>
    <x:n v="79"/>
    <x:n v="600"/>
    <x:n v="5691.0353520252"/>
    <x:n v="3414621.2112151203"/>
  </x:r>
  <x:r>
    <x:x v="5"/>
    <x:n v="10382"/>
    <x:n v="12627"/>
    <x:s v="PTH3/4"/>
    <x:n v="111"/>
    <x:n v="600"/>
    <x:n v="5691.0353520252"/>
    <x:n v="3414621.2112151203"/>
  </x:r>
  <x:r>
    <x:x v="5"/>
    <x:n v="10383"/>
    <x:n v="12628"/>
    <x:s v="PTH3/4"/>
    <x:n v="93"/>
    <x:n v="600"/>
    <x:n v="5691.0353520252"/>
    <x:n v="3414621.2112151203"/>
  </x:r>
  <x:r>
    <x:x v="5"/>
    <x:n v="10384"/>
    <x:n v="12629"/>
    <x:s v="PTH3/4"/>
    <x:n v="103"/>
    <x:n v="585"/>
    <x:n v="5691.0353520252"/>
    <x:n v="3329255.680934742"/>
  </x:r>
  <x:r>
    <x:x v="5"/>
    <x:n v="10385"/>
    <x:n v="12630"/>
    <x:s v="plb"/>
    <x:n v="110"/>
    <x:n v="600"/>
    <x:n v="5691.0353520252"/>
    <x:n v="3414621.2112151203"/>
  </x:r>
  <x:r>
    <x:x v="5"/>
    <x:n v="10386"/>
    <x:n v="12631"/>
    <x:s v="plb"/>
    <x:n v="68"/>
    <x:n v="600"/>
    <x:n v="5691.0353520252"/>
    <x:n v="3414621.2112151203"/>
  </x:r>
  <x:r>
    <x:x v="5"/>
    <x:n v="10387"/>
    <x:n v="12632"/>
    <x:s v="plb"/>
    <x:n v="65"/>
    <x:n v="600"/>
    <x:n v="5691.0353520252"/>
    <x:n v="3414621.2112151203"/>
  </x:r>
  <x:r>
    <x:x v="5"/>
    <x:n v="10388"/>
    <x:n v="12633"/>
    <x:s v="plb"/>
    <x:n v="81"/>
    <x:n v="600"/>
    <x:n v="5691.0353520252"/>
    <x:n v="3414621.2112151203"/>
  </x:r>
  <x:r>
    <x:x v="5"/>
    <x:n v="10389"/>
    <x:n v="12634"/>
    <x:s v="plb"/>
    <x:n v="81"/>
    <x:n v="600"/>
    <x:n v="5691.0353520252"/>
    <x:n v="3414621.2112151203"/>
  </x:r>
  <x:r>
    <x:x v="5"/>
    <x:n v="10390"/>
    <x:n v="12635"/>
    <x:s v="plb"/>
    <x:n v="71"/>
    <x:n v="600"/>
    <x:n v="5691.0353520252"/>
    <x:n v="3414621.2112151203"/>
  </x:r>
  <x:r>
    <x:x v="5"/>
    <x:n v="10396"/>
    <x:n v="12636"/>
    <x:s v="pthtg"/>
    <x:n v="0"/>
    <x:n v="600"/>
    <x:n v="5691.0353520252"/>
    <x:n v="3414621.2112151203"/>
  </x:r>
  <x:r>
    <x:x v="5"/>
    <x:n v="10397"/>
    <x:n v="12637"/>
    <x:s v="pthtg"/>
    <x:n v="0"/>
    <x:n v="600"/>
    <x:n v="5691.0353520252"/>
    <x:n v="3414621.2112151203"/>
  </x:r>
  <x:r>
    <x:x v="5"/>
    <x:n v="10398"/>
    <x:n v="12638"/>
    <x:s v="pthtg"/>
    <x:n v="0"/>
    <x:n v="600"/>
    <x:n v="5691.0353520252"/>
    <x:n v="3414621.2112151203"/>
  </x:r>
  <x:r>
    <x:x v="5"/>
    <x:n v="10399"/>
    <x:n v="12639"/>
    <x:s v="pthtg"/>
    <x:n v="0"/>
    <x:n v="600"/>
    <x:n v="5691.0353520252"/>
    <x:n v="3414621.2112151203"/>
  </x:r>
  <x:r>
    <x:x v="5"/>
    <x:n v="11337"/>
    <x:n v="12640"/>
    <x:s v="pth34"/>
    <x:n v="101"/>
    <x:n v="600"/>
    <x:n v="6274.3294100822"/>
    <x:n v="3764597.64604932"/>
  </x:r>
  <x:r>
    <x:x v="5"/>
    <x:n v="11338"/>
    <x:n v="12641"/>
    <x:s v="pth34"/>
    <x:n v="103"/>
    <x:n v="600"/>
    <x:n v="6274.3294100822"/>
    <x:n v="3764597.64604932"/>
  </x:r>
  <x:r>
    <x:x v="5"/>
    <x:n v="11339"/>
    <x:n v="12642"/>
    <x:s v="pth34"/>
    <x:n v="99"/>
    <x:n v="600"/>
    <x:n v="6274.3294100822"/>
    <x:n v="3764597.64604932"/>
  </x:r>
  <x:r>
    <x:x v="5"/>
    <x:n v="11340"/>
    <x:n v="12643"/>
    <x:s v="pth34"/>
    <x:n v="107"/>
    <x:n v="600"/>
    <x:n v="6274.3294100822"/>
    <x:n v="3764597.64604932"/>
  </x:r>
  <x:r>
    <x:x v="5"/>
    <x:n v="11341"/>
    <x:n v="12644"/>
    <x:s v="pth34"/>
    <x:n v="100"/>
    <x:n v="600"/>
    <x:n v="6274.3294100822"/>
    <x:n v="3764597.64604932"/>
  </x:r>
  <x:r>
    <x:x v="5"/>
    <x:n v="11342"/>
    <x:n v="12645"/>
    <x:s v="pth34"/>
    <x:n v="90"/>
    <x:n v="600"/>
    <x:n v="6274.3294100822"/>
    <x:n v="3764597.64604932"/>
  </x:r>
  <x:r>
    <x:x v="5"/>
    <x:n v="11343"/>
    <x:n v="12646"/>
    <x:s v="pth34"/>
    <x:n v="82"/>
    <x:n v="600"/>
    <x:n v="6274.3294100822"/>
    <x:n v="3764597.64604932"/>
  </x:r>
  <x:r>
    <x:x v="5"/>
    <x:n v="11344"/>
    <x:n v="12647"/>
    <x:s v="pth34"/>
    <x:n v="105"/>
    <x:n v="600"/>
    <x:n v="6274.3294100822"/>
    <x:n v="3764597.64604932"/>
  </x:r>
  <x:r>
    <x:x v="5"/>
    <x:n v="11345"/>
    <x:n v="12648"/>
    <x:s v="pth34"/>
    <x:n v="102"/>
    <x:n v="600"/>
    <x:n v="6274.3294100822"/>
    <x:n v="3764597.64604932"/>
  </x:r>
  <x:r>
    <x:x v="5"/>
    <x:n v="11346"/>
    <x:n v="12649"/>
    <x:s v="pth34"/>
    <x:n v="100"/>
    <x:n v="600"/>
    <x:n v="6274.3294100822"/>
    <x:n v="3764597.64604932"/>
  </x:r>
  <x:r>
    <x:x v="5"/>
    <x:n v="11347"/>
    <x:n v="12650"/>
    <x:s v="pth34"/>
    <x:n v="106"/>
    <x:n v="600"/>
    <x:n v="6274.3294100822"/>
    <x:n v="3764597.64604932"/>
  </x:r>
  <x:r>
    <x:x v="5"/>
    <x:n v="11348"/>
    <x:n v="12651"/>
    <x:s v="pth34"/>
    <x:n v="111"/>
    <x:n v="600"/>
    <x:n v="6274.3294100822"/>
    <x:n v="3764597.64604932"/>
  </x:r>
  <x:r>
    <x:x v="5"/>
    <x:n v="11349"/>
    <x:n v="12652"/>
    <x:s v="pth34"/>
    <x:n v="102"/>
    <x:n v="580"/>
    <x:n v="6274.3294100822"/>
    <x:n v="3639111.0578476763"/>
  </x:r>
  <x:r>
    <x:x v="5"/>
    <x:n v="11350"/>
    <x:n v="12653"/>
    <x:s v="plb"/>
    <x:n v="94"/>
    <x:n v="600"/>
    <x:n v="6274.3294100822"/>
    <x:n v="3764597.64604932"/>
  </x:r>
  <x:r>
    <x:x v="5"/>
    <x:n v="11351"/>
    <x:n v="12654"/>
    <x:s v="plb"/>
    <x:n v="111"/>
    <x:n v="600"/>
    <x:n v="6274.3294100822"/>
    <x:n v="3764597.64604932"/>
  </x:r>
  <x:r>
    <x:x v="5"/>
    <x:n v="11352"/>
    <x:n v="12655"/>
    <x:s v="plb"/>
    <x:n v="99"/>
    <x:n v="600"/>
    <x:n v="6274.3294100822"/>
    <x:n v="3764597.64604932"/>
  </x:r>
  <x:r>
    <x:x v="5"/>
    <x:n v="11353"/>
    <x:n v="12656"/>
    <x:s v="plb"/>
    <x:n v="101"/>
    <x:n v="600"/>
    <x:n v="6274.3294100822"/>
    <x:n v="3764597.64604932"/>
  </x:r>
  <x:r>
    <x:x v="5"/>
    <x:n v="11354"/>
    <x:n v="12657"/>
    <x:s v="plb"/>
    <x:n v="90"/>
    <x:n v="600"/>
    <x:n v="6274.3294100822"/>
    <x:n v="3764597.64604932"/>
  </x:r>
  <x:r>
    <x:x v="5"/>
    <x:n v="11355"/>
    <x:n v="12658"/>
    <x:s v="plb"/>
    <x:n v="80"/>
    <x:n v="600"/>
    <x:n v="6274.3294100822"/>
    <x:n v="3764597.64604932"/>
  </x:r>
  <x:r>
    <x:x v="5"/>
    <x:n v="11356"/>
    <x:n v="12659"/>
    <x:s v="plb"/>
    <x:n v="108"/>
    <x:n v="600"/>
    <x:n v="6274.3294100822"/>
    <x:n v="3764597.64604932"/>
  </x:r>
  <x:r>
    <x:x v="5"/>
    <x:n v="11357"/>
    <x:n v="12660"/>
    <x:s v="plb"/>
    <x:n v="100"/>
    <x:n v="600"/>
    <x:n v="6274.3294100822"/>
    <x:n v="3764597.64604932"/>
  </x:r>
  <x:r>
    <x:x v="5"/>
    <x:n v="11358"/>
    <x:n v="12661"/>
    <x:s v="plb"/>
    <x:n v="91"/>
    <x:n v="578"/>
    <x:n v="6274.3294100822"/>
    <x:n v="3626562.399027512"/>
  </x:r>
  <x:r>
    <x:x v="5"/>
    <x:n v="11359"/>
    <x:n v="12662"/>
    <x:s v="pthtg"/>
    <x:n v="0"/>
    <x:n v="600"/>
    <x:n v="6274.3294100822"/>
    <x:n v="3764597.64604932"/>
  </x:r>
  <x:r>
    <x:x v="5"/>
    <x:n v="11360"/>
    <x:n v="12663"/>
    <x:s v="pthtg"/>
    <x:n v="0"/>
    <x:n v="600"/>
    <x:n v="6274.3294100822"/>
    <x:n v="3764597.64604932"/>
  </x:r>
  <x:r>
    <x:x v="5"/>
    <x:n v="11361"/>
    <x:n v="12664"/>
    <x:s v="pthtg"/>
    <x:n v="0"/>
    <x:n v="600"/>
    <x:n v="6274.3294100822"/>
    <x:n v="3764597.64604932"/>
  </x:r>
  <x:r>
    <x:x v="5"/>
    <x:n v="11362"/>
    <x:n v="12665"/>
    <x:s v="pthtg"/>
    <x:n v="0"/>
    <x:n v="600"/>
    <x:n v="6274.3294100822"/>
    <x:n v="3764597.64604932"/>
  </x:r>
  <x:r>
    <x:x v="5"/>
    <x:n v="11363"/>
    <x:n v="12666"/>
    <x:s v="pthtg"/>
    <x:n v="0"/>
    <x:n v="600"/>
    <x:n v="6274.3294100822"/>
    <x:n v="3764597.64604932"/>
  </x:r>
  <x:r>
    <x:x v="5"/>
    <x:n v="11364"/>
    <x:n v="12667"/>
    <x:s v="pthtg"/>
    <x:n v="0"/>
    <x:n v="600"/>
    <x:n v="6274.3294100822"/>
    <x:n v="3764597.64604932"/>
  </x:r>
  <x:r>
    <x:x v="5"/>
    <x:n v="11365"/>
    <x:n v="12668"/>
    <x:s v="pthtg"/>
    <x:n v="0"/>
    <x:n v="600"/>
    <x:n v="6274.3294100822"/>
    <x:n v="3764597.64604932"/>
  </x:r>
  <x:r>
    <x:x v="5"/>
    <x:n v="6457"/>
    <x:n v="12669"/>
    <x:s v="vmnsputihcrem"/>
    <x:n v="75"/>
    <x:n v="500"/>
    <x:n v="8772.382924803"/>
    <x:n v="4386191.4624015"/>
  </x:r>
  <x:r>
    <x:x v="5"/>
    <x:n v="6458"/>
    <x:n v="12670"/>
    <x:s v="vmnsputihcrem"/>
    <x:n v="74"/>
    <x:n v="500"/>
    <x:n v="8772.382924803"/>
    <x:n v="4386191.4624015"/>
  </x:r>
  <x:r>
    <x:x v="5"/>
    <x:n v="6459"/>
    <x:n v="12671"/>
    <x:s v="vmnsputihcrem"/>
    <x:n v="71"/>
    <x:n v="500"/>
    <x:n v="8772.382924803"/>
    <x:n v="4386191.4624015"/>
  </x:r>
  <x:r>
    <x:x v="5"/>
    <x:n v="6460"/>
    <x:n v="12672"/>
    <x:s v="vmnsputihcrem"/>
    <x:n v="73"/>
    <x:n v="500"/>
    <x:n v="8772.382924803"/>
    <x:n v="4386191.4624015"/>
  </x:r>
  <x:r>
    <x:x v="5"/>
    <x:n v="10362"/>
    <x:n v="12673"/>
    <x:s v="PTH3/4"/>
    <x:n v="97"/>
    <x:n v="600"/>
    <x:n v="7391.0353520252"/>
    <x:n v="4434621.21121512"/>
  </x:r>
  <x:r>
    <x:x v="5"/>
    <x:n v="10363"/>
    <x:n v="12674"/>
    <x:s v="PTH3/4"/>
    <x:n v="106"/>
    <x:n v="600"/>
    <x:n v="7391.0353520252"/>
    <x:n v="4434621.21121512"/>
  </x:r>
  <x:r>
    <x:x v="5"/>
    <x:n v="10364"/>
    <x:n v="12675"/>
    <x:s v="PTH3/4"/>
    <x:n v="105"/>
    <x:n v="600"/>
    <x:n v="7391.0353520252"/>
    <x:n v="4434621.21121512"/>
  </x:r>
  <x:r>
    <x:x v="5"/>
    <x:n v="10365"/>
    <x:n v="12676"/>
    <x:s v="PTH3/4"/>
    <x:n v="100"/>
    <x:n v="600"/>
    <x:n v="7391.0353520252"/>
    <x:n v="4434621.21121512"/>
  </x:r>
  <x:r>
    <x:x v="5"/>
    <x:n v="10366"/>
    <x:n v="12677"/>
    <x:s v="PTH3/4"/>
    <x:n v="92"/>
    <x:n v="600"/>
    <x:n v="7391.0353520252"/>
    <x:n v="4434621.21121512"/>
  </x:r>
  <x:r>
    <x:x v="5"/>
    <x:n v="10367"/>
    <x:n v="12678"/>
    <x:s v="PTH3/4"/>
    <x:n v="92"/>
    <x:n v="600"/>
    <x:n v="7391.0353520252"/>
    <x:n v="4434621.21121512"/>
  </x:r>
  <x:r>
    <x:x v="5"/>
    <x:n v="10368"/>
    <x:n v="12679"/>
    <x:s v="PTH3/4"/>
    <x:n v="100"/>
    <x:n v="600"/>
    <x:n v="7391.0353520252"/>
    <x:n v="4434621.21121512"/>
  </x:r>
  <x:r>
    <x:x v="5"/>
    <x:n v="10369"/>
    <x:n v="12680"/>
    <x:s v="PTH3/4"/>
    <x:n v="92"/>
    <x:n v="600"/>
    <x:n v="7391.0353520252"/>
    <x:n v="4434621.21121512"/>
  </x:r>
  <x:r>
    <x:x v="5"/>
    <x:n v="10370"/>
    <x:n v="12681"/>
    <x:s v="PTH3/4"/>
    <x:n v="106"/>
    <x:n v="600"/>
    <x:n v="7391.0353520252"/>
    <x:n v="4434621.21121512"/>
  </x:r>
  <x:r>
    <x:x v="5"/>
    <x:n v="10371"/>
    <x:n v="12682"/>
    <x:s v="PTH3/4"/>
    <x:n v="92"/>
    <x:n v="600"/>
    <x:n v="7391.0353520252"/>
    <x:n v="4434621.21121512"/>
  </x:r>
  <x:r>
    <x:x v="5"/>
    <x:n v="10372"/>
    <x:n v="12683"/>
    <x:s v="PTH3/4"/>
    <x:n v="92"/>
    <x:n v="600"/>
    <x:n v="7391.0353520252"/>
    <x:n v="4434621.21121512"/>
  </x:r>
  <x:r>
    <x:x v="5"/>
    <x:n v="10373"/>
    <x:n v="12684"/>
    <x:s v="PTH3/4"/>
    <x:n v="84"/>
    <x:n v="600"/>
    <x:n v="7191.0353520252"/>
    <x:n v="4314621.21121512"/>
  </x:r>
  <x:r>
    <x:x v="5"/>
    <x:n v="10374"/>
    <x:n v="12685"/>
    <x:s v="PTH3/4"/>
    <x:n v="83"/>
    <x:n v="600"/>
    <x:n v="7191.0353520252"/>
    <x:n v="4314621.21121512"/>
  </x:r>
  <x:r>
    <x:x v="6"/>
    <x:n v="6747"/>
    <x:n v="12234"/>
    <x:s v="hcr1200"/>
    <x:n v="0"/>
    <x:n v="250"/>
    <x:n v="1000"/>
    <x:n v="250000"/>
  </x:r>
  <x:r>
    <x:x v="6"/>
    <x:n v="10944"/>
    <x:n v="12235"/>
    <x:s v="hcr"/>
    <x:n v="0"/>
    <x:n v="250"/>
    <x:n v="6274.3294100822"/>
    <x:n v="1568582.3525205501"/>
  </x:r>
  <x:r>
    <x:x v="6"/>
    <x:n v="10945"/>
    <x:n v="12236"/>
    <x:s v="hcr"/>
    <x:n v="0"/>
    <x:n v="250"/>
    <x:n v="6274.3294100822"/>
    <x:n v="1568582.3525205501"/>
  </x:r>
  <x:r>
    <x:x v="6"/>
    <x:n v="10946"/>
    <x:n v="12237"/>
    <x:s v="hcr"/>
    <x:n v="0"/>
    <x:n v="250"/>
    <x:n v="6274.3294100822"/>
    <x:n v="1568582.3525205501"/>
  </x:r>
  <x:r>
    <x:x v="6"/>
    <x:n v="10947"/>
    <x:n v="12238"/>
    <x:s v="hcr"/>
    <x:n v="0"/>
    <x:n v="250"/>
    <x:n v="6274.3294100822"/>
    <x:n v="1568582.3525205501"/>
  </x:r>
  <x:r>
    <x:x v="6"/>
    <x:n v="10948"/>
    <x:n v="12239"/>
    <x:s v="hcr"/>
    <x:n v="0"/>
    <x:n v="250"/>
    <x:n v="6274.3294100822"/>
    <x:n v="1568582.3525205501"/>
  </x:r>
  <x:r>
    <x:x v="6"/>
    <x:n v="10949"/>
    <x:n v="12240"/>
    <x:s v="hcr"/>
    <x:n v="0"/>
    <x:n v="250"/>
    <x:n v="6274.3294100822"/>
    <x:n v="1568582.3525205501"/>
  </x:r>
  <x:r>
    <x:x v="6"/>
    <x:n v="10950"/>
    <x:n v="12241"/>
    <x:s v="hcr"/>
    <x:n v="0"/>
    <x:n v="250"/>
    <x:n v="6274.3294100822"/>
    <x:n v="1568582.3525205501"/>
  </x:r>
  <x:r>
    <x:x v="6"/>
    <x:n v="10951"/>
    <x:n v="12242"/>
    <x:s v="hcr"/>
    <x:n v="0"/>
    <x:n v="250"/>
    <x:n v="6274.3294100822"/>
    <x:n v="1568582.3525205501"/>
  </x:r>
  <x:r>
    <x:x v="6"/>
    <x:n v="10952"/>
    <x:n v="12243"/>
    <x:s v="hcr"/>
    <x:n v="0"/>
    <x:n v="250"/>
    <x:n v="6274.3294100822"/>
    <x:n v="1568582.3525205501"/>
  </x:r>
  <x:r>
    <x:x v="6"/>
    <x:n v="10953"/>
    <x:n v="12244"/>
    <x:s v="hcr"/>
    <x:n v="0"/>
    <x:n v="250"/>
    <x:n v="6274.3294100822"/>
    <x:n v="1568582.3525205501"/>
  </x:r>
  <x:r>
    <x:x v="6"/>
    <x:n v="10954"/>
    <x:n v="12245"/>
    <x:s v="hcr"/>
    <x:n v="0"/>
    <x:n v="250"/>
    <x:n v="6274.3294100822"/>
    <x:n v="1568582.3525205501"/>
  </x:r>
  <x:r>
    <x:x v="6"/>
    <x:n v="10955"/>
    <x:n v="12246"/>
    <x:s v="hcr"/>
    <x:n v="0"/>
    <x:n v="250"/>
    <x:n v="6274.3294100822"/>
    <x:n v="1568582.3525205501"/>
  </x:r>
  <x:r>
    <x:x v="6"/>
    <x:n v="10956"/>
    <x:n v="12247"/>
    <x:s v="hcr"/>
    <x:n v="0"/>
    <x:n v="250"/>
    <x:n v="6274.3294100822"/>
    <x:n v="1568582.3525205501"/>
  </x:r>
  <x:r>
    <x:x v="6"/>
    <x:n v="10957"/>
    <x:n v="12248"/>
    <x:s v="hcr"/>
    <x:n v="0"/>
    <x:n v="250"/>
    <x:n v="6274.3294100822"/>
    <x:n v="1568582.3525205501"/>
  </x:r>
  <x:r>
    <x:x v="6"/>
    <x:n v="10958"/>
    <x:n v="12249"/>
    <x:s v="hcr"/>
    <x:n v="0"/>
    <x:n v="250"/>
    <x:n v="6274.3294100822"/>
    <x:n v="1568582.3525205501"/>
  </x:r>
  <x:r>
    <x:x v="6"/>
    <x:n v="10959"/>
    <x:n v="12250"/>
    <x:s v="hcr"/>
    <x:n v="0"/>
    <x:n v="250"/>
    <x:n v="6274.3294100822"/>
    <x:n v="1568582.3525205501"/>
  </x:r>
  <x:r>
    <x:x v="6"/>
    <x:n v="10960"/>
    <x:n v="12251"/>
    <x:s v="hcr"/>
    <x:n v="0"/>
    <x:n v="250"/>
    <x:n v="6274.3294100822"/>
    <x:n v="1568582.3525205501"/>
  </x:r>
  <x:r>
    <x:x v="6"/>
    <x:n v="10961"/>
    <x:n v="12252"/>
    <x:s v="hcr"/>
    <x:n v="0"/>
    <x:n v="250"/>
    <x:n v="6274.3294100822"/>
    <x:n v="1568582.3525205501"/>
  </x:r>
  <x:r>
    <x:x v="6"/>
    <x:n v="10962"/>
    <x:n v="12253"/>
    <x:s v="hcr"/>
    <x:n v="0"/>
    <x:n v="250"/>
    <x:n v="6274.3294100822"/>
    <x:n v="1568582.3525205501"/>
  </x:r>
  <x:r>
    <x:x v="6"/>
    <x:n v="10963"/>
    <x:n v="12254"/>
    <x:s v="hcr"/>
    <x:n v="0"/>
    <x:n v="250"/>
    <x:n v="6274.3294100822"/>
    <x:n v="1568582.3525205501"/>
  </x:r>
  <x:r>
    <x:x v="6"/>
    <x:n v="10964"/>
    <x:n v="12255"/>
    <x:s v="hcr"/>
    <x:n v="0"/>
    <x:n v="250"/>
    <x:n v="6274.3294100822"/>
    <x:n v="1568582.3525205501"/>
  </x:r>
  <x:r>
    <x:x v="6"/>
    <x:n v="10965"/>
    <x:n v="12256"/>
    <x:s v="hcr"/>
    <x:n v="0"/>
    <x:n v="250"/>
    <x:n v="6274.3294100822"/>
    <x:n v="1568582.3525205501"/>
  </x:r>
  <x:r>
    <x:x v="6"/>
    <x:n v="10966"/>
    <x:n v="12257"/>
    <x:s v="hcr"/>
    <x:n v="0"/>
    <x:n v="250"/>
    <x:n v="6274.3294100822"/>
    <x:n v="1568582.3525205501"/>
  </x:r>
  <x:r>
    <x:x v="6"/>
    <x:n v="10967"/>
    <x:n v="12258"/>
    <x:s v="hcr"/>
    <x:n v="0"/>
    <x:n v="250"/>
    <x:n v="6274.3294100822"/>
    <x:n v="1568582.3525205501"/>
  </x:r>
  <x:r>
    <x:x v="6"/>
    <x:n v="10968"/>
    <x:n v="12259"/>
    <x:s v="hcr"/>
    <x:n v="0"/>
    <x:n v="250"/>
    <x:n v="6274.3294100822"/>
    <x:n v="1568582.3525205501"/>
  </x:r>
  <x:r>
    <x:x v="6"/>
    <x:n v="10969"/>
    <x:n v="12260"/>
    <x:s v="hcr"/>
    <x:n v="0"/>
    <x:n v="250"/>
    <x:n v="6274.3294100822"/>
    <x:n v="1568582.3525205501"/>
  </x:r>
  <x:r>
    <x:x v="6"/>
    <x:n v="10970"/>
    <x:n v="12261"/>
    <x:s v="hcr"/>
    <x:n v="0"/>
    <x:n v="250"/>
    <x:n v="6274.3294100822"/>
    <x:n v="1568582.3525205501"/>
  </x:r>
  <x:r>
    <x:x v="6"/>
    <x:n v="10971"/>
    <x:n v="12262"/>
    <x:s v="hcr"/>
    <x:n v="0"/>
    <x:n v="250"/>
    <x:n v="6274.3294100822"/>
    <x:n v="1568582.3525205501"/>
  </x:r>
  <x:r>
    <x:x v="6"/>
    <x:n v="10972"/>
    <x:n v="12263"/>
    <x:s v="hcr"/>
    <x:n v="0"/>
    <x:n v="250"/>
    <x:n v="6274.3294100822"/>
    <x:n v="1568582.3525205501"/>
  </x:r>
  <x:r>
    <x:x v="6"/>
    <x:n v="10973"/>
    <x:n v="12264"/>
    <x:s v="hcr"/>
    <x:n v="0"/>
    <x:n v="250"/>
    <x:n v="6274.3294100822"/>
    <x:n v="1568582.3525205501"/>
  </x:r>
  <x:r>
    <x:x v="6"/>
    <x:n v="10974"/>
    <x:n v="12265"/>
    <x:s v="hcr"/>
    <x:n v="0"/>
    <x:n v="250"/>
    <x:n v="6274.3294100822"/>
    <x:n v="1568582.3525205501"/>
  </x:r>
  <x:r>
    <x:x v="6"/>
    <x:n v="10975"/>
    <x:n v="12266"/>
    <x:s v="hcr"/>
    <x:n v="0"/>
    <x:n v="250"/>
    <x:n v="6274.3294100822"/>
    <x:n v="1568582.3525205501"/>
  </x:r>
  <x:r>
    <x:x v="6"/>
    <x:n v="10976"/>
    <x:n v="12267"/>
    <x:s v="hcr"/>
    <x:n v="0"/>
    <x:n v="250"/>
    <x:n v="6274.3294100822"/>
    <x:n v="1568582.3525205501"/>
  </x:r>
  <x:r>
    <x:x v="6"/>
    <x:n v="10977"/>
    <x:n v="12268"/>
    <x:s v="hcr"/>
    <x:n v="0"/>
    <x:n v="250"/>
    <x:n v="6274.3294100822"/>
    <x:n v="1568582.3525205501"/>
  </x:r>
  <x:r>
    <x:x v="6"/>
    <x:n v="10978"/>
    <x:n v="12269"/>
    <x:s v="hcr"/>
    <x:n v="0"/>
    <x:n v="250"/>
    <x:n v="6274.3294100822"/>
    <x:n v="1568582.3525205501"/>
  </x:r>
  <x:r>
    <x:x v="6"/>
    <x:n v="10979"/>
    <x:n v="12270"/>
    <x:s v="hcr"/>
    <x:n v="0"/>
    <x:n v="250"/>
    <x:n v="6274.3294100822"/>
    <x:n v="1568582.3525205501"/>
  </x:r>
  <x:r>
    <x:x v="6"/>
    <x:n v="10980"/>
    <x:n v="12271"/>
    <x:s v="hcr"/>
    <x:n v="0"/>
    <x:n v="250"/>
    <x:n v="6274.3294100822"/>
    <x:n v="1568582.3525205501"/>
  </x:r>
  <x:r>
    <x:x v="6"/>
    <x:n v="10981"/>
    <x:n v="12272"/>
    <x:s v="hcr"/>
    <x:n v="0"/>
    <x:n v="250"/>
    <x:n v="6274.3294100822"/>
    <x:n v="1568582.3525205501"/>
  </x:r>
  <x:r>
    <x:x v="6"/>
    <x:n v="10982"/>
    <x:n v="12273"/>
    <x:s v="hcr"/>
    <x:n v="0"/>
    <x:n v="250"/>
    <x:n v="6274.3294100822"/>
    <x:n v="1568582.3525205501"/>
  </x:r>
  <x:r>
    <x:x v="6"/>
    <x:n v="10983"/>
    <x:n v="12274"/>
    <x:s v="hcr"/>
    <x:n v="0"/>
    <x:n v="250"/>
    <x:n v="6274.3294100822"/>
    <x:n v="1568582.3525205501"/>
  </x:r>
  <x:r>
    <x:x v="6"/>
    <x:n v="10984"/>
    <x:n v="12275"/>
    <x:s v="hcr"/>
    <x:n v="0"/>
    <x:n v="250"/>
    <x:n v="6274.3294100822"/>
    <x:n v="1568582.3525205501"/>
  </x:r>
  <x:r>
    <x:x v="6"/>
    <x:n v="10985"/>
    <x:n v="12276"/>
    <x:s v="hcr"/>
    <x:n v="0"/>
    <x:n v="250"/>
    <x:n v="6274.3294100822"/>
    <x:n v="1568582.3525205501"/>
  </x:r>
  <x:r>
    <x:x v="6"/>
    <x:n v="10986"/>
    <x:n v="12277"/>
    <x:s v="hcr"/>
    <x:n v="0"/>
    <x:n v="250"/>
    <x:n v="6274.3294100822"/>
    <x:n v="1568582.3525205501"/>
  </x:r>
  <x:r>
    <x:x v="6"/>
    <x:n v="10987"/>
    <x:n v="12278"/>
    <x:s v="hcr"/>
    <x:n v="0"/>
    <x:n v="250"/>
    <x:n v="6274.3294100822"/>
    <x:n v="1568582.3525205501"/>
  </x:r>
  <x:r>
    <x:x v="6"/>
    <x:n v="10988"/>
    <x:n v="12279"/>
    <x:s v="hcr"/>
    <x:n v="0"/>
    <x:n v="250"/>
    <x:n v="6274.3294100822"/>
    <x:n v="1568582.3525205501"/>
  </x:r>
  <x:r>
    <x:x v="6"/>
    <x:n v="10989"/>
    <x:n v="12280"/>
    <x:s v="hcr"/>
    <x:n v="0"/>
    <x:n v="250"/>
    <x:n v="6274.3294100822"/>
    <x:n v="1568582.3525205501"/>
  </x:r>
  <x:r>
    <x:x v="6"/>
    <x:n v="10990"/>
    <x:n v="12281"/>
    <x:s v="hcr"/>
    <x:n v="0"/>
    <x:n v="250"/>
    <x:n v="6274.3294100822"/>
    <x:n v="1568582.3525205501"/>
  </x:r>
  <x:r>
    <x:x v="6"/>
    <x:n v="10991"/>
    <x:n v="12282"/>
    <x:s v="hcr"/>
    <x:n v="0"/>
    <x:n v="250"/>
    <x:n v="6274.3294100822"/>
    <x:n v="1568582.3525205501"/>
  </x:r>
  <x:r>
    <x:x v="6"/>
    <x:n v="10992"/>
    <x:n v="12283"/>
    <x:s v="hcr"/>
    <x:n v="0"/>
    <x:n v="250"/>
    <x:n v="6274.3294100822"/>
    <x:n v="1568582.3525205501"/>
  </x:r>
  <x:r>
    <x:x v="6"/>
    <x:n v="10993"/>
    <x:n v="12284"/>
    <x:s v="hcr"/>
    <x:n v="0"/>
    <x:n v="250"/>
    <x:n v="6274.3294100822"/>
    <x:n v="1568582.3525205501"/>
  </x:r>
  <x:r>
    <x:x v="6"/>
    <x:n v="10994"/>
    <x:n v="12285"/>
    <x:s v="hcr"/>
    <x:n v="0"/>
    <x:n v="250"/>
    <x:n v="6274.3294100822"/>
    <x:n v="1568582.3525205501"/>
  </x:r>
  <x:r>
    <x:x v="6"/>
    <x:n v="10995"/>
    <x:n v="12286"/>
    <x:s v="hcr"/>
    <x:n v="0"/>
    <x:n v="250"/>
    <x:n v="6274.3294100822"/>
    <x:n v="1568582.3525205501"/>
  </x:r>
  <x:r>
    <x:x v="6"/>
    <x:n v="10996"/>
    <x:n v="12287"/>
    <x:s v="hcr"/>
    <x:n v="0"/>
    <x:n v="250"/>
    <x:n v="6274.3294100822"/>
    <x:n v="1568582.3525205501"/>
  </x:r>
  <x:r>
    <x:x v="6"/>
    <x:n v="10997"/>
    <x:n v="12288"/>
    <x:s v="hcr"/>
    <x:n v="0"/>
    <x:n v="250"/>
    <x:n v="6274.3294100822"/>
    <x:n v="1568582.3525205501"/>
  </x:r>
  <x:r>
    <x:x v="6"/>
    <x:n v="10998"/>
    <x:n v="12289"/>
    <x:s v="hcr"/>
    <x:n v="0"/>
    <x:n v="250"/>
    <x:n v="6274.3294100822"/>
    <x:n v="1568582.3525205501"/>
  </x:r>
  <x:r>
    <x:x v="6"/>
    <x:n v="10999"/>
    <x:n v="12290"/>
    <x:s v="hcr"/>
    <x:n v="0"/>
    <x:n v="250"/>
    <x:n v="6274.3294100822"/>
    <x:n v="1568582.3525205501"/>
  </x:r>
  <x:r>
    <x:x v="6"/>
    <x:n v="11000"/>
    <x:n v="12291"/>
    <x:s v="hcr"/>
    <x:n v="0"/>
    <x:n v="250"/>
    <x:n v="6274.3294100822"/>
    <x:n v="1568582.3525205501"/>
  </x:r>
  <x:r>
    <x:x v="6"/>
    <x:n v="11001"/>
    <x:n v="12292"/>
    <x:s v="hcr"/>
    <x:n v="0"/>
    <x:n v="250"/>
    <x:n v="6274.3294100822"/>
    <x:n v="1568582.3525205501"/>
  </x:r>
  <x:r>
    <x:x v="6"/>
    <x:n v="11002"/>
    <x:n v="12293"/>
    <x:s v="hcr"/>
    <x:n v="0"/>
    <x:n v="250"/>
    <x:n v="6274.3294100822"/>
    <x:n v="1568582.3525205501"/>
  </x:r>
  <x:r>
    <x:x v="6"/>
    <x:n v="11003"/>
    <x:n v="12294"/>
    <x:s v="hcr"/>
    <x:n v="0"/>
    <x:n v="250"/>
    <x:n v="6274.3294100822"/>
    <x:n v="1568582.3525205501"/>
  </x:r>
  <x:r>
    <x:x v="6"/>
    <x:n v="11004"/>
    <x:n v="12295"/>
    <x:s v="hcr"/>
    <x:n v="0"/>
    <x:n v="250"/>
    <x:n v="6274.3294100822"/>
    <x:n v="1568582.3525205501"/>
  </x:r>
  <x:r>
    <x:x v="6"/>
    <x:n v="11005"/>
    <x:n v="12296"/>
    <x:s v="hcr"/>
    <x:n v="0"/>
    <x:n v="250"/>
    <x:n v="6274.3294100822"/>
    <x:n v="1568582.3525205501"/>
  </x:r>
  <x:r>
    <x:x v="6"/>
    <x:n v="11006"/>
    <x:n v="12297"/>
    <x:s v="hcr"/>
    <x:n v="0"/>
    <x:n v="250"/>
    <x:n v="6274.3294100822"/>
    <x:n v="1568582.3525205501"/>
  </x:r>
  <x:r>
    <x:x v="6"/>
    <x:n v="11007"/>
    <x:n v="12298"/>
    <x:s v="hcr"/>
    <x:n v="0"/>
    <x:n v="250"/>
    <x:n v="6274.3294100822"/>
    <x:n v="1568582.3525205501"/>
  </x:r>
  <x:r>
    <x:x v="6"/>
    <x:n v="11008"/>
    <x:n v="12299"/>
    <x:s v="hcr"/>
    <x:n v="0"/>
    <x:n v="250"/>
    <x:n v="6274.3294100822"/>
    <x:n v="1568582.3525205501"/>
  </x:r>
  <x:r>
    <x:x v="6"/>
    <x:n v="11009"/>
    <x:n v="12300"/>
    <x:s v="hcr"/>
    <x:n v="0"/>
    <x:n v="250"/>
    <x:n v="6274.3294100822"/>
    <x:n v="1568582.3525205501"/>
  </x:r>
  <x:r>
    <x:x v="6"/>
    <x:n v="11010"/>
    <x:n v="12301"/>
    <x:s v="hcr"/>
    <x:n v="0"/>
    <x:n v="250"/>
    <x:n v="6274.3294100822"/>
    <x:n v="1568582.3525205501"/>
  </x:r>
  <x:r>
    <x:x v="6"/>
    <x:n v="11011"/>
    <x:n v="12302"/>
    <x:s v="hcr"/>
    <x:n v="0"/>
    <x:n v="250"/>
    <x:n v="6274.3294100822"/>
    <x:n v="1568582.3525205501"/>
  </x:r>
  <x:r>
    <x:x v="6"/>
    <x:n v="11012"/>
    <x:n v="12303"/>
    <x:s v="hcr"/>
    <x:n v="0"/>
    <x:n v="250"/>
    <x:n v="6274.3294100822"/>
    <x:n v="1568582.3525205501"/>
  </x:r>
  <x:r>
    <x:x v="6"/>
    <x:n v="11013"/>
    <x:n v="12304"/>
    <x:s v="hcr"/>
    <x:n v="0"/>
    <x:n v="250"/>
    <x:n v="6274.3294100822"/>
    <x:n v="1568582.3525205501"/>
  </x:r>
  <x:r>
    <x:x v="6"/>
    <x:n v="11014"/>
    <x:n v="12305"/>
    <x:s v="hcr"/>
    <x:n v="0"/>
    <x:n v="250"/>
    <x:n v="6274.3294100822"/>
    <x:n v="1568582.3525205501"/>
  </x:r>
  <x:r>
    <x:x v="6"/>
    <x:n v="11015"/>
    <x:n v="12306"/>
    <x:s v="hcr"/>
    <x:n v="0"/>
    <x:n v="250"/>
    <x:n v="6274.3294100822"/>
    <x:n v="1568582.3525205501"/>
  </x:r>
  <x:r>
    <x:x v="6"/>
    <x:n v="11016"/>
    <x:n v="12307"/>
    <x:s v="hcr"/>
    <x:n v="0"/>
    <x:n v="250"/>
    <x:n v="6274.3294100822"/>
    <x:n v="1568582.3525205501"/>
  </x:r>
  <x:r>
    <x:x v="6"/>
    <x:n v="11017"/>
    <x:n v="12308"/>
    <x:s v="hcr"/>
    <x:n v="0"/>
    <x:n v="250"/>
    <x:n v="6274.3294100822"/>
    <x:n v="1568582.3525205501"/>
  </x:r>
  <x:r>
    <x:x v="6"/>
    <x:n v="11018"/>
    <x:n v="12309"/>
    <x:s v="hcr"/>
    <x:n v="0"/>
    <x:n v="250"/>
    <x:n v="6274.3294100822"/>
    <x:n v="1568582.3525205501"/>
  </x:r>
  <x:r>
    <x:x v="6"/>
    <x:n v="11019"/>
    <x:n v="12310"/>
    <x:s v="hcr"/>
    <x:n v="0"/>
    <x:n v="250"/>
    <x:n v="6274.3294100822"/>
    <x:n v="1568582.3525205501"/>
  </x:r>
  <x:r>
    <x:x v="6"/>
    <x:n v="11020"/>
    <x:n v="12311"/>
    <x:s v="hcr"/>
    <x:n v="0"/>
    <x:n v="250"/>
    <x:n v="6274.3294100822"/>
    <x:n v="1568582.3525205501"/>
  </x:r>
  <x:r>
    <x:x v="6"/>
    <x:n v="11021"/>
    <x:n v="12312"/>
    <x:s v="hcr"/>
    <x:n v="0"/>
    <x:n v="250"/>
    <x:n v="6274.3294100822"/>
    <x:n v="1568582.3525205501"/>
  </x:r>
  <x:r>
    <x:x v="6"/>
    <x:n v="11022"/>
    <x:n v="12313"/>
    <x:s v="hcr"/>
    <x:n v="0"/>
    <x:n v="250"/>
    <x:n v="6274.3294100822"/>
    <x:n v="1568582.3525205501"/>
  </x:r>
  <x:r>
    <x:x v="6"/>
    <x:n v="11023"/>
    <x:n v="12314"/>
    <x:s v="hcr"/>
    <x:n v="0"/>
    <x:n v="250"/>
    <x:n v="6274.3294100822"/>
    <x:n v="1568582.3525205501"/>
  </x:r>
  <x:r>
    <x:x v="6"/>
    <x:n v="11024"/>
    <x:n v="12315"/>
    <x:s v="hcr"/>
    <x:n v="0"/>
    <x:n v="250"/>
    <x:n v="6274.3294100822"/>
    <x:n v="1568582.3525205501"/>
  </x:r>
  <x:r>
    <x:x v="6"/>
    <x:n v="11025"/>
    <x:n v="12316"/>
    <x:s v="hcr"/>
    <x:n v="0"/>
    <x:n v="250"/>
    <x:n v="6274.3294100822"/>
    <x:n v="1568582.3525205501"/>
  </x:r>
  <x:r>
    <x:x v="6"/>
    <x:n v="11026"/>
    <x:n v="12317"/>
    <x:s v="hcr"/>
    <x:n v="0"/>
    <x:n v="250"/>
    <x:n v="6274.3294100822"/>
    <x:n v="1568582.3525205501"/>
  </x:r>
  <x:r>
    <x:x v="6"/>
    <x:n v="11027"/>
    <x:n v="12318"/>
    <x:s v="hcr"/>
    <x:n v="0"/>
    <x:n v="250"/>
    <x:n v="6274.3294100822"/>
    <x:n v="1568582.3525205501"/>
  </x:r>
  <x:r>
    <x:x v="6"/>
    <x:n v="11028"/>
    <x:n v="12319"/>
    <x:s v="hcr"/>
    <x:n v="0"/>
    <x:n v="250"/>
    <x:n v="6274.3294100822"/>
    <x:n v="1568582.3525205501"/>
  </x:r>
  <x:r>
    <x:x v="6"/>
    <x:n v="11029"/>
    <x:n v="12320"/>
    <x:s v="hcr"/>
    <x:n v="0"/>
    <x:n v="250"/>
    <x:n v="6274.3294100822"/>
    <x:n v="1568582.3525205501"/>
  </x:r>
  <x:r>
    <x:x v="6"/>
    <x:n v="11030"/>
    <x:n v="12321"/>
    <x:s v="hcr"/>
    <x:n v="0"/>
    <x:n v="250"/>
    <x:n v="6274.3294100822"/>
    <x:n v="1568582.3525205501"/>
  </x:r>
  <x:r>
    <x:x v="6"/>
    <x:n v="11031"/>
    <x:n v="12322"/>
    <x:s v="hcr"/>
    <x:n v="0"/>
    <x:n v="250"/>
    <x:n v="6274.3294100822"/>
    <x:n v="1568582.3525205501"/>
  </x:r>
  <x:r>
    <x:x v="6"/>
    <x:n v="11032"/>
    <x:n v="12323"/>
    <x:s v="hcr"/>
    <x:n v="0"/>
    <x:n v="250"/>
    <x:n v="6274.3294100822"/>
    <x:n v="1568582.3525205501"/>
  </x:r>
  <x:r>
    <x:x v="6"/>
    <x:n v="11033"/>
    <x:n v="12324"/>
    <x:s v="hcr"/>
    <x:n v="0"/>
    <x:n v="250"/>
    <x:n v="6274.3294100822"/>
    <x:n v="1568582.3525205501"/>
  </x:r>
  <x:r>
    <x:x v="7"/>
    <x:m/>
    <x:m/>
    <x:m/>
    <x:m/>
    <x:m/>
    <x:m/>
    <x:m/>
  </x:r>
</x:pivotCacheRecords>
</file>